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averaged" sheetId="1" r:id="rId5"/>
    <sheet state="visible" name="Data Combined - all-runs" sheetId="2" r:id="rId6"/>
    <sheet state="visible" name="Just old runs" sheetId="3" r:id="rId7"/>
    <sheet state="visible" name="Analysis 1 JSON vs Natural" sheetId="4" r:id="rId8"/>
    <sheet state="visible" name="Centralized vs Shared" sheetId="5" r:id="rId9"/>
    <sheet state="visible" name="Objective Adaptability-v2" sheetId="6" r:id="rId10"/>
    <sheet state="visible" name="Objective Adaptability" sheetId="7" r:id="rId11"/>
    <sheet state="visible" name="misc" sheetId="8" r:id="rId12"/>
  </sheets>
  <definedNames>
    <definedName hidden="1" localSheetId="0" name="_xlnm._FilterDatabase">'Data averaged'!$A$1:$Z$1000</definedName>
    <definedName hidden="1" localSheetId="1" name="_xlnm._FilterDatabase">'Data Combined - all-runs'!$A$1:$U$527</definedName>
  </definedNames>
  <calcPr/>
</workbook>
</file>

<file path=xl/sharedStrings.xml><?xml version="1.0" encoding="utf-8"?>
<sst xmlns="http://schemas.openxmlformats.org/spreadsheetml/2006/main" count="7801" uniqueCount="767">
  <si>
    <t>Objective</t>
  </si>
  <si>
    <t>Arch</t>
  </si>
  <si>
    <t>Prompt</t>
  </si>
  <si>
    <t>Model</t>
  </si>
  <si>
    <t>Scenario</t>
  </si>
  <si>
    <t>Seed</t>
  </si>
  <si>
    <t>Run</t>
  </si>
  <si>
    <t>llm_calls</t>
  </si>
  <si>
    <t>json_generation_failures</t>
  </si>
  <si>
    <t>llm_missing_or_invalid_actions</t>
  </si>
  <si>
    <t>charging_station_utilization_rate</t>
  </si>
  <si>
    <t>elapsed_seconds</t>
  </si>
  <si>
    <t>steps to first delivery</t>
  </si>
  <si>
    <t>total deliveries</t>
  </si>
  <si>
    <t>total steps</t>
  </si>
  <si>
    <t>deliveries_per_1000_steps</t>
  </si>
  <si>
    <t>llm_calls_per_1000_steps</t>
  </si>
  <si>
    <t>llm_calls_per_delivery</t>
  </si>
  <si>
    <t>invalid_action_rate</t>
  </si>
  <si>
    <t>json_failure_rate</t>
  </si>
  <si>
    <t>summary_json_path</t>
  </si>
  <si>
    <t>Shelf Deliveries</t>
  </si>
  <si>
    <t>Centralized</t>
  </si>
  <si>
    <t>Natural</t>
  </si>
  <si>
    <t>llama 1b (3.2)</t>
  </si>
  <si>
    <t>tiny_balanced_1v1</t>
  </si>
  <si>
    <t>session_20260317_183938</t>
  </si>
  <si>
    <t>NA</t>
  </si>
  <si>
    <t>Matched prompt pair</t>
  </si>
  <si>
    <t>Matched Calls-Battery+Shelf pair</t>
  </si>
  <si>
    <t>Battery-TA-RWARE/results/shelf/central_llm_experiments/natural/session_20260317_183938/llama3.2_1b/tiny_balanced_1v1/language/summary.json</t>
  </si>
  <si>
    <t>Matched three-objective triplet</t>
  </si>
  <si>
    <t>Battery</t>
  </si>
  <si>
    <t>Calls</t>
  </si>
  <si>
    <t>small_picker_heavy_2v4</t>
  </si>
  <si>
    <t>Json</t>
  </si>
  <si>
    <t>valid_session1/session1</t>
  </si>
  <si>
    <t>Battery-TA-RWARE/results/shelf/central_llm_experiments/natural/session_20260317_183938/llama3.2_1b/small_picker_heavy_2v4/language/summary.json</t>
  </si>
  <si>
    <t>Battery-TA-RWARE/results/calls/centralized/json/valid_session1/llama3.2_1b/session1/tiny_balanced_1v1/json/summary.json</t>
  </si>
  <si>
    <t>small_balanced_2v2</t>
  </si>
  <si>
    <t>session_20260422_155053</t>
  </si>
  <si>
    <t>Battery-TA-RWARE/results/shelf/central_llm_experiments/natural/session_20260317_183938/llama3.2_1b/small_balanced_2v2/language/summary.json</t>
  </si>
  <si>
    <t>Battery-TA-RWARE/results/calls/centralized/json/session_20260422_155053/llama3.2_1b/small_balanced_2v2/json/summary.json</t>
  </si>
  <si>
    <t>small_agv_heavy_4v2</t>
  </si>
  <si>
    <t>session_20260422_220055</t>
  </si>
  <si>
    <t>Battery-TA-RWARE/results/calls/centralized/json/session_20260422_220055/llama3.2_1b/small_balanced_2v2/json/summary.json</t>
  </si>
  <si>
    <t>Battery-TA-RWARE/results/shelf/central_llm_experiments/natural/session_20260317_183938/llama3.2_1b/small_agv_heavy_4v2/language/summary.json</t>
  </si>
  <si>
    <t>medium_balanced_4v4</t>
  </si>
  <si>
    <t>Battery-TA-RWARE/results/calls/centralized/json/valid_session1/llama3.2_1b/session1/small_balanced_2v2/json/summary.json</t>
  </si>
  <si>
    <t>session_20260422_083558</t>
  </si>
  <si>
    <t>Battery-TA-RWARE/results/shelf/central_llm_experiments/natural/session_20260317_183938/llama3.2_1b/medium_balanced_4v4/language/summary.json</t>
  </si>
  <si>
    <t>medium_agv_heavy_6v2</t>
  </si>
  <si>
    <t>Battery-TA-RWARE/results/calls/centralized/json/session_20260422_083558/llama3.2_1b/small_agv_heavy_4v2/json/summary.json</t>
  </si>
  <si>
    <t>Battery-TA-RWARE/results/shelf/central_llm_experiments/natural/session_20260317_183938/llama3.2_1b/medium_agv_heavy_6v2/language/summary.json</t>
  </si>
  <si>
    <t>llama 3b (3.2)</t>
  </si>
  <si>
    <t>Battery-TA-RWARE/results/calls/centralized/json/session_20260422_155053/llama3.2_1b/small_agv_heavy_4v2/json/summary.json</t>
  </si>
  <si>
    <t>Battery-TA-RWARE/results/calls/centralized/json/valid_session1/llama3.2_1b/session1/small_agv_heavy_4v2/json/summary.json</t>
  </si>
  <si>
    <t>Battery-TA-RWARE/results/shelf/central_llm_experiments/natural/session_20260317_183938/llama3.2_3b/tiny_balanced_1v1/language/summary.json</t>
  </si>
  <si>
    <t>valid_session1/session1/small_agv_heavy_4v2-run2</t>
  </si>
  <si>
    <t>Battery-TA-RWARE/results/calls/centralized/json/valid_session1/llama3.2_1b/session1/small_agv_heavy_4v2-run2/json/summary.json</t>
  </si>
  <si>
    <t>Battery-TA-RWARE/results/shelf/central_llm_experiments/natural/session_20260317_183938/llama3.2_3b/small_picker_heavy_2v4/language/summary.json</t>
  </si>
  <si>
    <t>Battery-TA-RWARE/results/calls/centralized/json/session_20260422_083558/llama3.2_1b/medium_balanced_4v4/json/summary.json</t>
  </si>
  <si>
    <t>Battery-TA-RWARE/results/shelf/central_llm_experiments/natural/session_20260317_183938/llama3.2_3b/small_balanced_2v2/language/summary.json</t>
  </si>
  <si>
    <t>Battery-TA-RWARE/results/calls/centralized/json/valid_session1/llama3.2_1b/session1/medium_agv_heavy_6v2/json/summary.json</t>
  </si>
  <si>
    <t>gemma 12b</t>
  </si>
  <si>
    <t>valid_session1</t>
  </si>
  <si>
    <t>Battery-TA-RWARE/results/shelf/central_llm_experiments/natural/session_20260317_183938/llama3.2_3b/small_agv_heavy_4v2/language/summary.json</t>
  </si>
  <si>
    <t>Battery-TA-RWARE/results/calls/centralized/json/valid_session1/gemma3_12b/tiny_balanced_1v1/json/summary.json</t>
  </si>
  <si>
    <t>Battery-TA-RWARE/results/shelf/central_llm_experiments/natural/session_20260317_183938/llama3.2_3b/medium_balanced_4v4/language/summary.json</t>
  </si>
  <si>
    <t>Battery-TA-RWARE/results/calls/centralized/json/valid_session1/gemma3_12b/small_picker_heavy_2v4/json/summary.json</t>
  </si>
  <si>
    <t>Battery-TA-RWARE/results/shelf/central_llm_experiments/natural/session_20260317_183938/llama3.2_3b/medium_agv_heavy_6v2/language/summary.json</t>
  </si>
  <si>
    <t>Battery-TA-RWARE/results/calls/centralized/json/valid_session1/gemma3_12b/small_balanced_2v2/json/summary.json</t>
  </si>
  <si>
    <t>mistral 7b</t>
  </si>
  <si>
    <t>Battery-TA-RWARE/results/shelf/central_llm_experiments/natural/session_20260317_183938/mistral_7b/tiny_balanced_1v1/language/summary.json</t>
  </si>
  <si>
    <t>Battery-TA-RWARE/results/calls/centralized/json/valid_session1/gemma3_12b/small_agv_heavy_4v2/json/summary.json</t>
  </si>
  <si>
    <t>Battery-TA-RWARE/results/shelf/central_llm_experiments/natural/session_20260317_183938/mistral_7b/small_picker_heavy_2v4/language/summary.json</t>
  </si>
  <si>
    <t>Battery-TA-RWARE/results/calls/centralized/json/valid_session1/gemma3_12b/medium_balanced_4v4/json/summary.json</t>
  </si>
  <si>
    <t>Battery-TA-RWARE/results/calls/centralized/json/valid_session1/gemma3_12b/medium_agv_heavy_6v2/json/summary.json</t>
  </si>
  <si>
    <t>Battery-TA-RWARE/results/shelf/central_llm_experiments/natural/session_20260317_183938/mistral_7b/small_balanced_2v2/language/summary.json</t>
  </si>
  <si>
    <t>session_20260423_075701</t>
  </si>
  <si>
    <t>Battery-TA-RWARE/results/calls/centralized/natural/session_20260423_075701/llama3.2_1b/tiny_balanced_1v1/language/summary.json</t>
  </si>
  <si>
    <t>session_20260423_193725</t>
  </si>
  <si>
    <t>Battery-TA-RWARE/results/shelf/central_llm_experiments/natural/session_20260317_183938/mistral_7b/small_agv_heavy_4v2/language/summary.json</t>
  </si>
  <si>
    <t>Battery-TA-RWARE/results/calls/centralized/natural/session_20260423_193725/llama3.2_1b/tiny_balanced_1v1/language/summary.json</t>
  </si>
  <si>
    <t>Battery-TA-RWARE/results/shelf/central_llm_experiments/natural/session_20260317_183938/mistral_7b/medium_balanced_4v4/language/summary.json</t>
  </si>
  <si>
    <t>Battery-TA-RWARE/results/calls/centralized/natural/session_20260423_193725/llama3.2_1b/small_picker_heavy_2v4/language/summary.json</t>
  </si>
  <si>
    <t>Battery-TA-RWARE/results/shelf/central_llm_experiments/natural/session_20260317_183938/mistral_7b/medium_agv_heavy_6v2/language/summary.json</t>
  </si>
  <si>
    <t>Battery-TA-RWARE/results/calls/centralized/natural/session_20260423_075701/llama3.2_1b/small_balanced_2v2/language/summary.json</t>
  </si>
  <si>
    <t>Battery-TA-RWARE/results/calls/centralized/natural/session_20260423_193725/llama3.2_1b/small_balanced_2v2/language/summary.json</t>
  </si>
  <si>
    <t>Battery-TA-RWARE/results/shelf/central_llm_experiments/natural/session_20260317_183938/gemma3_12b/tiny_balanced_1v1/language/summary.json</t>
  </si>
  <si>
    <t>Battery-TA-RWARE/results/calls/centralized/natural/session_20260423_075701/llama3.2_1b/small_agv_heavy_4v2/language/summary.json</t>
  </si>
  <si>
    <t>Battery-TA-RWARE/results/shelf/central_llm_experiments/natural/session_20260317_183938/gemma3_12b/small_picker_heavy_2v4/language/summary.json</t>
  </si>
  <si>
    <t>Battery-TA-RWARE/results/calls/centralized/natural/session_20260423_193725/llama3.2_1b/small_agv_heavy_4v2/language/summary.json</t>
  </si>
  <si>
    <t>Battery-TA-RWARE/results/shelf/central_llm_experiments/natural/session_20260317_183938/gemma3_12b/small_balanced_2v2/language/summary.json</t>
  </si>
  <si>
    <t>Battery-TA-RWARE/results/calls/centralized/natural/session_20260423_075701/llama3.2_1b/medium_balanced_4v4/language/summary.json</t>
  </si>
  <si>
    <t>Battery-TA-RWARE/results/calls/centralized/natural/session_20260423_193725/llama3.2_1b/medium_balanced_4v4/language/summary.json</t>
  </si>
  <si>
    <t>Battery-TA-RWARE/results/shelf/central_llm_experiments/natural/session_20260317_183938/gemma3_12b/small_agv_heavy_4v2/language/summary.json</t>
  </si>
  <si>
    <t>Battery-TA-RWARE/results/calls/centralized/natural/session_20260423_193725/llama3.2_1b/medium_agv_heavy_6v2/language/summary.json</t>
  </si>
  <si>
    <t>Battery-TA-RWARE/results/shelf/central_llm_experiments/natural/session_20260317_183938/gemma3_12b/medium_balanced_4v4/language/summary.json</t>
  </si>
  <si>
    <t>Battery-TA-RWARE/results/calls/centralized/natural/session_20260423_193725/llama3.2_3b/tiny_balanced_1v1/language/summary.json</t>
  </si>
  <si>
    <t>Battery-TA-RWARE/results/calls/centralized/natural/session_20260423_193725/llama3.2_3b/small_picker_heavy_2v4/language/summary.json</t>
  </si>
  <si>
    <t>Battery-TA-RWARE/results/shelf/central_llm_experiments/natural/session_20260317_183938/gemma3_12b/medium_agv_heavy_6v2/language/summary.json</t>
  </si>
  <si>
    <t>phi4</t>
  </si>
  <si>
    <t>Battery-TA-RWARE/results/calls/centralized/natural/session_20260423_193725/llama3.2_3b/small_balanced_2v2/language/summary.json</t>
  </si>
  <si>
    <t>Battery-TA-RWARE/results/shelf/central_llm_experiments/natural/session_20260317_183938/phi4/tiny_balanced_1v1/language/summary.json</t>
  </si>
  <si>
    <t>Battery-TA-RWARE/results/calls/centralized/natural/session_20260423_193725/llama3.2_3b/small_agv_heavy_4v2/language/summary.json</t>
  </si>
  <si>
    <t>Battery-TA-RWARE/results/shelf/central_llm_experiments/natural/session_20260317_183938/phi4/small_picker_heavy_2v4/language/summary.json</t>
  </si>
  <si>
    <t>Battery-TA-RWARE/results/calls/centralized/natural/session_20260423_193725/llama3.2_3b/medium_balanced_4v4/language/summary.json</t>
  </si>
  <si>
    <t>Battery-TA-RWARE/results/shelf/central_llm_experiments/natural/session_20260317_183938/phi4/small_balanced_2v2/language/summary.json</t>
  </si>
  <si>
    <t>Battery-TA-RWARE/results/calls/centralized/natural/session_20260423_193725/llama3.2_3b/medium_agv_heavy_6v2/language/summary.json</t>
  </si>
  <si>
    <t>Battery-TA-RWARE/results/shelf/central_llm_experiments/natural/session_20260317_183938/phi4/small_agv_heavy_4v2/language/summary.json</t>
  </si>
  <si>
    <t>Battery-TA-RWARE/results/calls/centralized/natural/session_20260423_193725/mistral_7b/tiny_balanced_1v1/language/summary.json</t>
  </si>
  <si>
    <t>Battery-TA-RWARE/results/shelf/central_llm_experiments/natural/session_20260317_183938/phi4/medium_balanced_4v4/language/summary.json</t>
  </si>
  <si>
    <t>Battery-TA-RWARE/results/calls/centralized/natural/session_20260423_193725/mistral_7b/small_balanced_2v2/language/summary.json</t>
  </si>
  <si>
    <t>Shared</t>
  </si>
  <si>
    <t>session_20260331_201315</t>
  </si>
  <si>
    <t>Battery-TA-RWARE/results/calls/shared_context/json/session_20260331_201315/llama3.2_1b/tiny_balanced_1v1/json/summary.json</t>
  </si>
  <si>
    <t>Battery-TA-RWARE/results/shelf/central_llm_experiments/natural/session_20260317_183938/phi4/medium_agv_heavy_6v2/language/summary.json</t>
  </si>
  <si>
    <t>qwen 14b (2.5)</t>
  </si>
  <si>
    <t>session_20260401_091633</t>
  </si>
  <si>
    <t>Battery-TA-RWARE/results/calls/shared_context/json/session_20260401_091633/llama3.2_1b/tiny_balanced_1v1/json/summary.json</t>
  </si>
  <si>
    <t>session_20260401_102916</t>
  </si>
  <si>
    <t>Battery-TA-RWARE/results/shelf/central_llm_experiments/natural/session_20260317_183938/qwen2.5_14b/tiny_balanced_1v1/language/summary.json</t>
  </si>
  <si>
    <t>Battery-TA-RWARE/results/calls/shared_context/json/session_20260401_102916/llama3.2_1b/tiny_balanced_1v1/json/summary.json</t>
  </si>
  <si>
    <t>session_20260401_121402</t>
  </si>
  <si>
    <t>Battery-TA-RWARE/results/shelf/central_llm_experiments/natural/session_20260317_183938/qwen2.5_14b/small_picker_heavy_2v4/language/summary.json</t>
  </si>
  <si>
    <t>Battery-TA-RWARE/results/calls/shared_context/json/session_20260401_121402/llama3.2_1b/tiny_balanced_1v1/json/summary.json</t>
  </si>
  <si>
    <t>Battery-TA-RWARE/results/calls/shared_context/json/session_20260331_201315/llama3.2_1b/small_picker_heavy_2v4/json/summary.json</t>
  </si>
  <si>
    <t>Battery-TA-RWARE/results/shelf/central_llm_experiments/natural/session_20260317_183938/qwen2.5_14b/small_balanced_2v2/language/summary.json</t>
  </si>
  <si>
    <t>Battery-TA-RWARE/results/calls/shared_context/json/session_20260401_121402/llama3.2_1b/small_picker_heavy_2v4/json/summary.json</t>
  </si>
  <si>
    <t>Battery-TA-RWARE/results/shelf/central_llm_experiments/natural/session_20260317_183938/qwen2.5_14b/small_agv_heavy_4v2/language/summary.json</t>
  </si>
  <si>
    <t>Battery-TA-RWARE/results/calls/shared_context/json/session_20260331_201315/llama3.2_1b/small_balanced_2v2/json/summary.json</t>
  </si>
  <si>
    <t>Battery-TA-RWARE/results/shelf/central_llm_experiments/natural/session_20260317_183938/qwen2.5_14b/medium_balanced_4v4/language/summary.json</t>
  </si>
  <si>
    <t>Battery-TA-RWARE/results/calls/shared_context/json/session_20260401_091633/llama3.2_1b/small_balanced_2v2/json/summary.json</t>
  </si>
  <si>
    <t>Battery-TA-RWARE/results/shelf/central_llm_experiments/natural/session_20260317_183938/qwen2.5_14b/medium_agv_heavy_6v2/language/summary.json</t>
  </si>
  <si>
    <t>Battery-TA-RWARE/results/calls/shared_context/json/session_20260401_102916/llama3.2_1b/small_balanced_2v2/json/summary.json</t>
  </si>
  <si>
    <t>session_20260324_130956</t>
  </si>
  <si>
    <t>Battery-TA-RWARE/results/calls/shared_context/json/session_20260401_121402/llama3.2_1b/small_balanced_2v2/json/summary.json</t>
  </si>
  <si>
    <t>Battery-TA-RWARE/results/shelf/shared_context_llm_experiments/JSON/session_20260324_130956/llama3.2_1b/tiny_balanced_1v1/json/summary.json</t>
  </si>
  <si>
    <t>Battery-TA-RWARE/results/calls/shared_context/json/session_20260331_201315/llama3.2_1b/small_agv_heavy_4v2/json/summary.json</t>
  </si>
  <si>
    <t>Battery-TA-RWARE/results/shelf/shared_context_llm_experiments/JSON/session_20260324_130956/llama3.2_1b/small_picker_heavy_2v4/json/summary.json</t>
  </si>
  <si>
    <t>Battery-TA-RWARE/results/calls/shared_context/json/session_20260401_121402/llama3.2_1b/small_agv_heavy_4v2/json/summary.json</t>
  </si>
  <si>
    <t>Battery-TA-RWARE/results/shelf/shared_context_llm_experiments/JSON/session_20260324_130956/llama3.2_1b/small_balanced_2v2/json/summary.json</t>
  </si>
  <si>
    <t>Battery-TA-RWARE/results/calls/shared_context/json/session_20260331_201315/llama3.2_1b/medium_balanced_4v4/json/summary.json</t>
  </si>
  <si>
    <t>Battery-TA-RWARE/results/shelf/shared_context_llm_experiments/JSON/session_20260324_130956/llama3.2_1b/small_agv_heavy_4v2/json/summary.json</t>
  </si>
  <si>
    <t>Battery-TA-RWARE/results/calls/shared_context/json/session_20260401_102916/llama3.2_1b/medium_balanced_4v4/json/summary.json</t>
  </si>
  <si>
    <t>Battery-TA-RWARE/results/calls/shared_context/json/session_20260401_121402/llama3.2_1b/medium_balanced_4v4/json/summary.json</t>
  </si>
  <si>
    <t>Battery-TA-RWARE/results/shelf/shared_context_llm_experiments/JSON/session_20260324_130956/llama3.2_1b/medium_balanced_4v4/json/summary.json</t>
  </si>
  <si>
    <t>Battery-TA-RWARE/results/calls/shared_context/json/session_20260331_201315/llama3.2_1b/medium_agv_heavy_6v2/json/summary.json</t>
  </si>
  <si>
    <t>JSON runs</t>
  </si>
  <si>
    <t>Battery-TA-RWARE/results/shelf/shared_context_llm_experiments/JSON/session_20260324_130956/llama3.2_1b/medium_agv_heavy_6v2/json/summary.json</t>
  </si>
  <si>
    <t>JSON mean calls</t>
  </si>
  <si>
    <t>JSON mean deliveries</t>
  </si>
  <si>
    <t xml:space="preserve">JSON </t>
  </si>
  <si>
    <t>Battery-TA-RWARE/results/calls/shared_context/json/session_20260401_121402/llama3.2_1b/medium_agv_heavy_6v2/json/summary.json</t>
  </si>
  <si>
    <t>Natural runs</t>
  </si>
  <si>
    <t>Natural mean calls</t>
  </si>
  <si>
    <t>Natural mean deliveries</t>
  </si>
  <si>
    <t>Battery-TA-RWARE/results/shelf/shared_context_llm_experiments/JSON/session_20260324_130956/llama3.2_3b/tiny_balanced_1v1/json/summary.json</t>
  </si>
  <si>
    <t>Battery-TA-RWARE/results/calls/shared_context/json/session_20260331_201315/llama3.2_3b/tiny_balanced_1v1/json/summary.json</t>
  </si>
  <si>
    <t>Battery-TA-RWARE/results/calls/shared_context/json/session_20260401_121402/llama3.2_3b/tiny_balanced_1v1/json/summary.json</t>
  </si>
  <si>
    <t>Battery-TA-RWARE/results/shelf/shared_context_llm_experiments/JSON/session_20260324_130956/llama3.2_3b/small_picker_heavy_2v4/json/summary.json</t>
  </si>
  <si>
    <t>Battery-TA-RWARE/results/calls/shared_context/json/session_20260331_201315/llama3.2_3b/small_picker_heavy_2v4/json/summary.json</t>
  </si>
  <si>
    <t>Battery-TA-RWARE/results/shelf/shared_context_llm_experiments/JSON/session_20260324_130956/llama3.2_3b/small_balanced_2v2/json/summary.json</t>
  </si>
  <si>
    <t>Battery-TA-RWARE/results/calls/shared_context/json/session_20260401_121402/llama3.2_3b/small_picker_heavy_2v4/json/summary.json</t>
  </si>
  <si>
    <t>Battery-TA-RWARE/results/shelf/shared_context_llm_experiments/JSON/session_20260324_130956/llama3.2_3b/small_agv_heavy_4v2/json/summary.json</t>
  </si>
  <si>
    <t>Battery-TA-RWARE/results/calls/shared_context/json/session_20260331_201315/llama3.2_3b/small_balanced_2v2/json/summary.json</t>
  </si>
  <si>
    <t>Battery-TA-RWARE/results/calls/shared_context/json/session_20260401_121402/llama3.2_3b/small_balanced_2v2/json/summary.json</t>
  </si>
  <si>
    <t>Battery-TA-RWARE/results/shelf/shared_context_llm_experiments/JSON/session_20260324_130956/llama3.2_3b/medium_balanced_4v4/json/summary.json</t>
  </si>
  <si>
    <t>Battery-TA-RWARE/results/calls/shared_context/json/session_20260331_201315/llama3.2_3b/small_agv_heavy_4v2/json/summary.json</t>
  </si>
  <si>
    <t>Battery-TA-RWARE/results/shelf/shared_context_llm_experiments/JSON/session_20260324_130956/llama3.2_3b/medium_agv_heavy_6v2/json/summary.json</t>
  </si>
  <si>
    <t>Battery-TA-RWARE/results/calls/shared_context/json/session_20260401_121402/llama3.2_3b/small_agv_heavy_4v2/json/summary.json</t>
  </si>
  <si>
    <t>Battery-TA-RWARE/results/shelf/shared_context_llm_experiments/JSON/session_20260324_130956/mistral_7b/tiny_balanced_1v1/json/summary.json</t>
  </si>
  <si>
    <t>Battery-TA-RWARE/results/calls/shared_context/json/session_20260331_201315/llama3.2_3b/medium_balanced_4v4/json/summary.json</t>
  </si>
  <si>
    <t>Battery-TA-RWARE/results/calls/shared_context/json/session_20260401_121402/llama3.2_3b/medium_balanced_4v4/json/summary.json</t>
  </si>
  <si>
    <t>Battery-TA-RWARE/results/shelf/shared_context_llm_experiments/JSON/session_20260324_130956/mistral_7b/small_picker_heavy_2v4/json/summary.json</t>
  </si>
  <si>
    <t>Battery-TA-RWARE/results/calls/shared_context/json/session_20260331_201315/llama3.2_3b/medium_agv_heavy_6v2/json/summary.json</t>
  </si>
  <si>
    <t>Battery-TA-RWARE/results/shelf/shared_context_llm_experiments/JSON/session_20260324_130956/mistral_7b/small_balanced_2v2/json/summary.json</t>
  </si>
  <si>
    <t>Battery-TA-RWARE/results/calls/shared_context/json/session_20260401_121402/llama3.2_3b/medium_agv_heavy_6v2/json/summary.json</t>
  </si>
  <si>
    <t>Battery-TA-RWARE/results/shelf/shared_context_llm_experiments/JSON/session_20260324_130956/mistral_7b/small_agv_heavy_4v2/json/summary.json</t>
  </si>
  <si>
    <t>Battery-TA-RWARE/results/calls/shared_context/json/session_20260401_121402/mistral_7b/tiny_balanced_1v1/json/summary.json</t>
  </si>
  <si>
    <t>Battery-TA-RWARE/results/shelf/shared_context_llm_experiments/JSON/session_20260324_130956/mistral_7b/medium_balanced_4v4/json/summary.json</t>
  </si>
  <si>
    <t>Battery-TA-RWARE/results/calls/shared_context/json/session_20260401_121402/mistral_7b/small_picker_heavy_2v4/json/summary.json</t>
  </si>
  <si>
    <t>Battery-TA-RWARE/results/shelf/shared_context_llm_experiments/JSON/session_20260324_130956/mistral_7b/medium_agv_heavy_6v2/json/summary.json</t>
  </si>
  <si>
    <t>Battery-TA-RWARE/results/calls/shared_context/json/session_20260401_121402/mistral_7b/small_balanced_2v2/json/summary.json</t>
  </si>
  <si>
    <t>Battery-TA-RWARE/results/calls/shared_context/json/session_20260401_121402/mistral_7b/small_agv_heavy_4v2/json/summary.json</t>
  </si>
  <si>
    <t>Battery-TA-RWARE/results/shelf/shared_context_llm_experiments/JSON/session_20260324_130956/gemma3_12b/tiny_balanced_1v1/json/summary.json</t>
  </si>
  <si>
    <t>Battery-TA-RWARE/results/calls/shared_context/json/session_20260401_121402/mistral_7b/medium_balanced_4v4/json/summary.json</t>
  </si>
  <si>
    <t>Battery-TA-RWARE/results/shelf/shared_context_llm_experiments/JSON/session_20260324_130956/gemma3_12b/small_picker_heavy_2v4/json/summary.json</t>
  </si>
  <si>
    <t>Battery-TA-RWARE/results/calls/shared_context/json/session_20260401_121402/mistral_7b/medium_agv_heavy_6v2/json/summary.json</t>
  </si>
  <si>
    <t>Battery-TA-RWARE/results/shelf/shared_context_llm_experiments/JSON/session_20260324_130956/gemma3_12b/small_balanced_2v2/json/summary.json</t>
  </si>
  <si>
    <t>Battery-TA-RWARE/results/calls/shared_context/json/session_20260401_121402/gemma3_12b/tiny_balanced_1v1/json/summary.json</t>
  </si>
  <si>
    <t>Battery-TA-RWARE/results/calls/shared_context/json/session_20260401_121402/gemma3_12b/small_picker_heavy_2v4/json/summary.json</t>
  </si>
  <si>
    <t>Battery-TA-RWARE/results/shelf/shared_context_llm_experiments/JSON/session_20260324_130956/gemma3_12b/small_agv_heavy_4v2/json/summary.json</t>
  </si>
  <si>
    <t>Battery-TA-RWARE/results/calls/shared_context/json/session_20260401_121402/gemma3_12b/small_balanced_2v2/json/summary.json</t>
  </si>
  <si>
    <t>Battery-TA-RWARE/results/shelf/shared_context_llm_experiments/JSON/session_20260324_130956/gemma3_12b/medium_balanced_4v4/json/summary.json</t>
  </si>
  <si>
    <t>Battery-TA-RWARE/results/calls/shared_context/json/session_20260401_121402/gemma3_12b/small_agv_heavy_4v2/json/summary.json</t>
  </si>
  <si>
    <t>Battery-TA-RWARE/results/shelf/shared_context_llm_experiments/JSON/session_20260324_130956/gemma3_12b/medium_agv_heavy_6v2/json/summary.json</t>
  </si>
  <si>
    <t>Battery-TA-RWARE/results/calls/shared_context/json/session_20260401_121402/gemma3_12b/medium_balanced_4v4/json/summary.json</t>
  </si>
  <si>
    <t>Battery-TA-RWARE/results/shelf/shared_context_llm_experiments/JSON/session_20260324_130956/phi4/tiny_balanced_1v1/json/summary.json</t>
  </si>
  <si>
    <t>Battery-TA-RWARE/results/calls/shared_context/json/session_20260401_121402/gemma3_12b/medium_agv_heavy_6v2/json/summary.json</t>
  </si>
  <si>
    <t>Battery-TA-RWARE/results/shelf/shared_context_llm_experiments/JSON/session_20260324_130956/phi4/small_picker_heavy_2v4/json/summary.json</t>
  </si>
  <si>
    <t>Battery-TA-RWARE/results/calls/shared_context/json/session_20260401_121402/phi4/tiny_balanced_1v1/json/summary.json</t>
  </si>
  <si>
    <t>Battery-TA-RWARE/results/shelf/shared_context_llm_experiments/JSON/session_20260324_130956/phi4/small_balanced_2v2/json/summary.json</t>
  </si>
  <si>
    <t>Battery-TA-RWARE/results/calls/shared_context/json/session_20260401_121402/phi4/small_picker_heavy_2v4/json/summary.json</t>
  </si>
  <si>
    <t>Battery-TA-RWARE/results/calls/shared_context/json/session_20260401_121402/phi4/small_balanced_2v2/json/summary.json</t>
  </si>
  <si>
    <t>Battery-TA-RWARE/results/shelf/shared_context_llm_experiments/JSON/session_20260324_130956/phi4/small_agv_heavy_4v2/json/summary.json</t>
  </si>
  <si>
    <t>Battery-TA-RWARE/results/calls/shared_context/json/session_20260401_121402/phi4/small_agv_heavy_4v2/json/summary.json</t>
  </si>
  <si>
    <t>Battery-TA-RWARE/results/shelf/shared_context_llm_experiments/JSON/session_20260324_130956/phi4/medium_balanced_4v4/json/summary.json</t>
  </si>
  <si>
    <t>Battery-TA-RWARE/results/calls/shared_context/json/session_20260401_121402/phi4/medium_balanced_4v4/json/summary.json</t>
  </si>
  <si>
    <t>Battery-TA-RWARE/results/shelf/shared_context_llm_experiments/JSON/session_20260324_130956/phi4/medium_agv_heavy_6v2/json/summary.json</t>
  </si>
  <si>
    <t>Battery-TA-RWARE/results/calls/shared_context/json/session_20260401_121402/phi4/medium_agv_heavy_6v2/json/summary.json</t>
  </si>
  <si>
    <t>Battery-TA-RWARE/results/shelf/shared_context_llm_experiments/JSON/session_20260324_130956/qwen2.5_14b/tiny_balanced_1v1/json/summary.json</t>
  </si>
  <si>
    <t>Battery-TA-RWARE/results/calls/shared_context/json/session_20260401_121402/qwen2.5_14b/tiny_balanced_1v1/json/summary.json</t>
  </si>
  <si>
    <t>Battery-TA-RWARE/results/calls/shared_context/json/session_20260401_121402/qwen2.5_14b/small_picker_heavy_2v4/json/summary.json</t>
  </si>
  <si>
    <t>Battery-TA-RWARE/results/shelf/shared_context_llm_experiments/JSON/session_20260324_130956/qwen2.5_14b/small_picker_heavy_2v4/json/summary.json</t>
  </si>
  <si>
    <t>Battery-TA-RWARE/results/calls/shared_context/json/session_20260401_121402/qwen2.5_14b/small_balanced_2v2/json/summary.json</t>
  </si>
  <si>
    <t>Battery-TA-RWARE/results/shelf/shared_context_llm_experiments/JSON/session_20260324_130956/qwen2.5_14b/small_balanced_2v2/json/summary.json</t>
  </si>
  <si>
    <t>Battery-TA-RWARE/results/calls/shared_context/json/session_20260401_121402/qwen2.5_14b/small_agv_heavy_4v2/json/summary.json</t>
  </si>
  <si>
    <t>Battery-TA-RWARE/results/shelf/shared_context_llm_experiments/JSON/session_20260324_130956/qwen2.5_14b/small_agv_heavy_4v2/json/summary.json</t>
  </si>
  <si>
    <t>Battery-TA-RWARE/results/calls/shared_context/json/session_20260401_121402/qwen2.5_14b/medium_balanced_4v4/json/summary.json</t>
  </si>
  <si>
    <t>Battery-TA-RWARE/results/calls/shared_context/json/session_20260401_121402/qwen2.5_14b/medium_agv_heavy_6v2/json/summary.json</t>
  </si>
  <si>
    <t>Battery-TA-RWARE/results/shelf/shared_context_llm_experiments/JSON/session_20260324_130956/qwen2.5_14b/medium_balanced_4v4/json/summary.json</t>
  </si>
  <si>
    <t>session_20260328_221437</t>
  </si>
  <si>
    <t>Battery-TA-RWARE/results/calls/shared_context/natural/session_20260328_221437/llama3.2_1b/tiny_balanced_1v1/language/summary.json</t>
  </si>
  <si>
    <t>Battery-TA-RWARE/results/shelf/shared_context_llm_experiments/JSON/session_20260324_130956/qwen2.5_14b/medium_agv_heavy_6v2/json/summary.json</t>
  </si>
  <si>
    <t>session_20260328_230923</t>
  </si>
  <si>
    <t>session_20260321_215949</t>
  </si>
  <si>
    <t>Battery-TA-RWARE/results/calls/shared_context/natural/session_20260328_230923/llama3.2_1b/tiny_balanced_1v1/language/summary.json</t>
  </si>
  <si>
    <t>session_20260329_094333</t>
  </si>
  <si>
    <t>Battery-TA-RWARE/results/shelf/shared_context_llm_experiments/natural/session_20260321_215949/llama3.2_1b/tiny_balanced_1v1/language/summary.json</t>
  </si>
  <si>
    <t>Battery-TA-RWARE/results/calls/shared_context/natural/session_20260329_094333/llama3.2_1b/tiny_balanced_1v1/language/summary.json</t>
  </si>
  <si>
    <t>Battery-TA-RWARE/results/shelf/shared_context_llm_experiments/natural/session_20260321_215949/llama3.2_1b/small_picker_heavy_2v4/language/summary.json</t>
  </si>
  <si>
    <t>Battery-TA-RWARE/results/calls/shared_context/natural/session_20260329_094333/llama3.2_1b/small_picker_heavy_2v4/language/summary.json</t>
  </si>
  <si>
    <t>Battery-TA-RWARE/results/calls/shared_context/natural/session_20260328_221437/llama3.2_1b/small_balanced_2v2/language/summary.json</t>
  </si>
  <si>
    <t>Battery-TA-RWARE/results/shelf/shared_context_llm_experiments/natural/session_20260321_215949/llama3.2_1b/small_balanced_2v2/language/summary.json</t>
  </si>
  <si>
    <t>Battery-TA-RWARE/results/calls/shared_context/natural/session_20260328_230923/llama3.2_1b/small_balanced_2v2/language/summary.json</t>
  </si>
  <si>
    <t>Battery-TA-RWARE/results/shelf/shared_context_llm_experiments/natural/session_20260321_215949/llama3.2_1b/small_agv_heavy_4v2/language/summary.json</t>
  </si>
  <si>
    <t>Battery-TA-RWARE/results/calls/shared_context/natural/session_20260329_094333/llama3.2_1b/small_balanced_2v2/language/summary.json</t>
  </si>
  <si>
    <t>Battery-TA-RWARE/results/shelf/shared_context_llm_experiments/natural/session_20260321_215949/llama3.2_1b/medium_balanced_4v4/language/summary.json</t>
  </si>
  <si>
    <t>Battery-TA-RWARE/results/calls/shared_context/natural/session_20260329_094333/llama3.2_1b/small_agv_heavy_4v2/language/summary.json</t>
  </si>
  <si>
    <t>Aggregate</t>
  </si>
  <si>
    <t>Battery-TA-RWARE/results/shelf/shared_context_llm_experiments/natural/session_20260321_215949/llama3.2_1b/medium_agv_heavy_6v2/language/summary.json</t>
  </si>
  <si>
    <t>Battery-TA-RWARE/results/calls/shared_context/natural/session_20260328_221437/llama3.2_1b/medium_balanced_4v4/language/summary.json</t>
  </si>
  <si>
    <t>Battery-TA-RWARE/results/calls/shared_context/natural/session_20260328_230923/llama3.2_1b/medium_balanced_4v4/language/summary.json</t>
  </si>
  <si>
    <t>Battery-TA-RWARE/results/shelf/shared_context_llm_experiments/natural/session_20260321_215949/llama3.2_3b/tiny_balanced_1v1/language/summary.json</t>
  </si>
  <si>
    <t>Battery-TA-RWARE/results/calls/shared_context/natural/session_20260329_094333/llama3.2_1b/medium_balanced_4v4/language/summary.json</t>
  </si>
  <si>
    <t>Battery-TA-RWARE/results/shelf/shared_context_llm_experiments/natural/session_20260321_215949/llama3.2_3b/small_picker_heavy_2v4/language/summary.json</t>
  </si>
  <si>
    <t>Battery-TA-RWARE/results/calls/shared_context/natural/session_20260329_094333/llama3.2_1b/medium_agv_heavy_6v2/language/summary.json</t>
  </si>
  <si>
    <t>Deliveries Per 1000 Calls</t>
  </si>
  <si>
    <t>Battery-TA-RWARE/results/shelf/shared_context_llm_experiments/natural/session_20260321_215949/llama3.2_3b/small_balanced_2v2/language/summary.json</t>
  </si>
  <si>
    <t>Battery-TA-RWARE/results/calls/shared_context/natural/session_20260329_094333/llama3.2_3b/tiny_balanced_1v1/language/summary.json</t>
  </si>
  <si>
    <t>JSON</t>
  </si>
  <si>
    <t>Battery-TA-RWARE/results/calls/shared_context/natural/session_20260329_094333/llama3.2_3b/small_picker_heavy_2v4/language/summary.json</t>
  </si>
  <si>
    <t>Battery-TA-RWARE/results/shelf/shared_context_llm_experiments/natural/session_20260321_215949/llama3.2_3b/small_agv_heavy_4v2/language/summary.json</t>
  </si>
  <si>
    <t>Battery-TA-RWARE/results/calls/shared_context/natural/session_20260329_094333/llama3.2_3b/small_balanced_2v2/language/summary.json</t>
  </si>
  <si>
    <t>Battery-TA-RWARE/results/shelf/shared_context_llm_experiments/natural/session_20260321_215949/llama3.2_3b/medium_balanced_4v4/language/summary.json</t>
  </si>
  <si>
    <t>Battery-TA-RWARE/results/calls/shared_context/natural/session_20260329_094333/llama3.2_3b/small_agv_heavy_4v2/language/summary.json</t>
  </si>
  <si>
    <t>Battery-TA-RWARE/results/shelf/shared_context_llm_experiments/natural/session_20260321_215949/llama3.2_3b/medium_agv_heavy_6v2/language/summary.json</t>
  </si>
  <si>
    <t>Battery-TA-RWARE/results/calls/shared_context/natural/session_20260329_094333/llama3.2_3b/medium_balanced_4v4/language/summary.json</t>
  </si>
  <si>
    <t>Battery-TA-RWARE/results/shelf/shared_context_llm_experiments/natural/session_20260321_215949/mistral_7b/tiny_balanced_1v1/language/summary.json</t>
  </si>
  <si>
    <t>Battery-TA-RWARE/results/calls/shared_context/natural/session_20260329_094333/llama3.2_3b/medium_agv_heavy_6v2/language/summary.json</t>
  </si>
  <si>
    <t>Battery-TA-RWARE/results/calls/shared_context/natural/session_20260329_094333/mistral_7b/tiny_balanced_1v1/language/summary.json</t>
  </si>
  <si>
    <t>Battery-TA-RWARE/results/shelf/shared_context_llm_experiments/natural/session_20260321_215949/mistral_7b/small_picker_heavy_2v4/language/summary.json</t>
  </si>
  <si>
    <t>Battery-TA-RWARE/results/calls/shared_context/natural/session_20260329_094333/mistral_7b/small_picker_heavy_2v4/language/summary.json</t>
  </si>
  <si>
    <t>Battery-TA-RWARE/results/shelf/shared_context_llm_experiments/natural/session_20260321_215949/mistral_7b/small_balanced_2v2/language/summary.json</t>
  </si>
  <si>
    <t>Battery-TA-RWARE/results/calls/shared_context/natural/session_20260329_094333/mistral_7b/small_balanced_2v2/language/summary.json</t>
  </si>
  <si>
    <t>Battery-TA-RWARE/results/shelf/shared_context_llm_experiments/natural/session_20260321_215949/mistral_7b/small_agv_heavy_4v2/language/summary.json</t>
  </si>
  <si>
    <t>Battery-TA-RWARE/results/calls/shared_context/natural/session_20260329_094333/mistral_7b/small_agv_heavy_4v2/language/summary.json</t>
  </si>
  <si>
    <t>Battery-TA-RWARE/results/shelf/shared_context_llm_experiments/natural/session_20260321_215949/mistral_7b/medium_balanced_4v4/language/summary.json</t>
  </si>
  <si>
    <t>Battery-TA-RWARE/results/calls/shared_context/natural/session_20260329_094333/mistral_7b/medium_balanced_4v4/language/summary.json</t>
  </si>
  <si>
    <t>Battery-TA-RWARE/results/calls/shared_context/natural/session_20260329_094333/mistral_7b/medium_agv_heavy_6v2/language/summary.json</t>
  </si>
  <si>
    <t>Battery-TA-RWARE/results/shelf/shared_context_llm_experiments/natural/session_20260321_215949/mistral_7b/medium_agv_heavy_6v2/language/summary.json</t>
  </si>
  <si>
    <t>Battery-TA-RWARE/results/calls/shared_context/natural/session_20260329_094333/gemma3_12b/tiny_balanced_1v1/language/summary.json</t>
  </si>
  <si>
    <t>Battery-TA-RWARE/results/shelf/shared_context_llm_experiments/natural/session_20260321_215949/gemma3_12b/tiny_balanced_1v1/language/summary.json</t>
  </si>
  <si>
    <t>Battery-TA-RWARE/results/calls/shared_context/natural/session_20260329_094333/gemma3_12b/small_picker_heavy_2v4/language/summary.json</t>
  </si>
  <si>
    <t>Battery-TA-RWARE/results/shelf/shared_context_llm_experiments/natural/session_20260321_215949/gemma3_12b/small_picker_heavy_2v4/language/summary.json</t>
  </si>
  <si>
    <t>Battery-TA-RWARE/results/calls/shared_context/natural/session_20260329_094333/gemma3_12b/small_balanced_2v2/language/summary.json</t>
  </si>
  <si>
    <t>Battery-TA-RWARE/results/shelf/shared_context_llm_experiments/natural/session_20260321_215949/gemma3_12b/small_balanced_2v2/language/summary.json</t>
  </si>
  <si>
    <t>Battery-TA-RWARE/results/calls/shared_context/natural/session_20260329_094333/gemma3_12b/small_agv_heavy_4v2/language/summary.json</t>
  </si>
  <si>
    <t>Battery-TA-RWARE/results/calls/shared_context/natural/session_20260329_094333/gemma3_12b/medium_balanced_4v4/language/summary.json</t>
  </si>
  <si>
    <t>Battery-TA-RWARE/results/shelf/shared_context_llm_experiments/natural/session_20260321_215949/gemma3_12b/small_agv_heavy_4v2/language/summary.json</t>
  </si>
  <si>
    <t>Battery-TA-RWARE/results/calls/shared_context/natural/session_20260329_094333/gemma3_12b/medium_agv_heavy_6v2/language/summary.json</t>
  </si>
  <si>
    <t>Battery-TA-RWARE/results/shelf/shared_context_llm_experiments/natural/session_20260321_215949/gemma3_12b/medium_balanced_4v4/language/summary.json</t>
  </si>
  <si>
    <t>Battery-TA-RWARE/results/calls/shared_context/natural/session_20260329_094333/phi4/tiny_balanced_1v1/language/summary.json</t>
  </si>
  <si>
    <t>Battery-TA-RWARE/results/shelf/shared_context_llm_experiments/natural/session_20260321_215949/gemma3_12b/medium_agv_heavy_6v2/language/summary.json</t>
  </si>
  <si>
    <t>Battery-TA-RWARE/results/calls/shared_context/natural/session_20260329_094333/phi4/small_picker_heavy_2v4/language/summary.json</t>
  </si>
  <si>
    <t>Battery-TA-RWARE/results/shelf/shared_context_llm_experiments/natural/session_20260321_215949/phi4/tiny_balanced_1v1/language/summary.json</t>
  </si>
  <si>
    <t>Battery-TA-RWARE/results/calls/shared_context/natural/session_20260329_094333/phi4/small_balanced_2v2/language/summary.json</t>
  </si>
  <si>
    <t>Battery-TA-RWARE/results/shelf/shared_context_llm_experiments/natural/session_20260321_215949/phi4/small_picker_heavy_2v4/language/summary.json</t>
  </si>
  <si>
    <t>Battery-TA-RWARE/results/calls/shared_context/natural/session_20260329_094333/phi4/small_agv_heavy_4v2/language/summary.json</t>
  </si>
  <si>
    <t>Battery-TA-RWARE/results/calls/shared_context/natural/session_20260329_094333/phi4/medium_balanced_4v4/language/summary.json</t>
  </si>
  <si>
    <t>Battery-TA-RWARE/results/shelf/shared_context_llm_experiments/natural/session_20260321_215949/phi4/small_balanced_2v2/language/summary.json</t>
  </si>
  <si>
    <t>Battery-TA-RWARE/results/calls/shared_context/natural/session_20260329_094333/phi4/medium_agv_heavy_6v2/language/summary.json</t>
  </si>
  <si>
    <t>Battery-TA-RWARE/results/shelf/shared_context_llm_experiments/natural/session_20260321_215949/phi4/small_agv_heavy_4v2/language/summary.json</t>
  </si>
  <si>
    <t>Battery-TA-RWARE/results/calls/shared_context/natural/session_20260329_094333/qwen2.5_14b/tiny_balanced_1v1/language/summary.json</t>
  </si>
  <si>
    <t>Battery-TA-RWARE/results/shelf/shared_context_llm_experiments/natural/session_20260321_215949/phi4/medium_balanced_4v4/language/summary.json</t>
  </si>
  <si>
    <t>Battery-TA-RWARE/results/calls/shared_context/natural/session_20260329_094333/qwen2.5_14b/small_picker_heavy_2v4/language/summary.json</t>
  </si>
  <si>
    <t>Battery-TA-RWARE/results/calls/shared_context/natural/session_20260329_094333/qwen2.5_14b/small_balanced_2v2/language/summary.json</t>
  </si>
  <si>
    <t>Battery-TA-RWARE/results/shelf/shared_context_llm_experiments/natural/session_20260321_215949/phi4/medium_agv_heavy_6v2/language/summary.json</t>
  </si>
  <si>
    <t>Battery-TA-RWARE/results/calls/shared_context/natural/session_20260329_094333/qwen2.5_14b/small_agv_heavy_4v2/language/summary.json</t>
  </si>
  <si>
    <t>Battery-TA-RWARE/results/shelf/shared_context_llm_experiments/natural/session_20260321_215949/qwen2.5_14b/tiny_balanced_1v1/language/summary.json</t>
  </si>
  <si>
    <t>Battery-TA-RWARE/results/calls/shared_context/natural/session_20260329_094333/qwen2.5_14b/medium_balanced_4v4/language/summary.json</t>
  </si>
  <si>
    <t>Battery-TA-RWARE/results/shelf/shared_context_llm_experiments/natural/session_20260321_215949/qwen2.5_14b/small_picker_heavy_2v4/language/summary.json</t>
  </si>
  <si>
    <t>Battery-TA-RWARE/results/calls/shared_context/natural/session_20260329_094333/qwen2.5_14b/medium_agv_heavy_6v2/language/summary.json</t>
  </si>
  <si>
    <t>session_20260319_132509</t>
  </si>
  <si>
    <t>Battery-TA-RWARE/results/shelf/central_llm_experiments/JSON/session_20260319_132509/llama3.2_1b/tiny_balanced_1v1/language/summary.json</t>
  </si>
  <si>
    <t>Battery-TA-RWARE/results/shelf/shared_context_llm_experiments/natural/session_20260321_215949/qwen2.5_14b/small_balanced_2v2/language/summary.json</t>
  </si>
  <si>
    <t>Battery-TA-RWARE/results/shelf/central_llm_experiments/JSON/session_20260319_132509/llama3.2_1b/small_picker_heavy_2v4/language/summary.json</t>
  </si>
  <si>
    <t>Battery-TA-RWARE/results/shelf/central_llm_experiments/JSON/session_20260319_132509/llama3.2_1b/small_balanced_2v2/language/summary.json</t>
  </si>
  <si>
    <t>Battery-TA-RWARE/results/shelf/shared_context_llm_experiments/natural/session_20260321_215949/qwen2.5_14b/small_agv_heavy_4v2/language/summary.json</t>
  </si>
  <si>
    <t>Battery-TA-RWARE/results/shelf/central_llm_experiments/JSON/session_20260319_132509/llama3.2_1b/small_agv_heavy_4v2/language/summary.json</t>
  </si>
  <si>
    <t>Battery-TA-RWARE/results/shelf/shared_context_llm_experiments/natural/session_20260321_215949/qwen2.5_14b/medium_balanced_4v4/language/summary.json</t>
  </si>
  <si>
    <t>Battery-TA-RWARE/results/shelf/central_llm_experiments/JSON/session_20260319_132509/llama3.2_1b/medium_balanced_4v4/language/summary.json</t>
  </si>
  <si>
    <t>Battery-TA-RWARE/results/shelf/central_llm_experiments/JSON/session_20260319_132509/llama3.2_1b/medium_agv_heavy_6v2/language/summary.json</t>
  </si>
  <si>
    <t>Battery-TA-RWARE/results/shelf/shared_context_llm_experiments/natural/session_20260321_215949/qwen2.5_14b/medium_agv_heavy_6v2/language/summary.json</t>
  </si>
  <si>
    <t>Battery-TA-RWARE/results/shelf/central_llm_experiments/JSON/session_20260319_132509/llama3.2_3b/tiny_balanced_1v1/language/summary.json</t>
  </si>
  <si>
    <t>Battery-TA-RWARE/results/shelf/central_llm_experiments/JSON/session_20260319_132509/llama3.2_3b/small_picker_heavy_2v4/language/summary.json</t>
  </si>
  <si>
    <t>Battery-TA-RWARE/results/shelf/central_llm_experiments/JSON/session_20260319_132509/llama3.2_3b/small_balanced_2v2/language/summary.json</t>
  </si>
  <si>
    <t>Battery-TA-RWARE/results/shelf/central_llm_experiments/JSON/session_20260319_132509/llama3.2_3b/small_agv_heavy_4v2/language/summary.json</t>
  </si>
  <si>
    <t>Battery-TA-RWARE/results/shelf/central_llm_experiments/JSON/session_20260319_132509/llama3.2_3b/medium_balanced_4v4/language/summary.json</t>
  </si>
  <si>
    <t>Battery-TA-RWARE/results/shelf/central_llm_experiments/JSON/session_20260319_132509/llama3.2_3b/medium_agv_heavy_6v2/language/summary.json</t>
  </si>
  <si>
    <t>Battery-TA-RWARE/results/shelf/central_llm_experiments/JSON/session_20260319_132509/mistral_7b/tiny_balanced_1v1/language/summary.json</t>
  </si>
  <si>
    <t>Battery-TA-RWARE/results/shelf/central_llm_experiments/JSON/session_20260319_132509/mistral_7b/small_picker_heavy_2v4/language/summary.json</t>
  </si>
  <si>
    <t>Delivery per 1000 calls</t>
  </si>
  <si>
    <t>Battery-TA-RWARE/results/shelf/central_llm_experiments/JSON/session_20260319_132509/mistral_7b/small_balanced_2v2/language/summary.json</t>
  </si>
  <si>
    <t>Battery-TA-RWARE/results/shelf/central_llm_experiments/JSON/session_20260319_132509/mistral_7b/small_agv_heavy_4v2/language/summary.json</t>
  </si>
  <si>
    <t>Battery-TA-RWARE/results/shelf/central_llm_experiments/JSON/session_20260319_132509/mistral_7b/medium_balanced_4v4/language/summary.json</t>
  </si>
  <si>
    <t>Battery-TA-RWARE/results/shelf/central_llm_experiments/JSON/session_20260319_132509/mistral_7b/medium_agv_heavy_6v2/language/summary.json</t>
  </si>
  <si>
    <t>Battery-TA-RWARE/results/shelf/central_llm_experiments/JSON/session_20260319_132509/gemma3_12b/tiny_balanced_1v1/language/summary.json</t>
  </si>
  <si>
    <t>Battery-TA-RWARE/results/shelf/central_llm_experiments/JSON/session_20260319_132509/gemma3_12b/small_picker_heavy_2v4/language/summary.json</t>
  </si>
  <si>
    <t>Battery-TA-RWARE/results/shelf/central_llm_experiments/JSON/session_20260319_132509/gemma3_12b/small_balanced_2v2/language/summary.json</t>
  </si>
  <si>
    <t>Battery-TA-RWARE/results/shelf/central_llm_experiments/JSON/session_20260319_132509/gemma3_12b/small_agv_heavy_4v2/language/summary.json</t>
  </si>
  <si>
    <t>Battery-TA-RWARE/results/shelf/central_llm_experiments/JSON/session_20260319_132509/gemma3_12b/medium_balanced_4v4/language/summary.json</t>
  </si>
  <si>
    <t>Battery-TA-RWARE/results/shelf/central_llm_experiments/JSON/session_20260319_132509/gemma3_12b/medium_agv_heavy_6v2/language/summary.json</t>
  </si>
  <si>
    <t>Battery-TA-RWARE/results/shelf/central_llm_experiments/JSON/session_20260319_132509/phi4/tiny_balanced_1v1/language/summary.json</t>
  </si>
  <si>
    <t>Battery-TA-RWARE/results/shelf/central_llm_experiments/JSON/session_20260319_132509/phi4/small_picker_heavy_2v4/language/summary.json</t>
  </si>
  <si>
    <t>Battery-TA-RWARE/results/shelf/central_llm_experiments/JSON/session_20260319_132509/phi4/small_balanced_2v2/language/summary.json</t>
  </si>
  <si>
    <t>Battery-TA-RWARE/results/shelf/central_llm_experiments/JSON/session_20260319_132509/phi4/small_agv_heavy_4v2/language/summary.json</t>
  </si>
  <si>
    <t>Battery-TA-RWARE/results/shelf/central_llm_experiments/JSON/session_20260319_132509/phi4/medium_balanced_4v4/language/summary.json</t>
  </si>
  <si>
    <t>Battery-TA-RWARE/results/shelf/central_llm_experiments/JSON/session_20260319_132509/phi4/medium_agv_heavy_6v2/language/summary.json</t>
  </si>
  <si>
    <t>Battery-TA-RWARE/results/shelf/central_llm_experiments/JSON/session_20260319_132509/qwen2.5_14b/tiny_balanced_1v1/language/summary.json</t>
  </si>
  <si>
    <t>Prompt Efficiency by Coordination Architecture</t>
  </si>
  <si>
    <t>Centralized JSON</t>
  </si>
  <si>
    <t>Battery-TA-RWARE/results/shelf/central_llm_experiments/JSON/session_20260319_132509/qwen2.5_14b/small_picker_heavy_2v4/language/summary.json</t>
  </si>
  <si>
    <t>Centralized Natural</t>
  </si>
  <si>
    <t>Battery-TA-RWARE/results/shelf/central_llm_experiments/JSON/session_20260319_132509/qwen2.5_14b/small_balanced_2v2/language/summary.json</t>
  </si>
  <si>
    <t>Shared JSON</t>
  </si>
  <si>
    <t>Shared Natural</t>
  </si>
  <si>
    <t>Battery-TA-RWARE/results/shelf/central_llm_experiments/JSON/session_20260319_132509/qwen2.5_14b/small_agv_heavy_4v2/language/summary.json</t>
  </si>
  <si>
    <t>Two points supporting deliveries per 1000 LLM calls instead of raw mean deliveries:
It normalizes for unequal episode length caused by stopping rules.
Runs with no deliveries may stop early due to inactivity, while successful runs continue longer and can accumulate more deliveries. Raw mean deliveries can therefore favor runs that simply had more opportunity to continue.
It measures coordination efficiency, not just task output.
Each LLM call represents a coordination/inference decision. Deliveries per 1000 calls shows how effectively a prompt format converts LLM interactions into completed deliveries, making JSON and Natural prompts more fairly comparable.</t>
  </si>
  <si>
    <t>Battery-TA-RWARE/results/shelf/central_llm_experiments/JSON/session_20260319_132509/qwen2.5_14b/medium_balanced_4v4/language/summary.json</t>
  </si>
  <si>
    <t>Note, delivery wise, shared is better, but if we take into the number of llm calls required, it shows a different number</t>
  </si>
  <si>
    <t>JSON combinations</t>
  </si>
  <si>
    <t>Battery-TA-RWARE/results/shelf/central_llm_experiments/JSON/session_20260319_132509/qwen2.5_14b/medium_agv_heavy_6v2/language/summary.json</t>
  </si>
  <si>
    <t>Natural combinations</t>
  </si>
  <si>
    <t>session_cps_20260524</t>
  </si>
  <si>
    <t>Battery-TA-RWARE/results/battery/centralized/natural/session_cps_20260524/gemma3_12b/tiny_balanced_1v1/language/summary.json</t>
  </si>
  <si>
    <t>Battery-TA-RWARE/results/battery/centralized/natural/session_cps_20260524/gemma3_12b/small_balanced_2v2/language/summary.json</t>
  </si>
  <si>
    <t>Battery-TA-RWARE/results/battery/centralized/natural/session_cps_20260524/gemma3_12b/small_agv_heavy_4v2/language/summary.json</t>
  </si>
  <si>
    <t>Battery-TA-RWARE/results/battery/centralized/natural/session_cps_20260524/gemma3_12b/medium_balanced_4v4/language/summary.json</t>
  </si>
  <si>
    <t>Battery-TA-RWARE/results/battery/centralized/natural/session_cps_20260524/gemma3_12b/medium_agv_heavy_6v2/language/summary.json</t>
  </si>
  <si>
    <t>session_cps_20260521</t>
  </si>
  <si>
    <t>Battery-TA-RWARE/results/battery/shared/natural/session_cps_20260521/llama3.2_1b/tiny_balanced_1v1/language/summary.json</t>
  </si>
  <si>
    <t>session_cps_20260523</t>
  </si>
  <si>
    <t>Battery-TA-RWARE/results/battery/shared/natural/session_cps_20260523/llama3.2_1b/tiny_balanced_1v1/language/summary.json</t>
  </si>
  <si>
    <t>session_cps_20260533</t>
  </si>
  <si>
    <t>Battery-TA-RWARE/results/battery/shared/natural/session_cps_20260533/llama3.2_1b/tiny_balanced_1v1/language/summary.json</t>
  </si>
  <si>
    <t>session_cps_20260534</t>
  </si>
  <si>
    <t>Battery-TA-RWARE/results/battery/shared/natural/session_cps_20260534/llama3.2_1b/tiny_balanced_1v1/language/summary.json</t>
  </si>
  <si>
    <t>Battery-TA-RWARE/results/battery/shared/natural/session_cps_20260521/llama3.2_1b/small_picker_heavy_2v4/language/summary.json</t>
  </si>
  <si>
    <t>Battery-TA-RWARE/results/battery/shared/natural/session_cps_20260523/llama3.2_1b/small_picker_heavy_2v4/language/summary.json</t>
  </si>
  <si>
    <t>Battery-TA-RWARE/results/battery/shared/natural/session_cps_20260533/llama3.2_1b/small_picker_heavy_2v4/language/summary.json</t>
  </si>
  <si>
    <t>Battery-TA-RWARE/results/battery/shared/natural/session_cps_20260534/llama3.2_1b/small_picker_heavy_2v4/language/summary.json</t>
  </si>
  <si>
    <t>Battery-TA-RWARE/results/battery/shared/natural/session_cps_20260521/llama3.2_1b/small_balanced_2v2/language/summary.json</t>
  </si>
  <si>
    <t>Battery-TA-RWARE/results/battery/shared/natural/session_cps_20260523/llama3.2_1b/small_balanced_2v2/language/summary.json</t>
  </si>
  <si>
    <t>Battery-TA-RWARE/results/battery/shared/natural/session_cps_20260533/llama3.2_1b/small_balanced_2v2/language/summary.json</t>
  </si>
  <si>
    <t>Battery-TA-RWARE/results/battery/shared/natural/session_cps_20260534/llama3.2_1b/small_balanced_2v2/language/summary.json</t>
  </si>
  <si>
    <t>Battery-TA-RWARE/results/battery/shared/natural/session_cps_20260521/llama3.2_1b/small_agv_heavy_4v2/language/summary.json</t>
  </si>
  <si>
    <t>Battery-TA-RWARE/results/battery/shared/natural/session_cps_20260523/llama3.2_1b/small_agv_heavy_4v2/language/summary.json</t>
  </si>
  <si>
    <t>Battery-TA-RWARE/results/battery/shared/natural/session_cps_20260533/llama3.2_1b/small_agv_heavy_4v2/language/summary.json</t>
  </si>
  <si>
    <t>Battery-TA-RWARE/results/battery/shared/natural/session_cps_20260534/llama3.2_1b/small_agv_heavy_4v2/language/summary.json</t>
  </si>
  <si>
    <t>Battery-TA-RWARE/results/battery/shared/natural/session_cps_20260521/llama3.2_1b/medium_balanced_4v4/language/summary.json</t>
  </si>
  <si>
    <t>Battery-TA-RWARE/results/battery/shared/natural/session_cps_20260523/llama3.2_1b/medium_balanced_4v4/language/summary.json</t>
  </si>
  <si>
    <t>Battery-TA-RWARE/results/battery/shared/natural/session_cps_20260533/llama3.2_1b/medium_balanced_4v4/language/summary.json</t>
  </si>
  <si>
    <t>Battery-TA-RWARE/results/battery/shared/natural/session_cps_20260534/llama3.2_1b/medium_balanced_4v4/language/summary.json</t>
  </si>
  <si>
    <t>Battery-TA-RWARE/results/battery/shared/natural/session_cps_20260521/llama3.2_1b/medium_agv_heavy_6v2/language/summary.json</t>
  </si>
  <si>
    <t>Battery-TA-RWARE/results/battery/shared/natural/session_cps_20260523/llama3.2_1b/medium_agv_heavy_6v2/language/summary.json</t>
  </si>
  <si>
    <t>Battery-TA-RWARE/results/battery/shared/natural/session_cps_20260533/llama3.2_1b/medium_agv_heavy_6v2/language/summary.json</t>
  </si>
  <si>
    <t>Battery-TA-RWARE/results/battery/shared/natural/session_cps_20260534/llama3.2_1b/medium_agv_heavy_6v2/language/summary.json</t>
  </si>
  <si>
    <t>Battery-TA-RWARE/results/battery/shared/natural/session_cps_20260521/llama3.2_3b/tiny_balanced_1v1/language/summary.json</t>
  </si>
  <si>
    <t>Battery-TA-RWARE/results/battery/shared/natural/session_cps_20260523/llama3.2_3b/tiny_balanced_1v1/language/summary.json</t>
  </si>
  <si>
    <t>Battery-TA-RWARE/results/battery/shared/natural/session_cps_20260533/llama3.2_3b/tiny_balanced_1v1/language/summary.json</t>
  </si>
  <si>
    <t>Battery-TA-RWARE/results/battery/shared/natural/session_cps_20260534/llama3.2_3b/tiny_balanced_1v1/language/summary.json</t>
  </si>
  <si>
    <t>Battery-TA-RWARE/results/battery/shared/natural/session_cps_20260521/llama3.2_3b/small_picker_heavy_2v4/language/summary.json</t>
  </si>
  <si>
    <t>Battery-TA-RWARE/results/battery/shared/natural/session_cps_20260523/llama3.2_3b/small_picker_heavy_2v4/language/summary.json</t>
  </si>
  <si>
    <t>Battery-TA-RWARE/results/battery/shared/natural/session_cps_20260533/llama3.2_3b/small_picker_heavy_2v4/language/summary.json</t>
  </si>
  <si>
    <t>Battery-TA-RWARE/results/battery/shared/natural/session_cps_20260534/llama3.2_3b/small_picker_heavy_2v4/language/summary.json</t>
  </si>
  <si>
    <t>Battery-TA-RWARE/results/battery/shared/natural/session_cps_20260521/llama3.2_3b/small_balanced_2v2/language/summary.json</t>
  </si>
  <si>
    <t>Battery-TA-RWARE/results/battery/shared/natural/session_cps_20260523/llama3.2_3b/small_balanced_2v2/language/summary.json</t>
  </si>
  <si>
    <t>Battery-TA-RWARE/results/battery/shared/natural/session_cps_20260533/llama3.2_3b/small_balanced_2v2/language/summary.json</t>
  </si>
  <si>
    <t>Battery-TA-RWARE/results/battery/shared/natural/session_cps_20260534/llama3.2_3b/small_balanced_2v2/language/summary.json</t>
  </si>
  <si>
    <t>Battery-TA-RWARE/results/battery/shared/natural/session_cps_20260521/llama3.2_3b/small_agv_heavy_4v2/language/summary.json</t>
  </si>
  <si>
    <t>Battery-TA-RWARE/results/battery/shared/natural/session_cps_20260523/llama3.2_3b/small_agv_heavy_4v2/language/summary.json</t>
  </si>
  <si>
    <t>Battery-TA-RWARE/results/battery/shared/natural/session_cps_20260533/llama3.2_3b/small_agv_heavy_4v2/language/summary.json</t>
  </si>
  <si>
    <t>Centralized runs</t>
  </si>
  <si>
    <t>Centralized mean calls</t>
  </si>
  <si>
    <t>Centralized mean deliveries</t>
  </si>
  <si>
    <t>Centralized delivery/1000 calls</t>
  </si>
  <si>
    <t>Battery-TA-RWARE/results/battery/shared/natural/session_cps_20260534/llama3.2_3b/small_agv_heavy_4v2/language/summary.json</t>
  </si>
  <si>
    <t>Shared runs</t>
  </si>
  <si>
    <t>Shared mean calls</t>
  </si>
  <si>
    <t>Shared mean deliveries</t>
  </si>
  <si>
    <t>Shared delivery/1000 calls</t>
  </si>
  <si>
    <t>Battery-TA-RWARE/results/battery/shared/natural/session_cps_20260521/llama3.2_3b/medium_balanced_4v4/language/summary.json</t>
  </si>
  <si>
    <t>Battery-TA-RWARE/results/battery/shared/natural/session_cps_20260523/llama3.2_3b/medium_balanced_4v4/language/summary.json</t>
  </si>
  <si>
    <t>Battery-TA-RWARE/results/battery/shared/natural/session_cps_20260533/llama3.2_3b/medium_balanced_4v4/language/summary.json</t>
  </si>
  <si>
    <t>Battery-TA-RWARE/results/battery/shared/natural/session_cps_20260534/llama3.2_3b/medium_balanced_4v4/language/summary.json</t>
  </si>
  <si>
    <t>Battery-TA-RWARE/results/battery/shared/natural/session_cps_20260521/llama3.2_3b/medium_agv_heavy_6v2/language/summary.json</t>
  </si>
  <si>
    <t>Battery-TA-RWARE/results/battery/shared/natural/session_cps_20260523/llama3.2_3b/medium_agv_heavy_6v2/language/summary.json</t>
  </si>
  <si>
    <t>Battery-TA-RWARE/results/battery/shared/natural/session_cps_20260533/llama3.2_3b/medium_agv_heavy_6v2/language/summary.json</t>
  </si>
  <si>
    <t>Battery-TA-RWARE/results/battery/shared/natural/session_cps_20260534/llama3.2_3b/medium_agv_heavy_6v2/language/summary.json</t>
  </si>
  <si>
    <t>Battery-TA-RWARE/results/battery/shared/natural/session_cps_20260521/mistral_7b/tiny_balanced_1v1/language/summary.json</t>
  </si>
  <si>
    <t>Battery-TA-RWARE/results/battery/shared/natural/session_cps_20260523/mistral_7b/tiny_balanced_1v1/language/summary.json</t>
  </si>
  <si>
    <t>Battery-TA-RWARE/results/battery/shared/natural/session_cps_20260533/mistral_7b/tiny_balanced_1v1/language/summary.json</t>
  </si>
  <si>
    <t>Battery-TA-RWARE/results/battery/shared/natural/session_cps_20260534/mistral_7b/tiny_balanced_1v1/language/summary.json</t>
  </si>
  <si>
    <t>Battery-TA-RWARE/results/battery/shared/natural/session_cps_20260521/mistral_7b/small_picker_heavy_2v4/language/summary.json</t>
  </si>
  <si>
    <t>Battery-TA-RWARE/results/battery/shared/natural/session_cps_20260523/mistral_7b/small_picker_heavy_2v4/language/summary.json</t>
  </si>
  <si>
    <t>Battery-TA-RWARE/results/battery/shared/natural/session_cps_20260534/mistral_7b/small_picker_heavy_2v4/language/summary.json</t>
  </si>
  <si>
    <t>Battery-TA-RWARE/results/battery/shared/natural/session_cps_20260521/mistral_7b/small_balanced_2v2/language/summary.json</t>
  </si>
  <si>
    <t>Battery-TA-RWARE/results/battery/shared/natural/session_cps_20260523/mistral_7b/small_balanced_2v2/language/summary.json</t>
  </si>
  <si>
    <t>Battery-TA-RWARE/results/battery/shared/natural/session_cps_20260534/mistral_7b/small_balanced_2v2/language/summary.json</t>
  </si>
  <si>
    <t>Battery-TA-RWARE/results/battery/shared/natural/session_cps_20260521/mistral_7b/small_agv_heavy_4v2/language/summary.json</t>
  </si>
  <si>
    <t>Battery-TA-RWARE/results/battery/shared/natural/session_cps_20260523/mistral_7b/small_agv_heavy_4v2/language/summary.json</t>
  </si>
  <si>
    <t>Battery-TA-RWARE/results/battery/shared/natural/session_cps_20260534/mistral_7b/small_agv_heavy_4v2/language/summary.json</t>
  </si>
  <si>
    <t>Battery-TA-RWARE/results/battery/shared/natural/session_cps_20260521/mistral_7b/medium_balanced_4v4/language/summary.json</t>
  </si>
  <si>
    <t>Battery-TA-RWARE/results/battery/shared/natural/session_cps_20260523/mistral_7b/medium_balanced_4v4/language/summary.json</t>
  </si>
  <si>
    <t>Battery-TA-RWARE/results/battery/shared/natural/session_cps_20260534/mistral_7b/medium_balanced_4v4/language/summary.json</t>
  </si>
  <si>
    <t>Battery-TA-RWARE/results/battery/shared/natural/session_cps_20260521/mistral_7b/medium_agv_heavy_6v2/language/summary.json</t>
  </si>
  <si>
    <t>Battery-TA-RWARE/results/battery/shared/natural/session_cps_20260523/mistral_7b/medium_agv_heavy_6v2/language/summary.json</t>
  </si>
  <si>
    <t>Battery-TA-RWARE/results/battery/shared/natural/session_cps_20260534/mistral_7b/medium_agv_heavy_6v2/language/summary.json</t>
  </si>
  <si>
    <t>Battery-TA-RWARE/results/battery/shared/natural/session_cps_20260521/gemma3_12b/tiny_balanced_1v1/language/summary.json</t>
  </si>
  <si>
    <t>Battery-TA-RWARE/results/battery/shared/natural/session_cps_20260534/gemma3_12b/tiny_balanced_1v1/language/summary.json</t>
  </si>
  <si>
    <t>Battery-TA-RWARE/results/battery/shared/natural/session_cps_20260521/gemma3_12b/small_picker_heavy_2v4/language/summary.json</t>
  </si>
  <si>
    <t>Battery-TA-RWARE/results/battery/shared/natural/session_cps_20260521/gemma3_12b/small_balanced_2v2/language/summary.json</t>
  </si>
  <si>
    <t>Battery-TA-RWARE/results/battery/shared/natural/session_cps_20260521/gemma3_12b/small_agv_heavy_4v2/language/summary.json</t>
  </si>
  <si>
    <t>Battery-TA-RWARE/results/battery/shared/natural/session_cps_20260521/gemma3_12b/medium_balanced_4v4/language/summary.json</t>
  </si>
  <si>
    <t>Battery-TA-RWARE/results/battery/shared/natural/session_cps_20260521/gemma3_12b/medium_agv_heavy_6v2/language/summary.json</t>
  </si>
  <si>
    <t>Battery-TA-RWARE/results/battery/shared/natural/session_cps_20260521/phi4/tiny_balanced_1v1/language/summary.json</t>
  </si>
  <si>
    <t>Battery-TA-RWARE/results/battery/shared/natural/session_cps_20260521/phi4/small_picker_heavy_2v4/language/summary.json</t>
  </si>
  <si>
    <t>Battery-TA-RWARE/results/battery/shared/natural/session_cps_20260521/phi4/small_balanced_2v2/language/summary.json</t>
  </si>
  <si>
    <t>Battery-TA-RWARE/results/battery/shared/natural/session_cps_20260521/phi4/small_agv_heavy_4v2/language/summary.json</t>
  </si>
  <si>
    <t>Battery-TA-RWARE/results/battery/shared/natural/session_cps_20260521/phi4/medium_balanced_4v4/language/summary.json</t>
  </si>
  <si>
    <t>Battery-TA-RWARE/results/battery/shared/natural/session_cps_20260521/phi4/medium_agv_heavy_6v2/language/summary.json</t>
  </si>
  <si>
    <t>Battery-TA-RWARE/results/battery/shared/natural/session_cps_20260521/qwen2.5_14b/tiny_balanced_1v1/language/summary.json</t>
  </si>
  <si>
    <t>Battery-TA-RWARE/results/battery/shared/natural/session_cps_20260521/qwen2.5_14b/small_picker_heavy_2v4/language/summary.json</t>
  </si>
  <si>
    <t>Battery-TA-RWARE/results/battery/shared/natural/session_cps_20260521/qwen2.5_14b/small_balanced_2v2/language/summary.json</t>
  </si>
  <si>
    <t>Battery-TA-RWARE/results/battery/shared/natural/session_cps_20260521/qwen2.5_14b/small_agv_heavy_4v2/language/summary.json</t>
  </si>
  <si>
    <t>Battery-TA-RWARE/results/battery/shared/natural/session_cps_20260521/qwen2.5_14b/medium_balanced_4v4/language/summary.json</t>
  </si>
  <si>
    <t>Battery-TA-RWARE/results/battery/shared/natural/session_cps_20260521/qwen2.5_14b/medium_agv_heavy_6v2/language/summary.json</t>
  </si>
  <si>
    <t>Battery + Shelf</t>
  </si>
  <si>
    <t>session_cps_20260618</t>
  </si>
  <si>
    <t>Battery-TA-RWARE/results/shelf/centralized/json/session_cps_20260618/llama3.2_1b/tiny_balanced_1v1/json/summary.json</t>
  </si>
  <si>
    <t>Battery-TA-RWARE/results/shelf/centralized/json/session_cps_20260618/llama3.2_1b/small_picker_heavy_2v4/json/summary.json</t>
  </si>
  <si>
    <t>Battery-TA-RWARE/results/shelf/centralized/json/session_cps_20260618/llama3.2_1b/small_balanced_2v2/json/summary.json</t>
  </si>
  <si>
    <t>Battery-TA-RWARE/results/shelf/centralized/json/session_cps_20260618/llama3.2_1b/small_agv_heavy_4v2/json/summary.json</t>
  </si>
  <si>
    <t>Battery-TA-RWARE/results/shelf/centralized/json/session_cps_20260618/llama3.2_1b/medium_balanced_4v4/json/summary.json</t>
  </si>
  <si>
    <t>Battery-TA-RWARE/results/shelf/centralized/json/session_cps_20260618/llama3.2_1b/medium_agv_heavy_6v2/json/summary.json</t>
  </si>
  <si>
    <t>Battery-TA-RWARE/results/shelf/centralized/json/session_cps_20260618/llama3.2_3b/tiny_balanced_1v1/json/summary.json</t>
  </si>
  <si>
    <t>Battery-TA-RWARE/results/shelf/centralized/json/session_cps_20260618/llama3.2_3b/small_picker_heavy_2v4/json/summary.json</t>
  </si>
  <si>
    <t>Battery-TA-RWARE/results/shelf/centralized/json/session_cps_20260618/llama3.2_3b/small_balanced_2v2/json/summary.json</t>
  </si>
  <si>
    <t>Battery-TA-RWARE/results/shelf/centralized/json/session_cps_20260618/llama3.2_3b/small_agv_heavy_4v2/json/summary.json</t>
  </si>
  <si>
    <t>Battery-TA-RWARE/results/shelf/centralized/json/session_cps_20260618/llama3.2_3b/medium_balanced_4v4/json/summary.json</t>
  </si>
  <si>
    <t>Battery-TA-RWARE/results/shelf/centralized/json/session_cps_20260618/llama3.2_3b/medium_agv_heavy_6v2/json/summary.json</t>
  </si>
  <si>
    <t>Battery-TA-RWARE/results/shelf/centralized/json/session_cps_20260618/mistral_7b/tiny_balanced_1v1/json/summary.json</t>
  </si>
  <si>
    <t>Battery-TA-RWARE/results/shelf/centralized/json/session_cps_20260618/mistral_7b/small_picker_heavy_2v4/json/summary.json</t>
  </si>
  <si>
    <t>Battery-TA-RWARE/results/shelf/centralized/json/session_cps_20260618/mistral_7b/small_balanced_2v2/json/summary.json</t>
  </si>
  <si>
    <t>Battery-TA-RWARE/results/shelf/centralized/json/session_cps_20260618/mistral_7b/small_agv_heavy_4v2/json/summary.json</t>
  </si>
  <si>
    <t>Battery-TA-RWARE/results/shelf/centralized/json/session_cps_20260618/mistral_7b/medium_balanced_4v4/json/summary.json</t>
  </si>
  <si>
    <t>Battery-TA-RWARE/results/shelf/centralized/json/session_cps_20260618/mistral_7b/medium_agv_heavy_6v2/json/summary.json</t>
  </si>
  <si>
    <t>session_cps_20260617</t>
  </si>
  <si>
    <t>Battery-TA-RWARE/results/shelf/centralized/natural/session_cps_20260617/llama3.2_1b/tiny_balanced_1v1/language/summary.json</t>
  </si>
  <si>
    <t>Battery-TA-RWARE/results/shelf/centralized/natural/session_cps_20260617/llama3.2_1b/small_picker_heavy_2v4/language/summary.json</t>
  </si>
  <si>
    <t>Battery-TA-RWARE/results/shelf/centralized/natural/session_cps_20260617/llama3.2_1b/small_balanced_2v2/language/summary.json</t>
  </si>
  <si>
    <t>Battery-TA-RWARE/results/shelf/centralized/natural/session_cps_20260617/llama3.2_1b/small_agv_heavy_4v2/language/summary.json</t>
  </si>
  <si>
    <t>Battery-TA-RWARE/results/shelf/centralized/natural/session_cps_20260617/llama3.2_1b/medium_balanced_4v4/language/summary.json</t>
  </si>
  <si>
    <t>Centralized combinations</t>
  </si>
  <si>
    <t>Shared combinations</t>
  </si>
  <si>
    <t>Battery-TA-RWARE/results/shelf/centralized/natural/session_cps_20260617/llama3.2_1b/medium_agv_heavy_6v2/language/summary.json</t>
  </si>
  <si>
    <t>Battery-TA-RWARE/results/shelf/centralized/natural/session_cps_20260617/llama3.2_3b/tiny_balanced_1v1/language/summary.json</t>
  </si>
  <si>
    <t>Battery-TA-RWARE/results/shelf/centralized/natural/session_cps_20260617/llama3.2_3b/small_picker_heavy_2v4/language/summary.json</t>
  </si>
  <si>
    <t>Battery-TA-RWARE/results/shelf/centralized/natural/session_cps_20260617/llama3.2_3b/small_balanced_2v2/language/summary.json</t>
  </si>
  <si>
    <t>Battery-TA-RWARE/results/shelf/centralized/natural/session_cps_20260617/llama3.2_3b/small_agv_heavy_4v2/language/summary.json</t>
  </si>
  <si>
    <t>Battery-TA-RWARE/results/shelf/centralized/natural/session_cps_20260617/llama3.2_3b/medium_balanced_4v4/language/summary.json</t>
  </si>
  <si>
    <t>Battery-TA-RWARE/results/shelf/centralized/natural/session_cps_20260617/llama3.2_3b/medium_agv_heavy_6v2/language/summary.json</t>
  </si>
  <si>
    <t>Battery-TA-RWARE/results/shelf/centralized/natural/session_cps_20260617/mistral_7b/tiny_balanced_1v1/language/summary.json</t>
  </si>
  <si>
    <t>Battery-TA-RWARE/results/shelf/centralized/natural/session_cps_20260617/mistral_7b/small_picker_heavy_2v4/language/summary.json</t>
  </si>
  <si>
    <t>Battery-TA-RWARE/results/shelf/centralized/natural/session_cps_20260617/mistral_7b/small_balanced_2v2/language/summary.json</t>
  </si>
  <si>
    <t>Battery-TA-RWARE/results/shelf/centralized/natural/session_cps_20260617/mistral_7b/small_agv_heavy_4v2/language/summary.json</t>
  </si>
  <si>
    <t>Battery-TA-RWARE/results/shelf/centralized/natural/session_cps_20260617/mistral_7b/medium_balanced_4v4/language/summary.json</t>
  </si>
  <si>
    <t>Battery-TA-RWARE/results/shelf/centralized/natural/session_cps_20260617/mistral_7b/medium_agv_heavy_6v2/language/summary.json</t>
  </si>
  <si>
    <t>Battery-TA-RWARE/results/shelf/shared_context/json/session_cps_20260618/llama3.2_1b/tiny_balanced_1v1/json/summary.json</t>
  </si>
  <si>
    <t>Battery-TA-RWARE/results/shelf/shared_context/json/session_cps_20260618/llama3.2_1b/small_picker_heavy_2v4/json/summary.json</t>
  </si>
  <si>
    <t>Battery-TA-RWARE/results/shelf/shared_context/json/session_cps_20260618/llama3.2_1b/small_balanced_2v2/json/summary.json</t>
  </si>
  <si>
    <t>Battery-TA-RWARE/results/shelf/shared_context/json/session_cps_20260618/llama3.2_1b/small_agv_heavy_4v2/json/summary.json</t>
  </si>
  <si>
    <t>Battery-TA-RWARE/results/shelf/shared_context/json/session_cps_20260618/llama3.2_1b/medium_balanced_4v4/json/summary.json</t>
  </si>
  <si>
    <t>Battery-TA-RWARE/results/shelf/shared_context/json/session_cps_20260618/llama3.2_1b/medium_agv_heavy_6v2/json/summary.json</t>
  </si>
  <si>
    <t>Battery-TA-RWARE/results/shelf/shared_context/json/session_cps_20260618/llama3.2_3b/tiny_balanced_1v1/json/summary.json</t>
  </si>
  <si>
    <t>Battery-TA-RWARE/results/shelf/shared_context/json/session_cps_20260618/llama3.2_3b/small_picker_heavy_2v4/json/summary.json</t>
  </si>
  <si>
    <t>Battery-TA-RWARE/results/shelf/shared_context/json/session_cps_20260618/llama3.2_3b/small_balanced_2v2/json/summary.json</t>
  </si>
  <si>
    <t>Battery-TA-RWARE/results/shelf/shared_context/json/session_cps_20260618/llama3.2_3b/small_agv_heavy_4v2/json/summary.json</t>
  </si>
  <si>
    <t>Battery-TA-RWARE/results/shelf/shared_context/json/session_cps_20260618/llama3.2_3b/medium_balanced_4v4/json/summary.json</t>
  </si>
  <si>
    <t>Battery-TA-RWARE/results/shelf/shared_context/json/session_cps_20260618/llama3.2_3b/medium_agv_heavy_6v2/json/summary.json</t>
  </si>
  <si>
    <t>Battery-TA-RWARE/results/shelf/shared_context/json/session_cps_20260618/mistral_7b/tiny_balanced_1v1/json/summary.json</t>
  </si>
  <si>
    <t>Battery-TA-RWARE/results/shelf/shared_context/json/session_cps_20260618/mistral_7b/small_picker_heavy_2v4/json/summary.json</t>
  </si>
  <si>
    <t>Battery-TA-RWARE/results/shelf/shared_context/json/session_cps_20260618/mistral_7b/small_balanced_2v2/json/summary.json</t>
  </si>
  <si>
    <t>Battery-TA-RWARE/results/shelf/shared_context/json/session_cps_20260618/mistral_7b/small_agv_heavy_4v2/json/summary.json</t>
  </si>
  <si>
    <t>Battery-TA-RWARE/results/shelf/shared_context/json/session_cps_20260618/mistral_7b/medium_balanced_4v4/json/summary.json</t>
  </si>
  <si>
    <t>Battery-TA-RWARE/results/shelf/shared_context/json/session_cps_20260618/mistral_7b/medium_agv_heavy_6v2/json/summary.json</t>
  </si>
  <si>
    <t>Battery-TA-RWARE/results/shelf/shared_context/json/session_cps_20260618/gemma3_12b/tiny_balanced_1v1/json/summary.json</t>
  </si>
  <si>
    <t>Battery-TA-RWARE/results/shelf/shared_context/json/session_cps_20260618/gemma3_12b/small_picker_heavy_2v4/json/summary.json</t>
  </si>
  <si>
    <t>Battery-TA-RWARE/results/shelf/shared_context/json/session_cps_20260618/gemma3_12b/small_balanced_2v2/json/summary.json</t>
  </si>
  <si>
    <t>Battery-TA-RWARE/results/shelf/shared_context/json/session_cps_20260618/gemma3_12b/small_agv_heavy_4v2/json/summary.json</t>
  </si>
  <si>
    <t>Battery-TA-RWARE/results/shelf/shared_context/json/session_cps_20260618/gemma3_12b/medium_balanced_4v4/json/summary.json</t>
  </si>
  <si>
    <t>Battery-TA-RWARE/results/shelf/shared_context/json/session_cps_20260618/gemma3_12b/medium_agv_heavy_6v2/json/summary.json</t>
  </si>
  <si>
    <t>Battery-TA-RWARE/results/shelf/shared_context/natural/session_cps_20260618/llama3.2_1b/tiny_balanced_1v1/language/summary.json</t>
  </si>
  <si>
    <t>Battery-TA-RWARE/results/shelf/shared_context/natural/session_cps_20260618/llama3.2_1b/small_picker_heavy_2v4/language/summary.json</t>
  </si>
  <si>
    <t>Battery-TA-RWARE/results/shelf/shared_context/natural/session_cps_20260618/llama3.2_1b/small_balanced_2v2/language/summary.json</t>
  </si>
  <si>
    <t>Battery-TA-RWARE/results/shelf/shared_context/natural/session_cps_20260618/llama3.2_1b/small_agv_heavy_4v2/language/summary.json</t>
  </si>
  <si>
    <t>Battery-TA-RWARE/results/shelf/shared_context/natural/session_cps_20260618/llama3.2_1b/medium_balanced_4v4/language/summary.json</t>
  </si>
  <si>
    <t>Battery-TA-RWARE/results/shelf/shared_context/natural/session_cps_20260618/llama3.2_1b/medium_agv_heavy_6v2/language/summary.json</t>
  </si>
  <si>
    <t>Battery-TA-RWARE/results/shelf/shared_context/natural/session_cps_20260618/llama3.2_3b/tiny_balanced_1v1/language/summary.json</t>
  </si>
  <si>
    <t>Battery-TA-RWARE/results/shelf/shared_context/natural/session_cps_20260618/llama3.2_3b/small_picker_heavy_2v4/language/summary.json</t>
  </si>
  <si>
    <t>Battery-TA-RWARE/results/shelf/shared_context/natural/session_cps_20260618/llama3.2_3b/small_balanced_2v2/language/summary.json</t>
  </si>
  <si>
    <t>Battery-TA-RWARE/results/shelf/shared_context/natural/session_cps_20260618/llama3.2_3b/small_agv_heavy_4v2/language/summary.json</t>
  </si>
  <si>
    <t>Battery-TA-RWARE/results/shelf/shared_context/natural/session_cps_20260618/llama3.2_3b/medium_balanced_4v4/language/summary.json</t>
  </si>
  <si>
    <t>Battery-TA-RWARE/results/shelf/shared_context/natural/session_cps_20260618/llama3.2_3b/medium_agv_heavy_6v2/language/summary.json</t>
  </si>
  <si>
    <t>Battery-TA-RWARE/results/shelf/shared_context/natural/session_cps_20260618/mistral_7b/tiny_balanced_1v1/language/summary.json</t>
  </si>
  <si>
    <t>Battery-TA-RWARE/results/shelf/shared_context/natural/session_cps_20260618/gemma3_12b/tiny_balanced_1v1/language/summary.json</t>
  </si>
  <si>
    <t>Battery-TA-RWARE/results/shelf/shared_context/natural/session_cps_20260618/gemma3_12b/small_picker_heavy_2v4/language/summary.json</t>
  </si>
  <si>
    <t>Battery-TA-RWARE/results/shelf/shared_context/natural/session_cps_20260618/gemma3_12b/small_balanced_2v2/language/summary.json</t>
  </si>
  <si>
    <t>Battery-TA-RWARE/results/shelf/shared_context/natural/session_cps_20260618/gemma3_12b/small_agv_heavy_4v2/language/summary.json</t>
  </si>
  <si>
    <t>Battery-TA-RWARE/results/shelf/shared_context/natural/session_cps_20260618/gemma3_12b/medium_balanced_4v4/language/summary.json</t>
  </si>
  <si>
    <t>Battery-TA-RWARE/results/shelf/shared_context/natural/session_cps_20260618/gemma3_12b/medium_agv_heavy_6v2/language/summary.json</t>
  </si>
  <si>
    <t>Battery-TA-RWARE/results/battery/centralized/natural/session_cps_20260524/gemma3_12b/small_picker_heavy_2v4/language/summary.json</t>
  </si>
  <si>
    <t>Battery-TA-RWARE/results/battery/shared/natural/session_cps_20260523/gemma3_12b/medium_balanced_4v4/language/summary.json</t>
  </si>
  <si>
    <t>Battery-TA-RWARE/results/battery/shared/natural/session_cps_20260523/gemma3_12b/small_balanced_2v2/language/summary.json</t>
  </si>
  <si>
    <t>Battery-TA-RWARE/results/battery/shared/natural/session_cps_20260523/gemma3_12b/tiny_balanced_1v1/language/summary.json</t>
  </si>
  <si>
    <t>Battery-TA-RWARE/results/battery/shared/natural/session_cps_20260533/mistral_7b/small_balanced_2v2/language/summary.json</t>
  </si>
  <si>
    <t>Battery-TA-RWARE/results/calls/centralized/json/session_20260422_083558/llama3.2_1b/small_balanced_2v2/json/summary.json</t>
  </si>
  <si>
    <t xml:space="preserve"> Delieveriesper 1000 Calls</t>
  </si>
  <si>
    <t>The prompt explicitly instructed the model to minimise language-model calls, yet this objective did not produce the lowest average number of calls. Instead, the Battery + Shelf objective achieved a marginally lower call count while also attaining higher delivery throughput. This suggests that prompting the model to minimise calls alone did not consistently translate into more call-efficient behaviour.</t>
  </si>
  <si>
    <t>Battery-TA-RWARE/results/calls/centralized/json/session_20260422_083558/llama3.2_1b/tiny_balanced_1v1/json/summary.json</t>
  </si>
  <si>
    <t>Battery-TA-RWARE/results/calls/centralized/json/session_20260422_155053/llama3.2_1b/medium_agv_heavy_6v2/json/summary.json</t>
  </si>
  <si>
    <t>Battery-TA-RWARE/results/calls/centralized/json/session_20260422_155053/llama3.2_1b/medium_balanced_4v4/json/summary.json</t>
  </si>
  <si>
    <t>Battery-TA-RWARE/results/calls/centralized/json/session_20260422_155053/llama3.2_1b/tiny_balanced_1v1/json/summary.json</t>
  </si>
  <si>
    <t>Battery-TA-RWARE/results/calls/centralized/json/session_20260422_220055/llama3.2_1b/medium_balanced_4v4/json/summary.json</t>
  </si>
  <si>
    <t>session_cps_mistral</t>
  </si>
  <si>
    <t>Battery-TA-RWARE/results/calls/centralized/json/session_cps_mistral/mistral_7b/tiny_balanced_1v1/json/summary.json</t>
  </si>
  <si>
    <t>session_llama3b_rerun</t>
  </si>
  <si>
    <t>Battery-TA-RWARE/results/calls/centralized/json/session_llama3b_rerun/llama3.2_3b/medium_agv_heavy_6v2/json/summary.json</t>
  </si>
  <si>
    <t>No evidence was found that the Calls objective reduced language-model usage compared with the other objectives.</t>
  </si>
  <si>
    <t>Battery-TA-RWARE/results/calls/centralized/json/session_llama3b_rerun/llama3.2_3b/medium_balanced_4v4/json/summary.json</t>
  </si>
  <si>
    <t>Battery-TA-RWARE/results/calls/centralized/json/session_llama3b_rerun/llama3.2_3b/small_agv_heavy_4v2/json/summary.json</t>
  </si>
  <si>
    <t>Battery-TA-RWARE/results/calls/centralized/json/session_llama3b_rerun/llama3.2_3b/small_balanced_2v2/json/summary.json</t>
  </si>
  <si>
    <t>Battery-TA-RWARE/results/calls/centralized/json/session_llama3b_rerun/llama3.2_3b/small_picker_heavy_2v4/json/summary.json</t>
  </si>
  <si>
    <t>Battery-TA-RWARE/results/calls/centralized/json/session_llama3b_rerun/llama3.2_3b/tiny_balanced_1v1/json/summary.json</t>
  </si>
  <si>
    <t>Battery-TA-RWARE/results/calls/centralized/json/valid_session1/llama3.2_1b/session1/medium_balanced_4v4/json/summary.json</t>
  </si>
  <si>
    <t>Overall, changing only the high-level task objective at the beginning of the prompt had limited influence on the model's behaviour. The objectives produced comparable delivery throughput and language-model call usage, suggesting that the model largely followed a similar planning strategy regardless of the stated optimisation goal. The Battery objective resulted in a higher average number of language-model calls and slightly higher delivery throughput, but the Calls objective did not reduce language-model usage compared with the other objectives.
You can also offer a possible explanation:
This behaviour may indicate that the remainder of the prompt, including the environment description, action constraints, and planning instructions, exerted a stronger influence on the model's decision-making than the brief objective statement. Consequently, the model tended to generate similar plans despite changes in the specified optimisation goal.</t>
  </si>
  <si>
    <t>valid_session1/session2-many-invalid</t>
  </si>
  <si>
    <t>Battery-TA-RWARE/results/calls/centralized/json/valid_session1/llama3.2_1b/session2-many-invalid/medium_agv_heavy_6v2/json/summary.json</t>
  </si>
  <si>
    <t>Battery-TA-RWARE/results/calls/centralized/json/valid_session1/llama3.2_1b/session2-many-invalid/medium_balanced_4v4/json/summary.json</t>
  </si>
  <si>
    <t>Battery-TA-RWARE/results/calls/centralized/json/valid_session1/llama3.2_1b/session2-many-invalid/small_agv_heavy_4v2/json/summary.json</t>
  </si>
  <si>
    <t>Battery-TA-RWARE/results/calls/centralized/json/valid_session1/llama3.2_1b/session2-many-invalid/small_balanced_2v2/json/summary.json</t>
  </si>
  <si>
    <t>Battery-TA-RWARE/results/calls/centralized/json/valid_session1/llama3.2_1b/session2-many-invalid/tiny_balanced_1v1/json/summary.json</t>
  </si>
  <si>
    <t>Battery-TA-RWARE/results/calls/centralized/json/valid_session1/mistral_7b/medium_agv_heavy_6v2/json/summary.json</t>
  </si>
  <si>
    <t>Battery-TA-RWARE/results/calls/centralized/json/valid_session1/mistral_7b/medium_balanced_4v4/json/summary.json</t>
  </si>
  <si>
    <t>Battery-TA-RWARE/results/calls/centralized/json/valid_session1/mistral_7b/small_agv_heavy_4v2/json/summary.json</t>
  </si>
  <si>
    <t>Battery-TA-RWARE/results/calls/centralized/json/valid_session1/mistral_7b/small_balanced_2v2/json/summary.json</t>
  </si>
  <si>
    <t>Battery-TA-RWARE/results/calls/centralized/json/valid_session1/mistral_7b/tiny_balanced_1v1/json/summary.json</t>
  </si>
  <si>
    <t>Battery-TA-RWARE/results/calls/centralized/natural/session_20260423_193725/mistral_7b/medium_agv_heavy_6v2/language/summary.json</t>
  </si>
  <si>
    <t>Battery-TA-RWARE/results/calls/centralized/natural/session_20260423_193725/mistral_7b/medium_balanced_4v4/language/summary.json</t>
  </si>
  <si>
    <t>Battery-TA-RWARE/results/calls/centralized/natural/session_20260423_193725/mistral_7b/small_agv_heavy_4v2/language/summary.json</t>
  </si>
  <si>
    <t>Battery-TA-RWARE/results/calls/centralized/natural/session_20260423_193725/mistral_7b/small_picker_heavy_2v4/language/summary.json</t>
  </si>
  <si>
    <t>Battery-TA-RWARE/results/shelf/shared_context/natural/session_cps_20260618/mistral_7b/medium_agv_heavy_6v2/language/summary.json</t>
  </si>
  <si>
    <t>Battery-TA-RWARE/results/shelf/shared_context/natural/session_cps_20260618/mistral_7b/medium_balanced_4v4/language/summary.json</t>
  </si>
  <si>
    <t>Battery-TA-RWARE/results/shelf/shared_context/natural/session_cps_20260618/mistral_7b/small_agv_heavy_4v2/language/summary.json</t>
  </si>
  <si>
    <t>Battery-TA-RWARE/results/shelf/shared_context/natural/session_cps_20260618/mistral_7b/small_balanced_2v2/language/summary.json</t>
  </si>
  <si>
    <t>Battery-TA-RWARE/results/shelf/shared_context/natural/session_cps_20260618/mistral_7b/small_picker_heavy_2v4/language/summary.json</t>
  </si>
  <si>
    <t>session_cps_20260626</t>
  </si>
  <si>
    <t>Battery-TA-RWARE/results/shelf/shared_context/natural/session_cps_20260626/phi4/tiny_balanced_1v1/language/summary.json</t>
  </si>
  <si>
    <t>Battery-TA-RWARE/results/shelf/shared_context/natural/session_cps_20260626/phi4/small_picker_heavy_2v4/language/summary.json</t>
  </si>
  <si>
    <t>Battery-TA-RWARE/results/shelf/shared_context/natural/session_cps_20260626/phi4/small_balanced_2v2/language/summary.json</t>
  </si>
  <si>
    <t>Battery-TA-RWARE/results/shelf/shared_context/natural/session_cps_20260626/phi4/small_agv_heavy_4v2/language/summary.json</t>
  </si>
  <si>
    <t>Battery-TA-RWARE/results/shelf/shared_context/natural/session_cps_20260626/phi4/medium_balanced_4v4/language/summary.json</t>
  </si>
  <si>
    <t>Battery-TA-RWARE/results/shelf/shared_context/natural/session_cps_20260626/phi4/medium_agv_heavy_6v2/language/summary.json</t>
  </si>
  <si>
    <t>Battery-TA-RWARE/results/shelf/shared_context/natural/session_cps_20260626/qwen2.5_14b/tiny_balanced_1v1/language/summary.json</t>
  </si>
  <si>
    <t>Battery-TA-RWARE/results/shelf/shared_context/natural/session_cps_20260626/qwen2.5_14b/small_picker_heavy_2v4/language/summary.json</t>
  </si>
  <si>
    <t>Battery-TA-RWARE/results/shelf/shared_context/natural/session_cps_20260626/qwen2.5_14b/small_balanced_2v2/language/summary.json</t>
  </si>
  <si>
    <t>Battery-TA-RWARE/results/shelf/shared_context/natural/session_cps_20260626/qwen2.5_14b/small_agv_heavy_4v2/language/summary.json</t>
  </si>
  <si>
    <t>Battery-TA-RWARE/results/shelf/shared_context/natural/session_cps_20260626/qwen2.5_14b/medium_balanced_4v4/language/summary.json</t>
  </si>
  <si>
    <t>Battery-TA-RWARE/results/shelf/shared_context/natural/session_cps_20260626/qwen2.5_14b/medium_agv_heavy_6v2/language/summary.json</t>
  </si>
  <si>
    <t>session_cps_20260630</t>
  </si>
  <si>
    <t>Battery-TA-RWARE/results/shelf/centralized/natural/session_cps_20260630/gemma3_12b/tiny_balanced_1v1/language/summary.json</t>
  </si>
  <si>
    <t>Battery-TA-RWARE/results/shelf/centralized/natural/session_cps_20260630/gemma3_12b/small_picker_heavy_2v4/language/summary.json</t>
  </si>
  <si>
    <t>Battery-TA-RWARE/results/shelf/centralized/natural/session_cps_20260630/gemma3_12b/small_balanced_2v2/language/summary.json</t>
  </si>
  <si>
    <t>Battery-TA-RWARE/results/shelf/centralized/natural/session_cps_20260630/gemma3_12b/small_agv_heavy_4v2/language/summary.json</t>
  </si>
  <si>
    <t>Battery-TA-RWARE/results/shelf/centralized/natural/session_cps_20260630/gemma3_12b/medium_balanced_4v4/language/summary.json</t>
  </si>
  <si>
    <t>Battery-TA-RWARE/results/shelf/centralized/natural/session_cps_20260630/gemma3_12b/medium_agv_heavy_6v2/language/summary.json</t>
  </si>
  <si>
    <t>Battery-TA-RWARE/results/shelf/centralized/natural/session_cps_20260626/phi4/tiny_balanced_1v1/language/summary.json</t>
  </si>
  <si>
    <t>Battery-TA-RWARE/results/shelf/centralized/natural/session_cps_20260626/phi4/small_picker_heavy_2v4/language/summary.json</t>
  </si>
  <si>
    <t>Battery-TA-RWARE/results/shelf/centralized/natural/session_cps_20260626/phi4/small_balanced_2v2/language/summary.json</t>
  </si>
  <si>
    <t>Battery-TA-RWARE/results/shelf/centralized/natural/session_cps_20260626/phi4/small_agv_heavy_4v2/language/summary.json</t>
  </si>
  <si>
    <t>Battery-TA-RWARE/results/shelf/centralized/natural/session_cps_20260626/phi4/medium_balanced_4v4/language/summary.json</t>
  </si>
  <si>
    <t>Battery-TA-RWARE/results/shelf/centralized/natural/session_cps_20260626/phi4/medium_agv_heavy_6v2/language/summary.json</t>
  </si>
  <si>
    <t>Battery-TA-RWARE/results/shelf/centralized/natural/session_cps_20260626/qwen2.5_14b/tiny_balanced_1v1/language/summary.json</t>
  </si>
  <si>
    <t>Battery-TA-RWARE/results/shelf/centralized/natural/session_cps_20260626/qwen2.5_14b/small_picker_heavy_2v4/language/summary.json</t>
  </si>
  <si>
    <t>Battery-TA-RWARE/results/shelf/centralized/natural/session_cps_20260626/qwen2.5_14b/small_balanced_2v2/language/summary.json</t>
  </si>
  <si>
    <t>Battery-TA-RWARE/results/shelf/centralized/natural/session_cps_20260626/qwen2.5_14b/small_agv_heavy_4v2/language/summary.json</t>
  </si>
  <si>
    <t>Battery-TA-RWARE/results/shelf/centralized/natural/session_cps_20260626/qwen2.5_14b/medium_balanced_4v4/language/summary.json</t>
  </si>
  <si>
    <t>Battery-TA-RWARE/results/shelf/centralized/natural/session_cps_20260626/qwen2.5_14b/medium_agv_heavy_6v2/language/summary.json</t>
  </si>
  <si>
    <t>session_obj1_centralized_natural_gemma3_12b_seed0_20260719</t>
  </si>
  <si>
    <t>Battery-TA-RWARE/results/Larger-Models/centralized/natural/obj1/session_obj1_centralized_natural_gemma3_12b_seed0_20260719/gemma3_12b/tiny_balanced_1v1/language/summary.json</t>
  </si>
  <si>
    <t>Battery-TA-RWARE/results/Larger-Models/centralized/natural/obj1/session_obj1_centralized_natural_gemma3_12b_seed0_20260719/gemma3_12b/small_balanced_2v2/language/summary.json</t>
  </si>
  <si>
    <t>Battery-TA-RWARE/results/Larger-Models/centralized/natural/obj1/session_obj1_centralized_natural_gemma3_12b_seed0_20260719/gemma3_12b/small_agv_heavy_4v2/language/summary.json</t>
  </si>
  <si>
    <t>Battery-TA-RWARE/results/Larger-Models/centralized/natural/obj1/session_obj1_centralized_natural_gemma3_12b_seed0_20260719/gemma3_12b/small_picker_heavy_2v4/language/summary.json</t>
  </si>
  <si>
    <t>Battery-TA-RWARE/results/Larger-Models/centralized/natural/obj1/session_obj1_centralized_natural_gemma3_12b_seed0_20260719/gemma3_12b/medium_balanced_4v4/language/summary.json</t>
  </si>
  <si>
    <t>Battery-TA-RWARE/results/Larger-Models/centralized/natural/obj1/session_obj1_centralized_natural_gemma3_12b_seed0_20260719/gemma3_12b/medium_agv_heavy_6v2/language/summary.json</t>
  </si>
  <si>
    <t>session_obj1_shared_natural_gemma3_12b_seed0_20260717</t>
  </si>
  <si>
    <t>Battery-TA-RWARE/results/Larger-Models/shared/natural/obj1/session_obj1_shared_natural_gemma3_12b_seed0_20260717/gemma3_12b/tiny_balanced_1v1/language/summary.json</t>
  </si>
  <si>
    <t>Battery-TA-RWARE/results/Larger-Models/shared/natural/obj1/session_obj1_shared_natural_gemma3_12b_seed0_20260717/gemma3_12b/small_balanced_2v2/language/summary.json</t>
  </si>
  <si>
    <t>Battery-TA-RWARE/results/Larger-Models/shared/natural/obj1/session_obj1_shared_natural_gemma3_12b_seed0_20260717/gemma3_12b/small_agv_heavy_4v2/language/summary.json</t>
  </si>
  <si>
    <t>Battery-TA-RWARE/results/Larger-Models/shared/natural/obj1/session_obj1_shared_natural_gemma3_12b_seed0_20260717/gemma3_12b/small_picker_heavy_2v4/language/summary.json</t>
  </si>
  <si>
    <t>Battery-TA-RWARE/results/Larger-Models/shared/natural/obj1/session_obj1_shared_natural_gemma3_12b_seed0_20260717/gemma3_12b/medium_balanced_4v4/language/summary.json</t>
  </si>
  <si>
    <t>Battery-TA-RWARE/results/Larger-Models/shared/natural/obj1/session_obj1_shared_natural_gemma3_12b_seed0_20260717/gemma3_12b/medium_agv_heavy_6v2/language/summary.json</t>
  </si>
  <si>
    <t>session_obj2_centralized_natural_gemma3_12b_seed0_20260719</t>
  </si>
  <si>
    <t>Battery-TA-RWARE/results/Larger-Models/centralized/natural/obj2/session_obj2_centralized_natural_gemma3_12b_seed0_20260719/gemma3_12b/tiny_balanced_1v1/language/summary.json</t>
  </si>
  <si>
    <t>Battery-TA-RWARE/results/Larger-Models/centralized/natural/obj2/session_obj2_centralized_natural_gemma3_12b_seed0_20260719/gemma3_12b/small_balanced_2v2/language/summary.json</t>
  </si>
  <si>
    <t>Battery-TA-RWARE/results/Larger-Models/centralized/natural/obj2/session_obj2_centralized_natural_gemma3_12b_seed0_20260719/gemma3_12b/small_agv_heavy_4v2/language/summary.json</t>
  </si>
  <si>
    <t>Battery-TA-RWARE/results/Larger-Models/centralized/natural/obj2/session_obj2_centralized_natural_gemma3_12b_seed0_20260719/gemma3_12b/small_picker_heavy_2v4/language/summary.json</t>
  </si>
  <si>
    <t>Battery-TA-RWARE/results/Larger-Models/centralized/natural/obj2/session_obj2_centralized_natural_gemma3_12b_seed0_20260719/gemma3_12b/medium_balanced_4v4/language/summary.json</t>
  </si>
  <si>
    <t>Battery-TA-RWARE/results/Larger-Models/centralized/natural/obj2/session_obj2_centralized_natural_gemma3_12b_seed0_20260719/gemma3_12b/medium_agv_heavy_6v2/language/summary.json</t>
  </si>
  <si>
    <t>session_obj2_shared_natural_gemma3_12b_seed0_20260717</t>
  </si>
  <si>
    <t>Battery-TA-RWARE/results/Larger-Models/shared/natural/obj2/session_obj2_shared_natural_gemma3_12b_seed0_20260717/gemma3_12b/tiny_balanced_1v1/language/summary.json</t>
  </si>
  <si>
    <t>Battery-TA-RWARE/results/Larger-Models/shared/natural/obj2/session_obj2_shared_natural_gemma3_12b_seed0_20260717/gemma3_12b/small_balanced_2v2/language/summary.json</t>
  </si>
  <si>
    <t>Battery-TA-RWARE/results/Larger-Models/shared/natural/obj2/session_obj2_shared_natural_gemma3_12b_seed0_20260717/gemma3_12b/small_agv_heavy_4v2/language/summary.json</t>
  </si>
  <si>
    <t>Battery-TA-RWARE/results/Larger-Models/shared/natural/obj2/session_obj2_shared_natural_gemma3_12b_seed0_20260717/gemma3_12b/small_picker_heavy_2v4/language/summary.json</t>
  </si>
  <si>
    <t>Battery-TA-RWARE/results/Larger-Models/shared/natural/obj2/session_obj2_shared_natural_gemma3_12b_seed0_20260717/gemma3_12b/medium_balanced_4v4/language/summary.json</t>
  </si>
  <si>
    <t>Battery-TA-RWARE/results/Larger-Models/shared/natural/obj2/session_obj2_shared_natural_gemma3_12b_seed0_20260717/gemma3_12b/medium_agv_heavy_6v2/language/summary.json</t>
  </si>
  <si>
    <t>session_obj3_centralized_natural_gemma3_12b_seed0_20260719</t>
  </si>
  <si>
    <t>Battery-TA-RWARE/results/Larger-Models/centralized/natural/obj3/session_obj3_centralized_natural_gemma3_12b_seed0_20260719/gemma3_12b/tiny_balanced_1v1/language/summary.json</t>
  </si>
  <si>
    <t>Battery-TA-RWARE/results/Larger-Models/centralized/natural/obj3/session_obj3_centralized_natural_gemma3_12b_seed0_20260719/gemma3_12b/small_balanced_2v2/language/summary.json</t>
  </si>
  <si>
    <t>Battery-TA-RWARE/results/Larger-Models/centralized/natural/obj3/session_obj3_centralized_natural_gemma3_12b_seed0_20260719/gemma3_12b/small_agv_heavy_4v2/language/summary.json</t>
  </si>
  <si>
    <t>Battery-TA-RWARE/results/Larger-Models/centralized/natural/obj3/session_obj3_centralized_natural_gemma3_12b_seed0_20260719/gemma3_12b/small_picker_heavy_2v4/language/summary.json</t>
  </si>
  <si>
    <t>Battery-TA-RWARE/results/Larger-Models/centralized/natural/obj3/session_obj3_centralized_natural_gemma3_12b_seed0_20260719/gemma3_12b/medium_balanced_4v4/language/summary.json</t>
  </si>
  <si>
    <t>Battery-TA-RWARE/results/Larger-Models/centralized/natural/obj3/session_obj3_centralized_natural_gemma3_12b_seed0_20260719/gemma3_12b/medium_agv_heavy_6v2/language/summary.json</t>
  </si>
  <si>
    <t>Battery-TA-RWARE/results/battery/centralized/natural/session_cps_20260524/llama3.2_3b/tiny_balanced_1v1/language/summary.json</t>
  </si>
  <si>
    <t>Battery-TA-RWARE/results/battery/centralized/natural/session_cps_20260524/phi4/tiny_balanced_1v1/language/summary.json</t>
  </si>
  <si>
    <t>Battery-TA-RWARE/results/battery/centralized/natural/session_cps_20260524/phi4/small_balanced_2v2/language/summary.json</t>
  </si>
  <si>
    <t>Battery-TA-RWARE/results/battery/centralized/natural/session_cps_20260524/phi4/small_agv_heavy_4v2/language/summary.json</t>
  </si>
  <si>
    <t>Battery-TA-RWARE/results/battery/centralized/natural/session_cps_20260524/phi4/small_picker_heavy_2v4/language/summary.json</t>
  </si>
  <si>
    <t>Battery-TA-RWARE/results/battery/centralized/natural/session_cps_20260524/phi4/medium_balanced_4v4/language/summary.json</t>
  </si>
  <si>
    <t>Battery-TA-RWARE/results/battery/centralized/natural/session_cps_20260524/phi4/medium_agv_heavy_6v2/language/summary.json</t>
  </si>
  <si>
    <t>Battery-TA-RWARE/results/battery/centralized/natural/session_cps_20260524/qwen2.5_14b/tiny_balanced_1v1/language/summary.json</t>
  </si>
  <si>
    <t>Battery-TA-RWARE/results/battery/centralized/natural/session_cps_20260524/qwen2.5_14b/small_balanced_2v2/language/summary.json</t>
  </si>
  <si>
    <t>Battery-TA-RWARE/results/battery/centralized/natural/session_cps_20260524/qwen2.5_14b/small_agv_heavy_4v2/language/summary.json</t>
  </si>
  <si>
    <t>Battery-TA-RWARE/results/battery/centralized/natural/session_cps_20260524/qwen2.5_14b/small_picker_heavy_2v4/language/summary.json</t>
  </si>
  <si>
    <t>Battery-TA-RWARE/results/battery/centralized/natural/session_cps_20260524/qwen2.5_14b/medium_balanced_4v4/language/summary.json</t>
  </si>
  <si>
    <t>Because Phi4 and Qwen lack Centralized Calls data, the clean six-model comparison should use:
Battery
Battery + Shelf
Natural prompt
All six scenarios
Both architectures
That produces 12 averaged combinations per model per architecture:
2 objectives × 6 scenarios = 12</t>
  </si>
  <si>
    <t>Battery-TA-RWARE/results/battery/centralized/natural/session_cps_20260524/qwen2.5_14b/medium_agv_heavy_6v2/language/summary.json</t>
  </si>
  <si>
    <t>session_cps_20260627</t>
  </si>
  <si>
    <t>Battery-TA-RWARE/results/battery/centralized/natural/session_cps_20260627/llama3.2_1b/tiny_balanced_1v1/language/summary.json</t>
  </si>
  <si>
    <t>Battery-TA-RWARE/results/battery/centralized/natural/session_cps_20260627/llama3.2_1b/small_balanced_2v2/language/summary.json</t>
  </si>
  <si>
    <t>Battery-TA-RWARE/results/battery/centralized/natural/session_cps_20260627/llama3.2_1b/small_agv_heavy_4v2/language/summary.json</t>
  </si>
  <si>
    <t>Battery-TA-RWARE/results/battery/centralized/natural/session_cps_20260627/llama3.2_1b/small_picker_heavy_2v4/language/summary.json</t>
  </si>
  <si>
    <t>Battery-TA-RWARE/results/battery/centralized/natural/session_cps_20260627/llama3.2_1b/medium_balanced_4v4/language/summary.json</t>
  </si>
  <si>
    <t>Battery-TA-RWARE/results/battery/centralized/natural/session_cps_20260627/llama3.2_1b/medium_agv_heavy_6v2/language/summary.json</t>
  </si>
  <si>
    <t>session_cps_20260628</t>
  </si>
  <si>
    <t>Battery-TA-RWARE/results/battery/centralized/natural/session_cps_20260628/llama3.2_3b/tiny_balanced_1v1/language/summary.json</t>
  </si>
  <si>
    <t>Battery-TA-RWARE/results/battery/centralized/natural/session_cps_20260628/llama3.2_3b/small_balanced_2v2/language/summary.json</t>
  </si>
  <si>
    <t>Battery-TA-RWARE/results/battery/centralized/natural/session_cps_20260628/llama3.2_3b/small_agv_heavy_4v2/language/summary.json</t>
  </si>
  <si>
    <t>Battery-TA-RWARE/results/battery/centralized/natural/session_cps_20260628/llama3.2_3b/small_picker_heavy_2v4/language/summary.json</t>
  </si>
  <si>
    <t>Battery-TA-RWARE/results/battery/centralized/natural/session_cps_20260628/llama3.2_3b/medium_balanced_4v4/language/summary.json</t>
  </si>
  <si>
    <t>Battery-TA-RWARE/results/battery/centralized/natural/session_cps_20260628/llama3.2_3b/medium_agv_heavy_6v2/language/summary.json</t>
  </si>
  <si>
    <t>session_cps_20260728</t>
  </si>
  <si>
    <t>Battery-TA-RWARE/results/battery/centralized/natural/session_cps_20260728/mistral_7b/tiny_balanced_1v1/language/summary.json</t>
  </si>
  <si>
    <t>Battery-TA-RWARE/results/battery/centralized/natural/session_cps_20260728/mistral_7b/small_balanced_2v2/language/summary.json</t>
  </si>
  <si>
    <t>Battery-TA-RWARE/results/battery/centralized/natural/session_cps_20260728/mistral_7b/small_agv_heavy_4v2/language/summary.json</t>
  </si>
  <si>
    <t>Battery-TA-RWARE/results/battery/centralized/natural/session_cps_20260728/mistral_7b/small_picker_heavy_2v4/language/summary.json</t>
  </si>
  <si>
    <t>Battery-TA-RWARE/results/battery/centralized/natural/session_cps_20260728/mistral_7b/medium_balanced_4v4/language/summary.json</t>
  </si>
  <si>
    <t>Battery-TA-RWARE/results/battery/centralized/natural/session_cps_20260728/mistral_7b/medium_agv_heavy_6v2/language/summary.json</t>
  </si>
  <si>
    <t>session_llama1smallpicker</t>
  </si>
  <si>
    <t>Battery-TA-RWARE/results/calls/centralized/json/session_llama1smallpicker/llama3.2_1b/small_picker_heavy_2v4/json/summary.json</t>
  </si>
  <si>
    <t>Battery-TA-RWARE/results/calls/centralized/json/session_llama1smallpicker/mistral_7b/small_picker_heavy_2v4/json/summary.json</t>
  </si>
  <si>
    <t>session_obj1_centralized_json_gemma3_12b_seed0_20260730</t>
  </si>
  <si>
    <t>Battery-TA-RWARE/results/Larger-Models/centralized/json/obj1/session_obj1_centralized_json_gemma3_12b_seed0_20260730/gemma3_12b/tiny_balanced_1v1/json/summary.json</t>
  </si>
  <si>
    <t>Battery-TA-RWARE/results/Larger-Models/centralized/json/obj1/session_obj1_centralized_json_gemma3_12b_seed0_20260730/gemma3_12b/small_balanced_2v2/json/summary.json</t>
  </si>
  <si>
    <t>Battery-TA-RWARE/results/Larger-Models/centralized/json/obj1/session_obj1_centralized_json_gemma3_12b_seed0_20260730/gemma3_12b/small_agv_heavy_4v2/json/summary.json</t>
  </si>
  <si>
    <t>Battery-TA-RWARE/results/Larger-Models/centralized/json/obj1/session_obj1_centralized_json_gemma3_12b_seed0_20260730/gemma3_12b/small_picker_heavy_2v4/json/summary.json</t>
  </si>
  <si>
    <t>Battery-TA-RWARE/results/Larger-Models/centralized/json/obj1/session_obj1_centralized_json_gemma3_12b_seed0_20260730/gemma3_12b/medium_balanced_4v4/json/summary.json</t>
  </si>
  <si>
    <t>Battery-TA-RWARE/results/Larger-Models/centralized/json/obj1/session_obj1_centralized_json_gemma3_12b_seed0_20260730/gemma3_12b/medium_agv_heavy_6v2/json/summary.json</t>
  </si>
  <si>
    <t>session_obj2_centralized_json_phi4_seed0_20260731</t>
  </si>
  <si>
    <t>Battery-TA-RWARE/results/Larger-Models/centralized/json/obj2/session_obj2_centralized_json_phi4_seed0_20260731/phi4/tiny_balanced_1v1/json/summary.json</t>
  </si>
  <si>
    <t>Battery-TA-RWARE/results/Larger-Models/centralized/json/obj2/session_obj2_centralized_json_phi4_seed0_20260731/phi4/small_balanced_2v2/json/summary.json</t>
  </si>
  <si>
    <t>Battery-TA-RWARE/results/Larger-Models/centralized/json/obj2/session_obj2_centralized_json_phi4_seed0_20260731/phi4/small_agv_heavy_4v2/json/summary.json</t>
  </si>
  <si>
    <t>Battery-TA-RWARE/results/Larger-Models/centralized/json/obj2/session_obj2_centralized_json_phi4_seed0_20260731/phi4/small_picker_heavy_2v4/json/summary.json</t>
  </si>
  <si>
    <t>Battery-TA-RWARE/results/Larger-Models/centralized/json/obj2/session_obj2_centralized_json_phi4_seed0_20260731/phi4/medium_balanced_4v4/json/summary.json</t>
  </si>
  <si>
    <t>Battery-TA-RWARE/results/Larger-Models/centralized/json/obj2/session_obj2_centralized_json_phi4_seed0_20260731/phi4/medium_agv_heavy_6v2/json/summary.json</t>
  </si>
  <si>
    <t>session_obj2_centralized_json_qwen2_5_14b_seed0_20260731</t>
  </si>
  <si>
    <t>Battery-TA-RWARE/results/Larger-Models/centralized/json/obj2/session_obj2_centralized_json_qwen2_5_14b_seed0_20260731/qwen2.5_14b/tiny_balanced_1v1/json/summary.json</t>
  </si>
  <si>
    <t>Battery-TA-RWARE/results/Larger-Models/centralized/json/obj2/session_obj2_centralized_json_qwen2_5_14b_seed0_20260731/qwen2.5_14b/small_balanced_2v2/json/summary.json</t>
  </si>
  <si>
    <t>Battery-TA-RWARE/results/Larger-Models/centralized/json/obj2/session_obj2_centralized_json_qwen2_5_14b_seed0_20260731/qwen2.5_14b/small_agv_heavy_4v2/json/summary.json</t>
  </si>
  <si>
    <t>Battery-TA-RWARE/results/Larger-Models/centralized/json/obj2/session_obj2_centralized_json_qwen2_5_14b_seed0_20260731/qwen2.5_14b/small_picker_heavy_2v4/json/summary.json</t>
  </si>
  <si>
    <t>Battery-TA-RWARE/results/Larger-Models/centralized/json/obj2/session_obj2_centralized_json_qwen2_5_14b_seed0_20260731/qwen2.5_14b/medium_balanced_4v4/json/summary.json</t>
  </si>
  <si>
    <t>Battery-TA-RWARE/results/Larger-Models/centralized/json/obj2/session_obj2_centralized_json_qwen2_5_14b_seed0_20260731/qwen2.5_14b/medium_agv_heavy_6v2/json/summary.json</t>
  </si>
  <si>
    <t>session_obj2_centralized_natural_phi4_seed0_20260803</t>
  </si>
  <si>
    <t>Battery-TA-RWARE/results/Larger-Models/centralized/natural/obj2/session_obj2_centralized_natural_phi4_seed0_20260803/phi4/tiny_balanced_1v1/language/summary.json</t>
  </si>
  <si>
    <t>Battery-TA-RWARE/results/Larger-Models/centralized/natural/obj2/session_obj2_centralized_natural_phi4_seed0_20260803/phi4/small_balanced_2v2/language/summary.json</t>
  </si>
  <si>
    <t>Battery-TA-RWARE/results/Larger-Models/centralized/natural/obj2/session_obj2_centralized_natural_phi4_seed0_20260803/phi4/small_agv_heavy_4v2/language/summary.json</t>
  </si>
  <si>
    <t>Battery-TA-RWARE/results/Larger-Models/centralized/natural/obj2/session_obj2_centralized_natural_phi4_seed0_20260803/phi4/small_picker_heavy_2v4/language/summary.json</t>
  </si>
  <si>
    <t>Battery-TA-RWARE/results/Larger-Models/centralized/natural/obj2/session_obj2_centralized_natural_phi4_seed0_20260803/phi4/medium_balanced_4v4/language/summary.json</t>
  </si>
  <si>
    <t>Battery-TA-RWARE/results/Larger-Models/centralized/natural/obj2/session_obj2_centralized_natural_phi4_seed0_20260803/phi4/medium_agv_heavy_6v2/language/summary.json</t>
  </si>
  <si>
    <t>session_obj2_centralized_natural_qwen2_5_14b_seed0_20260803</t>
  </si>
  <si>
    <t>Battery-TA-RWARE/results/Larger-Models/centralized/natural/obj2/session_obj2_centralized_natural_qwen2_5_14b_seed0_20260803/qwen2.5_14b/tiny_balanced_1v1/language/summary.json</t>
  </si>
  <si>
    <t>Battery-TA-RWARE/results/Larger-Models/centralized/natural/obj2/session_obj2_centralized_natural_qwen2_5_14b_seed0_20260803/qwen2.5_14b/small_balanced_2v2/language/summary.json</t>
  </si>
  <si>
    <t>Battery-TA-RWARE/results/Larger-Models/centralized/natural/obj2/session_obj2_centralized_natural_qwen2_5_14b_seed0_20260803/qwen2.5_14b/small_agv_heavy_4v2/language/summary.json</t>
  </si>
  <si>
    <t>Battery-TA-RWARE/results/Larger-Models/centralized/natural/obj2/session_obj2_centralized_natural_qwen2_5_14b_seed0_20260803/qwen2.5_14b/small_picker_heavy_2v4/language/summary.json</t>
  </si>
  <si>
    <t>Battery-TA-RWARE/results/Larger-Models/centralized/natural/obj2/session_obj2_centralized_natural_qwen2_5_14b_seed0_20260803/qwen2.5_14b/medium_balanced_4v4/language/summary.json</t>
  </si>
  <si>
    <t>Battery-TA-RWARE/results/Larger-Models/centralized/natural/obj2/session_obj2_centralized_natural_qwen2_5_14b_seed0_20260803/qwen2.5_14b/medium_agv_heavy_6v2/language/summary.json</t>
  </si>
  <si>
    <t>session_obj1_centralized_json_phi4_seed0_20260805</t>
  </si>
  <si>
    <t>Battery-TA-RWARE/results/Larger-Models/centralized/json/obj1/session_obj1_centralized_json_phi4_seed0_20260805/phi4/tiny_balanced_1v1/json/summary.json</t>
  </si>
  <si>
    <t>Battery-TA-RWARE/results/Larger-Models/centralized/json/obj1/session_obj1_centralized_json_phi4_seed0_20260805/phi4/small_balanced_2v2/json/summary.json</t>
  </si>
  <si>
    <t>Battery-TA-RWARE/results/Larger-Models/centralized/json/obj1/session_obj1_centralized_json_phi4_seed0_20260805/phi4/small_agv_heavy_4v2/json/summary.json</t>
  </si>
  <si>
    <t>Battery-TA-RWARE/results/Larger-Models/centralized/json/obj1/session_obj1_centralized_json_phi4_seed0_20260805/phi4/small_picker_heavy_2v4/json/summary.json</t>
  </si>
  <si>
    <t>Battery-TA-RWARE/results/Larger-Models/centralized/json/obj1/session_obj1_centralized_json_phi4_seed0_20260805/phi4/medium_balanced_4v4/json/summary.json</t>
  </si>
  <si>
    <t>Battery-TA-RWARE/results/Larger-Models/centralized/json/obj1/session_obj1_centralized_json_phi4_seed0_20260805/phi4/medium_agv_heavy_6v2/json/summary.json</t>
  </si>
  <si>
    <t>session_obj1_centralized_json_qwen2_5_14b_seed0_20260805</t>
  </si>
  <si>
    <t>Battery-TA-RWARE/results/Larger-Models/centralized/json/obj1/session_obj1_centralized_json_qwen2_5_14b_seed0_20260805/qwen2.5_14b/tiny_balanced_1v1/json/summary.json</t>
  </si>
  <si>
    <t>Battery-TA-RWARE/results/Larger-Models/centralized/json/obj1/session_obj1_centralized_json_qwen2_5_14b_seed0_20260805/qwen2.5_14b/small_balanced_2v2/json/summary.json</t>
  </si>
  <si>
    <t>Battery-TA-RWARE/results/Larger-Models/centralized/json/obj1/session_obj1_centralized_json_qwen2_5_14b_seed0_20260805/qwen2.5_14b/small_agv_heavy_4v2/json/summary.json</t>
  </si>
  <si>
    <t>Battery-TA-RWARE/results/Larger-Models/centralized/json/obj1/session_obj1_centralized_json_qwen2_5_14b_seed0_20260805/qwen2.5_14b/small_picker_heavy_2v4/json/summary.json</t>
  </si>
  <si>
    <t>Battery-TA-RWARE/results/Larger-Models/centralized/json/obj1/session_obj1_centralized_json_qwen2_5_14b_seed0_20260805/qwen2.5_14b/medium_balanced_4v4/json/summary.json</t>
  </si>
  <si>
    <t>Battery-TA-RWARE/results/Larger-Models/centralized/json/obj1/session_obj1_centralized_json_qwen2_5_14b_seed0_20260805/qwen2.5_14b/medium_agv_heavy_6v2/json/summary.json</t>
  </si>
  <si>
    <t>session_obj1_shared_json_phi4_seed0_20260805</t>
  </si>
  <si>
    <t>Battery-TA-RWARE/results/Larger-Models/shared/json/obj1/session_obj1_shared_json_phi4_seed0_20260805/phi4/tiny_balanced_1v1/json/summary.json</t>
  </si>
  <si>
    <t>Difference</t>
  </si>
  <si>
    <t>Battery-TA-RWARE/results/Larger-Models/shared/json/obj1/session_obj1_shared_json_phi4_seed0_20260805/phi4/small_balanced_2v2/json/summary.json</t>
  </si>
  <si>
    <t>Battery-TA-RWARE/results/Larger-Models/shared/json/obj1/session_obj1_shared_json_phi4_seed0_20260805/phi4/small_agv_heavy_4v2/json/summary.json</t>
  </si>
  <si>
    <t>Battery-TA-RWARE/results/Larger-Models/shared/json/obj1/session_obj1_shared_json_phi4_seed0_20260805/phi4/small_picker_heavy_2v4/json/summary.json</t>
  </si>
  <si>
    <t>Battery-TA-RWARE/results/Larger-Models/shared/json/obj1/session_obj1_shared_json_phi4_seed0_20260805/phi4/medium_balanced_4v4/json/summary.json</t>
  </si>
  <si>
    <t>Battery-TA-RWARE/results/Larger-Models/shared/json/obj1/session_obj1_shared_json_phi4_seed0_20260805/phi4/medium_agv_heavy_6v2/json/summary.json</t>
  </si>
  <si>
    <t>Matched combinations</t>
  </si>
  <si>
    <t>Mean calls</t>
  </si>
  <si>
    <t>Mean deliveries</t>
  </si>
  <si>
    <t>Deliveries per 1000 calls</t>
  </si>
  <si>
    <t>session_obj1_shared_json_qwen2_5_14b_seed0_20260805</t>
  </si>
  <si>
    <t>Battery-TA-RWARE/results/Larger-Models/shared/json/obj1/session_obj1_shared_json_qwen2_5_14b_seed0_20260805/qwen2.5_14b/tiny_balanced_1v1/json/summary.json</t>
  </si>
  <si>
    <t>Battery-TA-RWARE/results/Larger-Models/shared/json/obj1/session_obj1_shared_json_qwen2_5_14b_seed0_20260805/qwen2.5_14b/small_balanced_2v2/json/summary.json</t>
  </si>
  <si>
    <t>Battery-TA-RWARE/results/Larger-Models/shared/json/obj1/session_obj1_shared_json_qwen2_5_14b_seed0_20260805/qwen2.5_14b/small_agv_heavy_4v2/json/summary.json</t>
  </si>
  <si>
    <t>Battery-TA-RWARE/results/Larger-Models/shared/json/obj1/session_obj1_shared_json_qwen2_5_14b_seed0_20260805/qwen2.5_14b/small_picker_heavy_2v4/json/summary.json</t>
  </si>
  <si>
    <t>Battery-TA-RWARE/results/Larger-Models/shared/json/obj1/session_obj1_shared_json_qwen2_5_14b_seed0_20260805/qwen2.5_14b/medium_balanced_4v4/json/summary.json</t>
  </si>
  <si>
    <t>Battery-TA-RWARE/results/Larger-Models/shared/json/obj1/session_obj1_shared_json_qwen2_5_14b_seed0_20260805/qwen2.5_14b/medium_agv_heavy_6v2/json/summary.json</t>
  </si>
  <si>
    <t>For 
Centralized / gemma 12b
Battery / Natural: small_picker_heavy_2v4
Battery-TA-RWARE/results/battery/centralized/natural/session_cps_20260524/gemma3_12b/small_picker_heavy_2v4/language/summary.json</t>
  </si>
  <si>
    <t>Battery Adaptation Score =
Charging Utilization Rate
× Total Deliveries
× (1000 / Max Steps)</t>
  </si>
  <si>
    <t>Mean charging utilization</t>
  </si>
  <si>
    <t>Battery Adaptation Score</t>
  </si>
  <si>
    <t>Mean Charging Utilization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</si>
</sst>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readingOrder="0"/>
    </xf>
    <xf borderId="0" fillId="0" fontId="1" numFmtId="0" xfId="0" applyFont="1"/>
    <xf borderId="0" fillId="0" fontId="3" numFmtId="0" xfId="0" applyFont="1"/>
    <xf borderId="0" fillId="0" fontId="1" numFmtId="0" xfId="0" applyAlignment="1" applyFont="1">
      <alignment horizontal="center" readingOrder="0"/>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Delivery Efficiency by Prompt Format Across Scenarios</a:t>
            </a:r>
          </a:p>
        </c:rich>
      </c:tx>
      <c:overlay val="0"/>
    </c:title>
    <c:plotArea>
      <c:layout/>
      <c:barChart>
        <c:barDir val="col"/>
        <c:ser>
          <c:idx val="0"/>
          <c:order val="0"/>
          <c:tx>
            <c:strRef>
              <c:f>'Analysis 1 JSON vs Natural'!$E$1</c:f>
            </c:strRef>
          </c:tx>
          <c:spPr>
            <a:solidFill>
              <a:schemeClr val="accent1"/>
            </a:solidFill>
            <a:ln cmpd="sng">
              <a:noFill/>
            </a:ln>
          </c:spPr>
          <c:cat>
            <c:strRef>
              <c:f>'Analysis 1 JSON vs Natural'!$A$2:$A$7</c:f>
            </c:strRef>
          </c:cat>
          <c:val>
            <c:numRef>
              <c:f>'Analysis 1 JSON vs Natural'!$E$2:$E$7</c:f>
              <c:numCache/>
            </c:numRef>
          </c:val>
        </c:ser>
        <c:ser>
          <c:idx val="1"/>
          <c:order val="1"/>
          <c:tx>
            <c:strRef>
              <c:f>'Analysis 1 JSON vs Natural'!$I$1</c:f>
            </c:strRef>
          </c:tx>
          <c:spPr>
            <a:solidFill>
              <a:schemeClr val="accent2"/>
            </a:solidFill>
            <a:ln cmpd="sng">
              <a:noFill/>
            </a:ln>
          </c:spPr>
          <c:cat>
            <c:strRef>
              <c:f>'Analysis 1 JSON vs Natural'!$A$2:$A$7</c:f>
            </c:strRef>
          </c:cat>
          <c:val>
            <c:numRef>
              <c:f>'Analysis 1 JSON vs Natural'!$I$2:$I$7</c:f>
              <c:numCache/>
            </c:numRef>
          </c:val>
        </c:ser>
        <c:axId val="25864115"/>
        <c:axId val="1012679447"/>
      </c:barChart>
      <c:catAx>
        <c:axId val="258641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800">
                <a:solidFill>
                  <a:srgbClr val="000000"/>
                </a:solidFill>
                <a:latin typeface="+mn-lt"/>
              </a:defRPr>
            </a:pPr>
          </a:p>
        </c:txPr>
        <c:crossAx val="1012679447"/>
      </c:catAx>
      <c:valAx>
        <c:axId val="10126794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86411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Delivery Efficiency by Prompt Format Across Models</a:t>
            </a:r>
          </a:p>
        </c:rich>
      </c:tx>
      <c:overlay val="0"/>
    </c:title>
    <c:plotArea>
      <c:layout/>
      <c:barChart>
        <c:barDir val="col"/>
        <c:ser>
          <c:idx val="0"/>
          <c:order val="0"/>
          <c:tx>
            <c:strRef>
              <c:f>'Analysis 1 JSON vs Natural'!$E$14</c:f>
            </c:strRef>
          </c:tx>
          <c:spPr>
            <a:solidFill>
              <a:schemeClr val="accent1"/>
            </a:solidFill>
            <a:ln cmpd="sng">
              <a:noFill/>
            </a:ln>
          </c:spPr>
          <c:cat>
            <c:strRef>
              <c:f>'Analysis 1 JSON vs Natural'!$A$15:$A$20</c:f>
            </c:strRef>
          </c:cat>
          <c:val>
            <c:numRef>
              <c:f>'Analysis 1 JSON vs Natural'!$E$15:$E$20</c:f>
              <c:numCache/>
            </c:numRef>
          </c:val>
        </c:ser>
        <c:ser>
          <c:idx val="1"/>
          <c:order val="1"/>
          <c:tx>
            <c:strRef>
              <c:f>'Analysis 1 JSON vs Natural'!$I$14</c:f>
            </c:strRef>
          </c:tx>
          <c:spPr>
            <a:solidFill>
              <a:schemeClr val="accent2"/>
            </a:solidFill>
            <a:ln cmpd="sng">
              <a:noFill/>
            </a:ln>
          </c:spPr>
          <c:cat>
            <c:strRef>
              <c:f>'Analysis 1 JSON vs Natural'!$A$15:$A$20</c:f>
            </c:strRef>
          </c:cat>
          <c:val>
            <c:numRef>
              <c:f>'Analysis 1 JSON vs Natural'!$I$15:$I$20</c:f>
              <c:numCache/>
            </c:numRef>
          </c:val>
        </c:ser>
        <c:axId val="1689848498"/>
        <c:axId val="1711165288"/>
      </c:barChart>
      <c:catAx>
        <c:axId val="16898484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800">
                <a:solidFill>
                  <a:srgbClr val="000000"/>
                </a:solidFill>
                <a:latin typeface="+mn-lt"/>
              </a:defRPr>
            </a:pPr>
          </a:p>
        </c:txPr>
        <c:crossAx val="1711165288"/>
      </c:catAx>
      <c:valAx>
        <c:axId val="17111652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984849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'Analysis 1 JSON vs Natural'!$B$31</c:f>
            </c:strRef>
          </c:tx>
          <c:spPr>
            <a:solidFill>
              <a:srgbClr val="9FC5E8"/>
            </a:solidFill>
            <a:ln cmpd="sng">
              <a:noFill/>
            </a:ln>
          </c:spPr>
          <c:dPt>
            <c:idx val="1"/>
            <c:spPr>
              <a:solidFill>
                <a:srgbClr val="6FA8DC"/>
              </a:solidFill>
              <a:ln cmpd="sng">
                <a:noFill/>
              </a:ln>
            </c:spPr>
          </c:dPt>
          <c:dPt>
            <c:idx val="2"/>
            <c:spPr>
              <a:solidFill>
                <a:srgbClr val="EA9999"/>
              </a:solidFill>
              <a:ln cmpd="sng">
                <a:noFill/>
              </a:ln>
            </c:spPr>
          </c:dPt>
          <c:dPt>
            <c:idx val="3"/>
            <c:spPr>
              <a:solidFill>
                <a:srgbClr val="E06666"/>
              </a:solidFill>
              <a:ln cmpd="sng">
                <a:noFill/>
              </a:ln>
            </c:spPr>
          </c:dPt>
          <c:cat>
            <c:strRef>
              <c:f>'Analysis 1 JSON vs Natural'!$A$32:$A$35</c:f>
            </c:strRef>
          </c:cat>
          <c:val>
            <c:numRef>
              <c:f>'Analysis 1 JSON vs Natural'!$B$32:$B$35</c:f>
              <c:numCache/>
            </c:numRef>
          </c:val>
        </c:ser>
        <c:axId val="2111213149"/>
        <c:axId val="1458775535"/>
      </c:barChart>
      <c:catAx>
        <c:axId val="2111213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Prompt Efficiency by Coordination Architecture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58775535"/>
      </c:catAx>
      <c:valAx>
        <c:axId val="14587755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121314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Delivery Efficiency by Prompt Format Across Scenarios</a:t>
            </a:r>
          </a:p>
        </c:rich>
      </c:tx>
      <c:overlay val="0"/>
    </c:title>
    <c:plotArea>
      <c:layout/>
      <c:barChart>
        <c:barDir val="col"/>
        <c:ser>
          <c:idx val="0"/>
          <c:order val="0"/>
          <c:tx>
            <c:strRef>
              <c:f>'Analysis 1 JSON vs Natural'!$E$67</c:f>
            </c:strRef>
          </c:tx>
          <c:spPr>
            <a:solidFill>
              <a:schemeClr val="accent1"/>
            </a:solidFill>
            <a:ln cmpd="sng">
              <a:noFill/>
            </a:ln>
          </c:spPr>
          <c:cat>
            <c:strRef>
              <c:f>'Analysis 1 JSON vs Natural'!$A$68:$A$73</c:f>
            </c:strRef>
          </c:cat>
          <c:val>
            <c:numRef>
              <c:f>'Analysis 1 JSON vs Natural'!$E$68:$E$73</c:f>
              <c:numCache/>
            </c:numRef>
          </c:val>
        </c:ser>
        <c:ser>
          <c:idx val="1"/>
          <c:order val="1"/>
          <c:tx>
            <c:strRef>
              <c:f>'Analysis 1 JSON vs Natural'!$I$67</c:f>
            </c:strRef>
          </c:tx>
          <c:spPr>
            <a:solidFill>
              <a:schemeClr val="accent2"/>
            </a:solidFill>
            <a:ln cmpd="sng">
              <a:noFill/>
            </a:ln>
          </c:spPr>
          <c:cat>
            <c:strRef>
              <c:f>'Analysis 1 JSON vs Natural'!$A$68:$A$73</c:f>
            </c:strRef>
          </c:cat>
          <c:val>
            <c:numRef>
              <c:f>'Analysis 1 JSON vs Natural'!$I$68:$I$73</c:f>
              <c:numCache/>
            </c:numRef>
          </c:val>
        </c:ser>
        <c:axId val="1883609559"/>
        <c:axId val="1780939537"/>
      </c:barChart>
      <c:catAx>
        <c:axId val="18836095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800">
                <a:solidFill>
                  <a:srgbClr val="000000"/>
                </a:solidFill>
                <a:latin typeface="+mn-lt"/>
              </a:defRPr>
            </a:pPr>
          </a:p>
        </c:txPr>
        <c:crossAx val="1780939537"/>
      </c:catAx>
      <c:valAx>
        <c:axId val="17809395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360955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Delivery Efficiency by Prompt Format Across Models</a:t>
            </a:r>
          </a:p>
        </c:rich>
      </c:tx>
      <c:overlay val="0"/>
    </c:title>
    <c:plotArea>
      <c:layout/>
      <c:barChart>
        <c:barDir val="col"/>
        <c:ser>
          <c:idx val="0"/>
          <c:order val="0"/>
          <c:tx>
            <c:strRef>
              <c:f>'Analysis 1 JSON vs Natural'!$E$80</c:f>
            </c:strRef>
          </c:tx>
          <c:spPr>
            <a:solidFill>
              <a:schemeClr val="accent1"/>
            </a:solidFill>
            <a:ln cmpd="sng">
              <a:noFill/>
            </a:ln>
          </c:spPr>
          <c:cat>
            <c:strRef>
              <c:f>'Analysis 1 JSON vs Natural'!$A$81:$A$86</c:f>
            </c:strRef>
          </c:cat>
          <c:val>
            <c:numRef>
              <c:f>'Analysis 1 JSON vs Natural'!$E$81:$E$86</c:f>
              <c:numCache/>
            </c:numRef>
          </c:val>
        </c:ser>
        <c:ser>
          <c:idx val="1"/>
          <c:order val="1"/>
          <c:tx>
            <c:strRef>
              <c:f>'Analysis 1 JSON vs Natural'!$I$80</c:f>
            </c:strRef>
          </c:tx>
          <c:spPr>
            <a:solidFill>
              <a:schemeClr val="accent2"/>
            </a:solidFill>
            <a:ln cmpd="sng">
              <a:noFill/>
            </a:ln>
          </c:spPr>
          <c:cat>
            <c:strRef>
              <c:f>'Analysis 1 JSON vs Natural'!$A$81:$A$86</c:f>
            </c:strRef>
          </c:cat>
          <c:val>
            <c:numRef>
              <c:f>'Analysis 1 JSON vs Natural'!$I$81:$I$86</c:f>
              <c:numCache/>
            </c:numRef>
          </c:val>
        </c:ser>
        <c:axId val="405769621"/>
        <c:axId val="2136040305"/>
      </c:barChart>
      <c:catAx>
        <c:axId val="4057696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800">
                <a:solidFill>
                  <a:srgbClr val="000000"/>
                </a:solidFill>
                <a:latin typeface="+mn-lt"/>
              </a:defRPr>
            </a:pPr>
          </a:p>
        </c:txPr>
        <c:crossAx val="2136040305"/>
      </c:catAx>
      <c:valAx>
        <c:axId val="21360403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0576962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'Analysis 1 JSON vs Natural'!$B$96</c:f>
            </c:strRef>
          </c:tx>
          <c:spPr>
            <a:solidFill>
              <a:srgbClr val="9FC5E8"/>
            </a:solidFill>
            <a:ln cmpd="sng">
              <a:noFill/>
            </a:ln>
          </c:spPr>
          <c:dPt>
            <c:idx val="1"/>
            <c:spPr>
              <a:solidFill>
                <a:srgbClr val="6FA8DC"/>
              </a:solidFill>
              <a:ln cmpd="sng">
                <a:noFill/>
              </a:ln>
            </c:spPr>
          </c:dPt>
          <c:dPt>
            <c:idx val="2"/>
            <c:spPr>
              <a:solidFill>
                <a:srgbClr val="EA9999"/>
              </a:solidFill>
              <a:ln cmpd="sng">
                <a:noFill/>
              </a:ln>
            </c:spPr>
          </c:dPt>
          <c:dPt>
            <c:idx val="3"/>
            <c:spPr>
              <a:solidFill>
                <a:srgbClr val="E06666"/>
              </a:solidFill>
              <a:ln cmpd="sng">
                <a:noFill/>
              </a:ln>
            </c:spPr>
          </c:dPt>
          <c:cat>
            <c:strRef>
              <c:f>'Analysis 1 JSON vs Natural'!$A$97:$A$100</c:f>
            </c:strRef>
          </c:cat>
          <c:val>
            <c:numRef>
              <c:f>'Analysis 1 JSON vs Natural'!$B$97:$B$100</c:f>
              <c:numCache/>
            </c:numRef>
          </c:val>
        </c:ser>
        <c:axId val="241739196"/>
        <c:axId val="1843063727"/>
      </c:barChart>
      <c:catAx>
        <c:axId val="2417391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Prompt Efficiency by Coordination Architecture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43063727"/>
      </c:catAx>
      <c:valAx>
        <c:axId val="18430637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173919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Centralized mean deliveries and Shared mean deliveries</a:t>
            </a:r>
          </a:p>
        </c:rich>
      </c:tx>
      <c:overlay val="0"/>
    </c:title>
    <c:plotArea>
      <c:layout/>
      <c:lineChart>
        <c:ser>
          <c:idx val="0"/>
          <c:order val="0"/>
          <c:tx>
            <c:strRef>
              <c:f>'Centralized vs Shared'!$D$2</c:f>
            </c:strRef>
          </c:tx>
          <c:spPr>
            <a:ln cmpd="sng">
              <a:solidFill>
                <a:srgbClr val="4285F4"/>
              </a:solidFill>
            </a:ln>
          </c:spPr>
          <c:marker>
            <c:symbol val="none"/>
          </c:marker>
          <c:cat>
            <c:strRef>
              <c:f>'Centralized vs Shared'!$A$3:$A$7</c:f>
            </c:strRef>
          </c:cat>
          <c:val>
            <c:numRef>
              <c:f>'Centralized vs Shared'!$D$3:$D$7</c:f>
              <c:numCache/>
            </c:numRef>
          </c:val>
          <c:smooth val="0"/>
        </c:ser>
        <c:ser>
          <c:idx val="1"/>
          <c:order val="1"/>
          <c:tx>
            <c:strRef>
              <c:f>'Centralized vs Shared'!$H$2</c:f>
            </c:strRef>
          </c:tx>
          <c:spPr>
            <a:ln cmpd="sng">
              <a:solidFill>
                <a:srgbClr val="EA4335"/>
              </a:solidFill>
            </a:ln>
          </c:spPr>
          <c:marker>
            <c:symbol val="none"/>
          </c:marker>
          <c:cat>
            <c:strRef>
              <c:f>'Centralized vs Shared'!$A$3:$A$7</c:f>
            </c:strRef>
          </c:cat>
          <c:val>
            <c:numRef>
              <c:f>'Centralized vs Shared'!$H$3:$H$7</c:f>
              <c:numCache/>
            </c:numRef>
          </c:val>
          <c:smooth val="0"/>
        </c:ser>
        <c:axId val="380434119"/>
        <c:axId val="409714649"/>
      </c:lineChart>
      <c:catAx>
        <c:axId val="3804341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Scenario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09714649"/>
      </c:catAx>
      <c:valAx>
        <c:axId val="4097146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8043411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Centralized mean deliveries and Shared mean deliveries</a:t>
            </a:r>
          </a:p>
        </c:rich>
      </c:tx>
      <c:overlay val="0"/>
    </c:title>
    <c:plotArea>
      <c:layout/>
      <c:lineChart>
        <c:ser>
          <c:idx val="0"/>
          <c:order val="0"/>
          <c:tx>
            <c:strRef>
              <c:f>'Centralized vs Shared'!$D$12</c:f>
            </c:strRef>
          </c:tx>
          <c:spPr>
            <a:ln cmpd="sng">
              <a:solidFill>
                <a:srgbClr val="4285F4"/>
              </a:solidFill>
            </a:ln>
          </c:spPr>
          <c:marker>
            <c:symbol val="none"/>
          </c:marker>
          <c:cat>
            <c:strRef>
              <c:f>'Centralized vs Shared'!$A$13:$A$18</c:f>
            </c:strRef>
          </c:cat>
          <c:val>
            <c:numRef>
              <c:f>'Centralized vs Shared'!$D$13:$D$18</c:f>
              <c:numCache/>
            </c:numRef>
          </c:val>
          <c:smooth val="0"/>
        </c:ser>
        <c:ser>
          <c:idx val="1"/>
          <c:order val="1"/>
          <c:tx>
            <c:strRef>
              <c:f>'Centralized vs Shared'!$H$12</c:f>
            </c:strRef>
          </c:tx>
          <c:spPr>
            <a:ln cmpd="sng">
              <a:solidFill>
                <a:srgbClr val="EA4335"/>
              </a:solidFill>
            </a:ln>
          </c:spPr>
          <c:marker>
            <c:symbol val="none"/>
          </c:marker>
          <c:cat>
            <c:strRef>
              <c:f>'Centralized vs Shared'!$A$13:$A$18</c:f>
            </c:strRef>
          </c:cat>
          <c:val>
            <c:numRef>
              <c:f>'Centralized vs Shared'!$H$13:$H$18</c:f>
              <c:numCache/>
            </c:numRef>
          </c:val>
          <c:smooth val="0"/>
        </c:ser>
        <c:axId val="647477596"/>
        <c:axId val="1207103846"/>
      </c:lineChart>
      <c:catAx>
        <c:axId val="6474775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7103846"/>
      </c:catAx>
      <c:valAx>
        <c:axId val="12071038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47477596"/>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Centralized mean deliveries and Shared mean deliveries</a:t>
            </a:r>
          </a:p>
        </c:rich>
      </c:tx>
      <c:overlay val="0"/>
    </c:title>
    <c:plotArea>
      <c:layout/>
      <c:lineChart>
        <c:ser>
          <c:idx val="0"/>
          <c:order val="0"/>
          <c:tx>
            <c:strRef>
              <c:f>'Centralized vs Shared'!$D$54</c:f>
            </c:strRef>
          </c:tx>
          <c:spPr>
            <a:ln cmpd="sng">
              <a:solidFill>
                <a:srgbClr val="4285F4"/>
              </a:solidFill>
            </a:ln>
          </c:spPr>
          <c:marker>
            <c:symbol val="none"/>
          </c:marker>
          <c:cat>
            <c:strRef>
              <c:f>'Centralized vs Shared'!$A$55:$A$60</c:f>
            </c:strRef>
          </c:cat>
          <c:val>
            <c:numRef>
              <c:f>'Centralized vs Shared'!$D$55:$D$60</c:f>
              <c:numCache/>
            </c:numRef>
          </c:val>
          <c:smooth val="0"/>
        </c:ser>
        <c:ser>
          <c:idx val="1"/>
          <c:order val="1"/>
          <c:tx>
            <c:strRef>
              <c:f>'Centralized vs Shared'!$H$54</c:f>
            </c:strRef>
          </c:tx>
          <c:spPr>
            <a:ln cmpd="sng">
              <a:solidFill>
                <a:srgbClr val="EA4335"/>
              </a:solidFill>
            </a:ln>
          </c:spPr>
          <c:marker>
            <c:symbol val="none"/>
          </c:marker>
          <c:cat>
            <c:strRef>
              <c:f>'Centralized vs Shared'!$A$55:$A$60</c:f>
            </c:strRef>
          </c:cat>
          <c:val>
            <c:numRef>
              <c:f>'Centralized vs Shared'!$H$55:$H$60</c:f>
              <c:numCache/>
            </c:numRef>
          </c:val>
          <c:smooth val="0"/>
        </c:ser>
        <c:axId val="414161179"/>
        <c:axId val="1595818609"/>
      </c:lineChart>
      <c:catAx>
        <c:axId val="4141611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Scenario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95818609"/>
      </c:catAx>
      <c:valAx>
        <c:axId val="15958186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4161179"/>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Centralized mean deliveries and Shared mean deliveries</a:t>
            </a:r>
          </a:p>
        </c:rich>
      </c:tx>
      <c:overlay val="0"/>
    </c:title>
    <c:plotArea>
      <c:layout/>
      <c:lineChart>
        <c:ser>
          <c:idx val="0"/>
          <c:order val="0"/>
          <c:tx>
            <c:strRef>
              <c:f>'Centralized vs Shared'!$D$65</c:f>
            </c:strRef>
          </c:tx>
          <c:spPr>
            <a:ln cmpd="sng">
              <a:solidFill>
                <a:srgbClr val="4285F4"/>
              </a:solidFill>
            </a:ln>
          </c:spPr>
          <c:marker>
            <c:symbol val="none"/>
          </c:marker>
          <c:cat>
            <c:strRef>
              <c:f>'Centralized vs Shared'!$A$66:$A$71</c:f>
            </c:strRef>
          </c:cat>
          <c:val>
            <c:numRef>
              <c:f>'Centralized vs Shared'!$D$66:$D$71</c:f>
              <c:numCache/>
            </c:numRef>
          </c:val>
          <c:smooth val="0"/>
        </c:ser>
        <c:ser>
          <c:idx val="1"/>
          <c:order val="1"/>
          <c:tx>
            <c:strRef>
              <c:f>'Centralized vs Shared'!$H$65</c:f>
            </c:strRef>
          </c:tx>
          <c:spPr>
            <a:ln cmpd="sng">
              <a:solidFill>
                <a:srgbClr val="EA4335"/>
              </a:solidFill>
            </a:ln>
          </c:spPr>
          <c:marker>
            <c:symbol val="none"/>
          </c:marker>
          <c:cat>
            <c:strRef>
              <c:f>'Centralized vs Shared'!$A$66:$A$71</c:f>
            </c:strRef>
          </c:cat>
          <c:val>
            <c:numRef>
              <c:f>'Centralized vs Shared'!$H$66:$H$71</c:f>
              <c:numCache/>
            </c:numRef>
          </c:val>
          <c:smooth val="0"/>
        </c:ser>
        <c:axId val="113481398"/>
        <c:axId val="706591667"/>
      </c:lineChart>
      <c:catAx>
        <c:axId val="1134813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06591667"/>
      </c:catAx>
      <c:valAx>
        <c:axId val="7065916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3481398"/>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Model Adaptability to LLM Call Reduction Objective</a:t>
            </a:r>
          </a:p>
        </c:rich>
      </c:tx>
      <c:overlay val="0"/>
    </c:title>
    <c:plotArea>
      <c:layout/>
      <c:lineChart>
        <c:varyColors val="0"/>
        <c:ser>
          <c:idx val="0"/>
          <c:order val="0"/>
          <c:spPr>
            <a:ln cmpd="sng">
              <a:solidFill>
                <a:srgbClr val="4285F4"/>
              </a:solidFill>
            </a:ln>
          </c:spPr>
          <c:marker>
            <c:symbol val="none"/>
          </c:marker>
          <c:cat>
            <c:strRef>
              <c:f>'Objective Adaptability-v2'!$A$108:$A$113</c:f>
            </c:strRef>
          </c:cat>
          <c:val>
            <c:numRef>
              <c:f>'Objective Adaptability-v2'!$D$108:$D$113</c:f>
              <c:numCache/>
            </c:numRef>
          </c:val>
          <c:smooth val="0"/>
        </c:ser>
        <c:axId val="469874553"/>
        <c:axId val="1645571186"/>
      </c:lineChart>
      <c:catAx>
        <c:axId val="4698745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45571186"/>
      </c:catAx>
      <c:valAx>
        <c:axId val="16455711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9874553"/>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Battery-Aware Productivity Across Objective Prompt</a:t>
            </a:r>
          </a:p>
        </c:rich>
      </c:tx>
      <c:overlay val="0"/>
    </c:title>
    <c:plotArea>
      <c:layout/>
      <c:barChart>
        <c:barDir val="col"/>
        <c:ser>
          <c:idx val="0"/>
          <c:order val="0"/>
          <c:tx>
            <c:v>Calls</c:v>
          </c:tx>
          <c:spPr>
            <a:solidFill>
              <a:schemeClr val="accent1"/>
            </a:solidFill>
            <a:ln cmpd="sng">
              <a:noFill/>
            </a:ln>
          </c:spPr>
          <c:dPt>
            <c:idx val="0"/>
          </c:dPt>
          <c:cat>
            <c:strRef>
              <c:f>'Objective Adaptability-v2'!$A$124:$A$129</c:f>
            </c:strRef>
          </c:cat>
          <c:val>
            <c:numRef>
              <c:f>'Objective Adaptability-v2'!$A$131:$A$136</c:f>
              <c:numCache/>
            </c:numRef>
          </c:val>
        </c:ser>
        <c:ser>
          <c:idx val="1"/>
          <c:order val="1"/>
          <c:tx>
            <c:v>Battery + Shelf</c:v>
          </c:tx>
          <c:spPr>
            <a:solidFill>
              <a:schemeClr val="accent2"/>
            </a:solidFill>
            <a:ln cmpd="sng">
              <a:noFill/>
            </a:ln>
          </c:spPr>
          <c:cat>
            <c:strRef>
              <c:f>'Objective Adaptability-v2'!$A$124:$A$129</c:f>
            </c:strRef>
          </c:cat>
          <c:val>
            <c:numRef>
              <c:f>'Objective Adaptability-v2'!$A$139:$A$144</c:f>
              <c:numCache/>
            </c:numRef>
          </c:val>
        </c:ser>
        <c:ser>
          <c:idx val="2"/>
          <c:order val="2"/>
          <c:tx>
            <c:v>Battery</c:v>
          </c:tx>
          <c:spPr>
            <a:solidFill>
              <a:schemeClr val="accent3"/>
            </a:solidFill>
            <a:ln cmpd="sng">
              <a:noFill/>
            </a:ln>
          </c:spPr>
          <c:dPt>
            <c:idx val="0"/>
          </c:dPt>
          <c:cat>
            <c:strRef>
              <c:f>'Objective Adaptability-v2'!$A$124:$A$129</c:f>
            </c:strRef>
          </c:cat>
          <c:val>
            <c:numRef>
              <c:f>'Objective Adaptability-v2'!$H$124:$H$129</c:f>
              <c:numCache/>
            </c:numRef>
          </c:val>
        </c:ser>
        <c:ser>
          <c:idx val="3"/>
          <c:order val="3"/>
          <c:cat>
            <c:strRef>
              <c:f>'Objective Adaptability-v2'!$A$124:$A$129</c:f>
            </c:strRef>
          </c:cat>
          <c:val>
            <c:numRef>
              <c:f>'Objective Adaptability-v2'!$H$131:$H$136</c:f>
              <c:numCache/>
            </c:numRef>
          </c:val>
        </c:ser>
        <c:ser>
          <c:idx val="4"/>
          <c:order val="4"/>
          <c:cat>
            <c:strRef>
              <c:f>'Objective Adaptability-v2'!$A$124:$A$129</c:f>
            </c:strRef>
          </c:cat>
          <c:val>
            <c:numRef>
              <c:f>'Objective Adaptability-v2'!$H$139:$H$144</c:f>
              <c:numCache/>
            </c:numRef>
          </c:val>
        </c:ser>
        <c:axId val="1616694802"/>
        <c:axId val="2035461614"/>
      </c:barChart>
      <c:catAx>
        <c:axId val="16166948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5461614"/>
      </c:catAx>
      <c:valAx>
        <c:axId val="20354616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6694802"/>
      </c:valAx>
    </c:plotArea>
    <c:legend>
      <c:legendPos val="r"/>
      <c:layout>
        <c:manualLayout>
          <c:xMode val="edge"/>
          <c:yMode val="edge"/>
          <c:x val="0.4177734375000001"/>
          <c:y val="0.139937106918239"/>
        </c:manualLayout>
      </c:layout>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Model Adaptability to LLM Call Reduction Objective</a:t>
            </a:r>
          </a:p>
        </c:rich>
      </c:tx>
      <c:overlay val="0"/>
    </c:title>
    <c:plotArea>
      <c:layout/>
      <c:lineChart>
        <c:varyColors val="0"/>
        <c:ser>
          <c:idx val="0"/>
          <c:order val="0"/>
          <c:spPr>
            <a:ln cmpd="sng">
              <a:solidFill>
                <a:srgbClr val="4285F4"/>
              </a:solidFill>
            </a:ln>
          </c:spPr>
          <c:marker>
            <c:symbol val="none"/>
          </c:marker>
          <c:cat>
            <c:strRef>
              <c:f>'Objective Adaptability'!$A$78:$A$83</c:f>
            </c:strRef>
          </c:cat>
          <c:val>
            <c:numRef>
              <c:f>'Objective Adaptability'!$D$78:$D$83</c:f>
              <c:numCache/>
            </c:numRef>
          </c:val>
          <c:smooth val="0"/>
        </c:ser>
        <c:axId val="141240498"/>
        <c:axId val="981318086"/>
      </c:lineChart>
      <c:catAx>
        <c:axId val="1412404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1318086"/>
      </c:catAx>
      <c:valAx>
        <c:axId val="9813180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240498"/>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Battery-Aware Productivity Across Objective Prompt</a:t>
            </a:r>
          </a:p>
        </c:rich>
      </c:tx>
      <c:overlay val="0"/>
    </c:title>
    <c:plotArea>
      <c:layout/>
      <c:barChart>
        <c:barDir val="col"/>
        <c:ser>
          <c:idx val="0"/>
          <c:order val="0"/>
          <c:tx>
            <c:v>Calls</c:v>
          </c:tx>
          <c:spPr>
            <a:solidFill>
              <a:schemeClr val="accent1"/>
            </a:solidFill>
            <a:ln cmpd="sng">
              <a:noFill/>
            </a:ln>
          </c:spPr>
          <c:dPt>
            <c:idx val="0"/>
          </c:dPt>
          <c:cat>
            <c:strRef>
              <c:f>'Objective Adaptability'!$A$124:$A$129</c:f>
            </c:strRef>
          </c:cat>
          <c:val>
            <c:numRef>
              <c:f>'Objective Adaptability'!$A$131:$A$136</c:f>
              <c:numCache/>
            </c:numRef>
          </c:val>
        </c:ser>
        <c:ser>
          <c:idx val="1"/>
          <c:order val="1"/>
          <c:tx>
            <c:v>Battery + Shelf</c:v>
          </c:tx>
          <c:spPr>
            <a:solidFill>
              <a:schemeClr val="accent2"/>
            </a:solidFill>
            <a:ln cmpd="sng">
              <a:noFill/>
            </a:ln>
          </c:spPr>
          <c:cat>
            <c:strRef>
              <c:f>'Objective Adaptability'!$A$124:$A$129</c:f>
            </c:strRef>
          </c:cat>
          <c:val>
            <c:numRef>
              <c:f>'Objective Adaptability'!$A$139:$A$144</c:f>
              <c:numCache/>
            </c:numRef>
          </c:val>
        </c:ser>
        <c:ser>
          <c:idx val="2"/>
          <c:order val="2"/>
          <c:tx>
            <c:v>Battery</c:v>
          </c:tx>
          <c:spPr>
            <a:solidFill>
              <a:schemeClr val="accent3"/>
            </a:solidFill>
            <a:ln cmpd="sng">
              <a:noFill/>
            </a:ln>
          </c:spPr>
          <c:dPt>
            <c:idx val="0"/>
          </c:dPt>
          <c:cat>
            <c:strRef>
              <c:f>'Objective Adaptability'!$A$124:$A$129</c:f>
            </c:strRef>
          </c:cat>
          <c:val>
            <c:numRef>
              <c:f>'Objective Adaptability'!$H$124:$H$129</c:f>
              <c:numCache/>
            </c:numRef>
          </c:val>
        </c:ser>
        <c:ser>
          <c:idx val="3"/>
          <c:order val="3"/>
          <c:cat>
            <c:strRef>
              <c:f>'Objective Adaptability'!$A$124:$A$129</c:f>
            </c:strRef>
          </c:cat>
          <c:val>
            <c:numRef>
              <c:f>'Objective Adaptability'!$H$131:$H$136</c:f>
              <c:numCache/>
            </c:numRef>
          </c:val>
        </c:ser>
        <c:ser>
          <c:idx val="4"/>
          <c:order val="4"/>
          <c:cat>
            <c:strRef>
              <c:f>'Objective Adaptability'!$A$124:$A$129</c:f>
            </c:strRef>
          </c:cat>
          <c:val>
            <c:numRef>
              <c:f>'Objective Adaptability'!$H$139:$H$144</c:f>
              <c:numCache/>
            </c:numRef>
          </c:val>
        </c:ser>
        <c:axId val="1848487465"/>
        <c:axId val="768041881"/>
      </c:barChart>
      <c:catAx>
        <c:axId val="1848487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8041881"/>
      </c:catAx>
      <c:valAx>
        <c:axId val="7680418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8487465"/>
      </c:valAx>
    </c:plotArea>
    <c:legend>
      <c:legendPos val="r"/>
      <c:layout>
        <c:manualLayout>
          <c:xMode val="edge"/>
          <c:yMode val="edge"/>
          <c:x val="0.4177734375000001"/>
          <c:y val="0.139937106918239"/>
        </c:manualLayout>
      </c:layout>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552450</xdr:colOff>
      <xdr:row>4</xdr:row>
      <xdr:rowOff>95250</xdr:rowOff>
    </xdr:from>
    <xdr:ext cx="13696950" cy="4962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552450</xdr:colOff>
      <xdr:row>31</xdr:row>
      <xdr:rowOff>133350</xdr:rowOff>
    </xdr:from>
    <xdr:ext cx="13506450" cy="48958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466725</xdr:colOff>
      <xdr:row>39</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285750</xdr:colOff>
      <xdr:row>64</xdr:row>
      <xdr:rowOff>190500</xdr:rowOff>
    </xdr:from>
    <xdr:ext cx="13696950" cy="49625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552450</xdr:colOff>
      <xdr:row>100</xdr:row>
      <xdr:rowOff>133350</xdr:rowOff>
    </xdr:from>
    <xdr:ext cx="13506450" cy="48958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771525</xdr:colOff>
      <xdr:row>98</xdr:row>
      <xdr:rowOff>95250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438150</xdr:colOff>
      <xdr:row>21</xdr:row>
      <xdr:rowOff>171450</xdr:rowOff>
    </xdr:from>
    <xdr:ext cx="8801100" cy="54483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381000</xdr:colOff>
      <xdr:row>21</xdr:row>
      <xdr:rowOff>47625</xdr:rowOff>
    </xdr:from>
    <xdr:ext cx="6524625" cy="40290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1438275</xdr:colOff>
      <xdr:row>72</xdr:row>
      <xdr:rowOff>9525</xdr:rowOff>
    </xdr:from>
    <xdr:ext cx="8801100" cy="5448300"/>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914400</xdr:colOff>
      <xdr:row>75</xdr:row>
      <xdr:rowOff>104775</xdr:rowOff>
    </xdr:from>
    <xdr:ext cx="6524625" cy="402907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257175</xdr:colOff>
      <xdr:row>70</xdr:row>
      <xdr:rowOff>85725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1285875</xdr:colOff>
      <xdr:row>145</xdr:row>
      <xdr:rowOff>142875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257175</xdr:colOff>
      <xdr:row>70</xdr:row>
      <xdr:rowOff>85725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1285875</xdr:colOff>
      <xdr:row>145</xdr:row>
      <xdr:rowOff>142875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4.13"/>
    <col customWidth="1" min="8" max="8" width="25.25"/>
    <col customWidth="1" min="10" max="10" width="20.0"/>
    <col customWidth="1" min="11" max="12" width="24.38"/>
    <col customWidth="1" min="13" max="13" width="16.25"/>
    <col customWidth="1" min="14" max="14" width="17.0"/>
    <col customWidth="1" min="15" max="15" width="13.63"/>
    <col customWidth="1" min="21" max="21" width="20.38"/>
    <col customWidth="1" min="22" max="22" width="37.0"/>
    <col customWidth="1" min="23" max="23" width="33.75"/>
  </cols>
  <sheetData>
    <row r="1">
      <c r="A1" s="2" t="s">
        <v>0</v>
      </c>
      <c r="B1" s="2" t="s">
        <v>1</v>
      </c>
      <c r="C1" s="2"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28</v>
      </c>
      <c r="V1" s="3" t="s">
        <v>29</v>
      </c>
      <c r="W1" s="3" t="s">
        <v>31</v>
      </c>
    </row>
    <row r="2">
      <c r="A2" s="2" t="s">
        <v>32</v>
      </c>
      <c r="B2" s="2" t="s">
        <v>22</v>
      </c>
      <c r="C2" s="2" t="s">
        <v>23</v>
      </c>
      <c r="D2" s="2" t="s">
        <v>24</v>
      </c>
      <c r="E2" s="2" t="s">
        <v>25</v>
      </c>
      <c r="H2" s="5">
        <f>AVERAGEIFS('Data Combined - all-runs'!$H:$H, 'Data Combined - all-runs'!$A:$A, A2,'Data Combined - all-runs'!$B:$B, B2,'Data Combined - all-runs'!$C:$C, C2, 'Data Combined - all-runs'!$D:$D, D2, 'Data Combined - all-runs'!$E:$E, E2)</f>
        <v>195</v>
      </c>
      <c r="I2" s="5">
        <f>AVERAGEIFS('Data Combined - all-runs'!$I:$I, 'Data Combined - all-runs'!$A:$A, A2,'Data Combined - all-runs'!$B:$B, B2,'Data Combined - all-runs'!$C:$C, C2, 'Data Combined - all-runs'!$D:$D, D2, 'Data Combined - all-runs'!$E:$E, E2)</f>
        <v>0</v>
      </c>
      <c r="J2" s="5">
        <f>AVERAGEIFS('Data Combined - all-runs'!$J:$J, 'Data Combined - all-runs'!$A:$A, A2,'Data Combined - all-runs'!$B:$B, B2,'Data Combined - all-runs'!$C:$C, C2, 'Data Combined - all-runs'!$D:$D, D2, 'Data Combined - all-runs'!$E:$E, E2)</f>
        <v>7</v>
      </c>
      <c r="K2" s="5">
        <f>AVERAGEIFS('Data Combined - all-runs'!$K:$K, 'Data Combined - all-runs'!$A:$A, A2,'Data Combined - all-runs'!$B:$B, B2,'Data Combined - all-runs'!$C:$C, C2, 'Data Combined - all-runs'!$D:$D, D2, 'Data Combined - all-runs'!$E:$E, E2)</f>
        <v>0.03</v>
      </c>
      <c r="L2" s="5">
        <f>AVERAGEIFS('Data Combined - all-runs'!$L:$L, 'Data Combined - all-runs'!$A:$A, A2,'Data Combined - all-runs'!$B:$B, B2,'Data Combined - all-runs'!$C:$C, C2, 'Data Combined - all-runs'!$D:$D, D2, 'Data Combined - all-runs'!$E:$E, E2)</f>
        <v>366.2475171</v>
      </c>
      <c r="M2" s="5" t="str">
        <f>AVERAGEIFS('Data Combined - all-runs'!$M:$M, 'Data Combined - all-runs'!$A:$A, A2,'Data Combined - all-runs'!$B:$B, B2,'Data Combined - all-runs'!$C:$C, C2, 'Data Combined - all-runs'!$D:$D, D2, 'Data Combined - all-runs'!$E:$E, E2)</f>
        <v>#DIV/0!</v>
      </c>
      <c r="N2" s="5">
        <f>AVERAGEIFS('Data Combined - all-runs'!$N:$N, 'Data Combined - all-runs'!$A:$A, A2,'Data Combined - all-runs'!$B:$B, B2,'Data Combined - all-runs'!$C:$C, C2, 'Data Combined - all-runs'!$D:$D, D2, 'Data Combined - all-runs'!$E:$E, E2)</f>
        <v>0</v>
      </c>
      <c r="O2" s="5">
        <f>AVERAGEIFS('Data Combined - all-runs'!$O:$O, 'Data Combined - all-runs'!$A:$A, A2,'Data Combined - all-runs'!$B:$B, B2,'Data Combined - all-runs'!$C:$C, C2, 'Data Combined - all-runs'!$D:$D, D2, 'Data Combined - all-runs'!$E:$E, E2)</f>
        <v>500</v>
      </c>
      <c r="P2" s="5">
        <f>AVERAGEIFS('Data Combined - all-runs'!$P:$P, 'Data Combined - all-runs'!$A:$A, A2,'Data Combined - all-runs'!$B:$B, B2,'Data Combined - all-runs'!$C:$C, C2, 'Data Combined - all-runs'!$D:$D, D2, 'Data Combined - all-runs'!$E:$E, E2)</f>
        <v>0</v>
      </c>
      <c r="Q2" s="5">
        <f>AVERAGEIFS('Data Combined - all-runs'!$Q:$Q, 'Data Combined - all-runs'!$A:$A, A2,'Data Combined - all-runs'!$B:$B, B2,'Data Combined - all-runs'!$C:$C, C2, 'Data Combined - all-runs'!$D:$D, D2, 'Data Combined - all-runs'!$E:$E, E2)</f>
        <v>390</v>
      </c>
      <c r="R2" s="5" t="str">
        <f>AVERAGEIFS('Data Combined - all-runs'!$R:$R, 'Data Combined - all-runs'!$A:$A, A2,'Data Combined - all-runs'!$B:$B, B2,'Data Combined - all-runs'!$C:$C, C2, 'Data Combined - all-runs'!$D:$D, D2, 'Data Combined - all-runs'!$E:$E, E2)</f>
        <v>#DIV/0!</v>
      </c>
      <c r="S2" s="5">
        <f>AVERAGEIFS('Data Combined - all-runs'!$S:$S, 'Data Combined - all-runs'!$A:$A, A2,'Data Combined - all-runs'!$B:$B, B2,'Data Combined - all-runs'!$C:$C, C2, 'Data Combined - all-runs'!$D:$D, D2, 'Data Combined - all-runs'!$E:$E, E2)</f>
        <v>0.0358974359</v>
      </c>
      <c r="T2" s="5">
        <f>AVERAGEIFS('Data Combined - all-runs'!$T:$T, 'Data Combined - all-runs'!$A:$A, A2,'Data Combined - all-runs'!$B:$B, B2,'Data Combined - all-runs'!$C:$C, C2, 'Data Combined - all-runs'!$D:$D, D2, 'Data Combined - all-runs'!$E:$E, E2)</f>
        <v>0</v>
      </c>
      <c r="U2" s="5" t="b">
        <f t="shared" ref="U2:U433" si="1">AND(
  ISNUMBER($H2),
  SUMPRODUCT(
    ($A$2:$A$433=$A2)*
    ($B$2:$B$433=$B2)*
    ($C$2:$C$433=IF($C2="Json","Natural","Json"))*
    ($D$2:$D$433=$D2)*
    ($E$2:$E$433=$E2)*
    ISNUMBER($H$2:$H$433)
  )&gt;0
)</f>
        <v>0</v>
      </c>
      <c r="V2" s="5" t="b">
        <f t="shared" ref="V2:V433" si="2">AND(
  ISNUMBER($H2),
  OR($A2="Calls",$A2="Battery + Shelf"),
  SUMPRODUCT(
    ($A$2:$A$433=IF($A2="Calls","Battery + Shelf","Calls"))*
    ($B$2:$B$433=$B2)*
    ($C$2:$C$433=$C2)*
    ($D$2:$D$433=$D2)*
    ($E$2:$E$433=$E2)*
    ISNUMBER($H$2:$H$433)
  )&gt;0
)</f>
        <v>0</v>
      </c>
      <c r="W2" s="5" t="b">
        <f t="shared" ref="W2:W433" si="3">AND(
  ISNUMBER($H2),
  OR(
    $A2="Calls",
    $A2="Battery + Shelf",
    $A2="Battery"
  ),
  SUMPRODUCT(
    ($A$2:$A$433="Calls")*
    ($B$2:$B$433=$B2)*
    ($C$2:$C$433=$C2)*
    ($D$2:$D$433=$D2)*
    ($E$2:$E$433=$E2)*
    ISNUMBER($H$2:$H$433)
  )&gt;0,
  SUMPRODUCT(
    ($A$2:$A$433="Battery + Shelf")*
    ($B$2:$B$433=$B2)*
    ($C$2:$C$433=$C2)*
    ($D$2:$D$433=$D2)*
    ($E$2:$E$433=$E2)*
    ISNUMBER($H$2:$H$433)
  )&gt;0,
  SUMPRODUCT(
    ($A$2:$A$433="Battery")*
    ($B$2:$B$433=$B2)*
    ($C$2:$C$433=$C2)*
    ($D$2:$D$433=$D2)*
    ($E$2:$E$433=$E2)*
    ISNUMBER($H$2:$H$433)
  )&gt;0
)</f>
        <v>1</v>
      </c>
    </row>
    <row r="3">
      <c r="A3" s="2" t="s">
        <v>32</v>
      </c>
      <c r="B3" s="2" t="s">
        <v>22</v>
      </c>
      <c r="C3" s="2" t="s">
        <v>23</v>
      </c>
      <c r="D3" s="2" t="s">
        <v>24</v>
      </c>
      <c r="E3" s="2" t="s">
        <v>39</v>
      </c>
      <c r="H3" s="5">
        <f>AVERAGEIFS('Data Combined - all-runs'!$H:$H, 'Data Combined - all-runs'!$A:$A, A3,'Data Combined - all-runs'!$B:$B, B3,'Data Combined - all-runs'!$C:$C, C3, 'Data Combined - all-runs'!$D:$D, D3, 'Data Combined - all-runs'!$E:$E, E3)</f>
        <v>370</v>
      </c>
      <c r="I3" s="5">
        <f>AVERAGEIFS('Data Combined - all-runs'!$I:$I, 'Data Combined - all-runs'!$A:$A, A3,'Data Combined - all-runs'!$B:$B, B3,'Data Combined - all-runs'!$C:$C, C3, 'Data Combined - all-runs'!$D:$D, D3, 'Data Combined - all-runs'!$E:$E, E3)</f>
        <v>0</v>
      </c>
      <c r="J3" s="5">
        <f>AVERAGEIFS('Data Combined - all-runs'!$J:$J, 'Data Combined - all-runs'!$A:$A, A3,'Data Combined - all-runs'!$B:$B, B3,'Data Combined - all-runs'!$C:$C, C3, 'Data Combined - all-runs'!$D:$D, D3, 'Data Combined - all-runs'!$E:$E, E3)</f>
        <v>82</v>
      </c>
      <c r="K3" s="5">
        <f>AVERAGEIFS('Data Combined - all-runs'!$K:$K, 'Data Combined - all-runs'!$A:$A, A3,'Data Combined - all-runs'!$B:$B, B3,'Data Combined - all-runs'!$C:$C, C3, 'Data Combined - all-runs'!$D:$D, D3, 'Data Combined - all-runs'!$E:$E, E3)</f>
        <v>0.1735</v>
      </c>
      <c r="L3" s="5">
        <f>AVERAGEIFS('Data Combined - all-runs'!$L:$L, 'Data Combined - all-runs'!$A:$A, A3,'Data Combined - all-runs'!$B:$B, B3,'Data Combined - all-runs'!$C:$C, C3, 'Data Combined - all-runs'!$D:$D, D3, 'Data Combined - all-runs'!$E:$E, E3)</f>
        <v>735.9826109</v>
      </c>
      <c r="M3" s="5" t="str">
        <f>AVERAGEIFS('Data Combined - all-runs'!$M:$M, 'Data Combined - all-runs'!$A:$A, A3,'Data Combined - all-runs'!$B:$B, B3,'Data Combined - all-runs'!$C:$C, C3, 'Data Combined - all-runs'!$D:$D, D3, 'Data Combined - all-runs'!$E:$E, E3)</f>
        <v>#DIV/0!</v>
      </c>
      <c r="N3" s="5">
        <f>AVERAGEIFS('Data Combined - all-runs'!$N:$N, 'Data Combined - all-runs'!$A:$A, A3,'Data Combined - all-runs'!$B:$B, B3,'Data Combined - all-runs'!$C:$C, C3, 'Data Combined - all-runs'!$D:$D, D3, 'Data Combined - all-runs'!$E:$E, E3)</f>
        <v>0</v>
      </c>
      <c r="O3" s="5">
        <f>AVERAGEIFS('Data Combined - all-runs'!$O:$O, 'Data Combined - all-runs'!$A:$A, A3,'Data Combined - all-runs'!$B:$B, B3,'Data Combined - all-runs'!$C:$C, C3, 'Data Combined - all-runs'!$D:$D, D3, 'Data Combined - all-runs'!$E:$E, E3)</f>
        <v>500</v>
      </c>
      <c r="P3" s="5">
        <f>AVERAGEIFS('Data Combined - all-runs'!$P:$P, 'Data Combined - all-runs'!$A:$A, A3,'Data Combined - all-runs'!$B:$B, B3,'Data Combined - all-runs'!$C:$C, C3, 'Data Combined - all-runs'!$D:$D, D3, 'Data Combined - all-runs'!$E:$E, E3)</f>
        <v>0</v>
      </c>
      <c r="Q3" s="5">
        <f>AVERAGEIFS('Data Combined - all-runs'!$Q:$Q, 'Data Combined - all-runs'!$A:$A, A3,'Data Combined - all-runs'!$B:$B, B3,'Data Combined - all-runs'!$C:$C, C3, 'Data Combined - all-runs'!$D:$D, D3, 'Data Combined - all-runs'!$E:$E, E3)</f>
        <v>740</v>
      </c>
      <c r="R3" s="5" t="str">
        <f>AVERAGEIFS('Data Combined - all-runs'!$R:$R, 'Data Combined - all-runs'!$A:$A, A3,'Data Combined - all-runs'!$B:$B, B3,'Data Combined - all-runs'!$C:$C, C3, 'Data Combined - all-runs'!$D:$D, D3, 'Data Combined - all-runs'!$E:$E, E3)</f>
        <v>#DIV/0!</v>
      </c>
      <c r="S3" s="5">
        <f>AVERAGEIFS('Data Combined - all-runs'!$S:$S, 'Data Combined - all-runs'!$A:$A, A3,'Data Combined - all-runs'!$B:$B, B3,'Data Combined - all-runs'!$C:$C, C3, 'Data Combined - all-runs'!$D:$D, D3, 'Data Combined - all-runs'!$E:$E, E3)</f>
        <v>0.2216216216</v>
      </c>
      <c r="T3" s="5">
        <f>AVERAGEIFS('Data Combined - all-runs'!$T:$T, 'Data Combined - all-runs'!$A:$A, A3,'Data Combined - all-runs'!$B:$B, B3,'Data Combined - all-runs'!$C:$C, C3, 'Data Combined - all-runs'!$D:$D, D3, 'Data Combined - all-runs'!$E:$E, E3)</f>
        <v>0</v>
      </c>
      <c r="U3" s="5" t="b">
        <f t="shared" si="1"/>
        <v>0</v>
      </c>
      <c r="V3" s="5" t="b">
        <f t="shared" si="2"/>
        <v>0</v>
      </c>
      <c r="W3" s="5" t="b">
        <f t="shared" si="3"/>
        <v>1</v>
      </c>
    </row>
    <row r="4">
      <c r="A4" s="2" t="s">
        <v>32</v>
      </c>
      <c r="B4" s="2" t="s">
        <v>22</v>
      </c>
      <c r="C4" s="2" t="s">
        <v>23</v>
      </c>
      <c r="D4" s="2" t="s">
        <v>24</v>
      </c>
      <c r="E4" s="2" t="s">
        <v>43</v>
      </c>
      <c r="H4" s="5">
        <f>AVERAGEIFS('Data Combined - all-runs'!$H:$H, 'Data Combined - all-runs'!$A:$A, A4,'Data Combined - all-runs'!$B:$B, B4,'Data Combined - all-runs'!$C:$C, C4, 'Data Combined - all-runs'!$D:$D, D4, 'Data Combined - all-runs'!$E:$E, E4)</f>
        <v>752</v>
      </c>
      <c r="I4" s="5">
        <f>AVERAGEIFS('Data Combined - all-runs'!$I:$I, 'Data Combined - all-runs'!$A:$A, A4,'Data Combined - all-runs'!$B:$B, B4,'Data Combined - all-runs'!$C:$C, C4, 'Data Combined - all-runs'!$D:$D, D4, 'Data Combined - all-runs'!$E:$E, E4)</f>
        <v>0</v>
      </c>
      <c r="J4" s="5">
        <f>AVERAGEIFS('Data Combined - all-runs'!$J:$J, 'Data Combined - all-runs'!$A:$A, A4,'Data Combined - all-runs'!$B:$B, B4,'Data Combined - all-runs'!$C:$C, C4, 'Data Combined - all-runs'!$D:$D, D4, 'Data Combined - all-runs'!$E:$E, E4)</f>
        <v>401</v>
      </c>
      <c r="K4" s="5">
        <f>AVERAGEIFS('Data Combined - all-runs'!$K:$K, 'Data Combined - all-runs'!$A:$A, A4,'Data Combined - all-runs'!$B:$B, B4,'Data Combined - all-runs'!$C:$C, C4, 'Data Combined - all-runs'!$D:$D, D4, 'Data Combined - all-runs'!$E:$E, E4)</f>
        <v>0.08453038674</v>
      </c>
      <c r="L4" s="5">
        <f>AVERAGEIFS('Data Combined - all-runs'!$L:$L, 'Data Combined - all-runs'!$A:$A, A4,'Data Combined - all-runs'!$B:$B, B4,'Data Combined - all-runs'!$C:$C, C4, 'Data Combined - all-runs'!$D:$D, D4, 'Data Combined - all-runs'!$E:$E, E4)</f>
        <v>1644.605113</v>
      </c>
      <c r="M4" s="5">
        <f>AVERAGEIFS('Data Combined - all-runs'!$M:$M, 'Data Combined - all-runs'!$A:$A, A4,'Data Combined - all-runs'!$B:$B, B4,'Data Combined - all-runs'!$C:$C, C4, 'Data Combined - all-runs'!$D:$D, D4, 'Data Combined - all-runs'!$E:$E, E4)</f>
        <v>405</v>
      </c>
      <c r="N4" s="5">
        <f>AVERAGEIFS('Data Combined - all-runs'!$N:$N, 'Data Combined - all-runs'!$A:$A, A4,'Data Combined - all-runs'!$B:$B, B4,'Data Combined - all-runs'!$C:$C, C4, 'Data Combined - all-runs'!$D:$D, D4, 'Data Combined - all-runs'!$E:$E, E4)</f>
        <v>1</v>
      </c>
      <c r="O4" s="5">
        <f>AVERAGEIFS('Data Combined - all-runs'!$O:$O, 'Data Combined - all-runs'!$A:$A, A4,'Data Combined - all-runs'!$B:$B, B4,'Data Combined - all-runs'!$C:$C, C4, 'Data Combined - all-runs'!$D:$D, D4, 'Data Combined - all-runs'!$E:$E, E4)</f>
        <v>905</v>
      </c>
      <c r="P4" s="5">
        <f>AVERAGEIFS('Data Combined - all-runs'!$P:$P, 'Data Combined - all-runs'!$A:$A, A4,'Data Combined - all-runs'!$B:$B, B4,'Data Combined - all-runs'!$C:$C, C4, 'Data Combined - all-runs'!$D:$D, D4, 'Data Combined - all-runs'!$E:$E, E4)</f>
        <v>1.104972376</v>
      </c>
      <c r="Q4" s="5">
        <f>AVERAGEIFS('Data Combined - all-runs'!$Q:$Q, 'Data Combined - all-runs'!$A:$A, A4,'Data Combined - all-runs'!$B:$B, B4,'Data Combined - all-runs'!$C:$C, C4, 'Data Combined - all-runs'!$D:$D, D4, 'Data Combined - all-runs'!$E:$E, E4)</f>
        <v>830.9392265</v>
      </c>
      <c r="R4" s="5">
        <f>AVERAGEIFS('Data Combined - all-runs'!$R:$R, 'Data Combined - all-runs'!$A:$A, A4,'Data Combined - all-runs'!$B:$B, B4,'Data Combined - all-runs'!$C:$C, C4, 'Data Combined - all-runs'!$D:$D, D4, 'Data Combined - all-runs'!$E:$E, E4)</f>
        <v>752</v>
      </c>
      <c r="S4" s="5">
        <f>AVERAGEIFS('Data Combined - all-runs'!$S:$S, 'Data Combined - all-runs'!$A:$A, A4,'Data Combined - all-runs'!$B:$B, B4,'Data Combined - all-runs'!$C:$C, C4, 'Data Combined - all-runs'!$D:$D, D4, 'Data Combined - all-runs'!$E:$E, E4)</f>
        <v>0.5332446809</v>
      </c>
      <c r="T4" s="5">
        <f>AVERAGEIFS('Data Combined - all-runs'!$T:$T, 'Data Combined - all-runs'!$A:$A, A4,'Data Combined - all-runs'!$B:$B, B4,'Data Combined - all-runs'!$C:$C, C4, 'Data Combined - all-runs'!$D:$D, D4, 'Data Combined - all-runs'!$E:$E, E4)</f>
        <v>0</v>
      </c>
      <c r="U4" s="5" t="b">
        <f t="shared" si="1"/>
        <v>0</v>
      </c>
      <c r="V4" s="5" t="b">
        <f t="shared" si="2"/>
        <v>0</v>
      </c>
      <c r="W4" s="5" t="b">
        <f t="shared" si="3"/>
        <v>1</v>
      </c>
    </row>
    <row r="5">
      <c r="A5" s="2" t="s">
        <v>32</v>
      </c>
      <c r="B5" s="2" t="s">
        <v>22</v>
      </c>
      <c r="C5" s="2" t="s">
        <v>23</v>
      </c>
      <c r="D5" s="2" t="s">
        <v>24</v>
      </c>
      <c r="E5" s="2" t="s">
        <v>34</v>
      </c>
      <c r="H5" s="5">
        <f>AVERAGEIFS('Data Combined - all-runs'!$H:$H, 'Data Combined - all-runs'!$A:$A, A5,'Data Combined - all-runs'!$B:$B, B5,'Data Combined - all-runs'!$C:$C, C5, 'Data Combined - all-runs'!$D:$D, D5, 'Data Combined - all-runs'!$E:$E, E5)</f>
        <v>418</v>
      </c>
      <c r="I5" s="5">
        <f>AVERAGEIFS('Data Combined - all-runs'!$I:$I, 'Data Combined - all-runs'!$A:$A, A5,'Data Combined - all-runs'!$B:$B, B5,'Data Combined - all-runs'!$C:$C, C5, 'Data Combined - all-runs'!$D:$D, D5, 'Data Combined - all-runs'!$E:$E, E5)</f>
        <v>0</v>
      </c>
      <c r="J5" s="5">
        <f>AVERAGEIFS('Data Combined - all-runs'!$J:$J, 'Data Combined - all-runs'!$A:$A, A5,'Data Combined - all-runs'!$B:$B, B5,'Data Combined - all-runs'!$C:$C, C5, 'Data Combined - all-runs'!$D:$D, D5, 'Data Combined - all-runs'!$E:$E, E5)</f>
        <v>124</v>
      </c>
      <c r="K5" s="5">
        <f>AVERAGEIFS('Data Combined - all-runs'!$K:$K, 'Data Combined - all-runs'!$A:$A, A5,'Data Combined - all-runs'!$B:$B, B5,'Data Combined - all-runs'!$C:$C, C5, 'Data Combined - all-runs'!$D:$D, D5, 'Data Combined - all-runs'!$E:$E, E5)</f>
        <v>0.1573333333</v>
      </c>
      <c r="L5" s="5">
        <f>AVERAGEIFS('Data Combined - all-runs'!$L:$L, 'Data Combined - all-runs'!$A:$A, A5,'Data Combined - all-runs'!$B:$B, B5,'Data Combined - all-runs'!$C:$C, C5, 'Data Combined - all-runs'!$D:$D, D5, 'Data Combined - all-runs'!$E:$E, E5)</f>
        <v>908.7289696</v>
      </c>
      <c r="M5" s="5" t="str">
        <f>AVERAGEIFS('Data Combined - all-runs'!$M:$M, 'Data Combined - all-runs'!$A:$A, A5,'Data Combined - all-runs'!$B:$B, B5,'Data Combined - all-runs'!$C:$C, C5, 'Data Combined - all-runs'!$D:$D, D5, 'Data Combined - all-runs'!$E:$E, E5)</f>
        <v>#DIV/0!</v>
      </c>
      <c r="N5" s="5">
        <f>AVERAGEIFS('Data Combined - all-runs'!$N:$N, 'Data Combined - all-runs'!$A:$A, A5,'Data Combined - all-runs'!$B:$B, B5,'Data Combined - all-runs'!$C:$C, C5, 'Data Combined - all-runs'!$D:$D, D5, 'Data Combined - all-runs'!$E:$E, E5)</f>
        <v>0</v>
      </c>
      <c r="O5" s="5">
        <f>AVERAGEIFS('Data Combined - all-runs'!$O:$O, 'Data Combined - all-runs'!$A:$A, A5,'Data Combined - all-runs'!$B:$B, B5,'Data Combined - all-runs'!$C:$C, C5, 'Data Combined - all-runs'!$D:$D, D5, 'Data Combined - all-runs'!$E:$E, E5)</f>
        <v>500</v>
      </c>
      <c r="P5" s="5">
        <f>AVERAGEIFS('Data Combined - all-runs'!$P:$P, 'Data Combined - all-runs'!$A:$A, A5,'Data Combined - all-runs'!$B:$B, B5,'Data Combined - all-runs'!$C:$C, C5, 'Data Combined - all-runs'!$D:$D, D5, 'Data Combined - all-runs'!$E:$E, E5)</f>
        <v>0</v>
      </c>
      <c r="Q5" s="5">
        <f>AVERAGEIFS('Data Combined - all-runs'!$Q:$Q, 'Data Combined - all-runs'!$A:$A, A5,'Data Combined - all-runs'!$B:$B, B5,'Data Combined - all-runs'!$C:$C, C5, 'Data Combined - all-runs'!$D:$D, D5, 'Data Combined - all-runs'!$E:$E, E5)</f>
        <v>836</v>
      </c>
      <c r="R5" s="5" t="str">
        <f>AVERAGEIFS('Data Combined - all-runs'!$R:$R, 'Data Combined - all-runs'!$A:$A, A5,'Data Combined - all-runs'!$B:$B, B5,'Data Combined - all-runs'!$C:$C, C5, 'Data Combined - all-runs'!$D:$D, D5, 'Data Combined - all-runs'!$E:$E, E5)</f>
        <v>#DIV/0!</v>
      </c>
      <c r="S5" s="5">
        <f>AVERAGEIFS('Data Combined - all-runs'!$S:$S, 'Data Combined - all-runs'!$A:$A, A5,'Data Combined - all-runs'!$B:$B, B5,'Data Combined - all-runs'!$C:$C, C5, 'Data Combined - all-runs'!$D:$D, D5, 'Data Combined - all-runs'!$E:$E, E5)</f>
        <v>0.2966507177</v>
      </c>
      <c r="T5" s="5">
        <f>AVERAGEIFS('Data Combined - all-runs'!$T:$T, 'Data Combined - all-runs'!$A:$A, A5,'Data Combined - all-runs'!$B:$B, B5,'Data Combined - all-runs'!$C:$C, C5, 'Data Combined - all-runs'!$D:$D, D5, 'Data Combined - all-runs'!$E:$E, E5)</f>
        <v>0</v>
      </c>
      <c r="U5" s="5" t="b">
        <f t="shared" si="1"/>
        <v>0</v>
      </c>
      <c r="V5" s="5" t="b">
        <f t="shared" si="2"/>
        <v>0</v>
      </c>
      <c r="W5" s="5" t="b">
        <f t="shared" si="3"/>
        <v>1</v>
      </c>
    </row>
    <row r="6">
      <c r="A6" s="2" t="s">
        <v>32</v>
      </c>
      <c r="B6" s="2" t="s">
        <v>22</v>
      </c>
      <c r="C6" s="2" t="s">
        <v>23</v>
      </c>
      <c r="D6" s="2" t="s">
        <v>24</v>
      </c>
      <c r="E6" s="2" t="s">
        <v>47</v>
      </c>
      <c r="H6" s="5">
        <f>AVERAGEIFS('Data Combined - all-runs'!$H:$H, 'Data Combined - all-runs'!$A:$A, A6,'Data Combined - all-runs'!$B:$B, B6,'Data Combined - all-runs'!$C:$C, C6, 'Data Combined - all-runs'!$D:$D, D6, 'Data Combined - all-runs'!$E:$E, E6)</f>
        <v>628</v>
      </c>
      <c r="I6" s="5">
        <f>AVERAGEIFS('Data Combined - all-runs'!$I:$I, 'Data Combined - all-runs'!$A:$A, A6,'Data Combined - all-runs'!$B:$B, B6,'Data Combined - all-runs'!$C:$C, C6, 'Data Combined - all-runs'!$D:$D, D6, 'Data Combined - all-runs'!$E:$E, E6)</f>
        <v>0</v>
      </c>
      <c r="J6" s="5">
        <f>AVERAGEIFS('Data Combined - all-runs'!$J:$J, 'Data Combined - all-runs'!$A:$A, A6,'Data Combined - all-runs'!$B:$B, B6,'Data Combined - all-runs'!$C:$C, C6, 'Data Combined - all-runs'!$D:$D, D6, 'Data Combined - all-runs'!$E:$E, E6)</f>
        <v>302</v>
      </c>
      <c r="K6" s="5">
        <f>AVERAGEIFS('Data Combined - all-runs'!$K:$K, 'Data Combined - all-runs'!$A:$A, A6,'Data Combined - all-runs'!$B:$B, B6,'Data Combined - all-runs'!$C:$C, C6, 'Data Combined - all-runs'!$D:$D, D6, 'Data Combined - all-runs'!$E:$E, E6)</f>
        <v>0.1222014925</v>
      </c>
      <c r="L6" s="5">
        <f>AVERAGEIFS('Data Combined - all-runs'!$L:$L, 'Data Combined - all-runs'!$A:$A, A6,'Data Combined - all-runs'!$B:$B, B6,'Data Combined - all-runs'!$C:$C, C6, 'Data Combined - all-runs'!$D:$D, D6, 'Data Combined - all-runs'!$E:$E, E6)</f>
        <v>1656.175145</v>
      </c>
      <c r="M6" s="5">
        <f>AVERAGEIFS('Data Combined - all-runs'!$M:$M, 'Data Combined - all-runs'!$A:$A, A6,'Data Combined - all-runs'!$B:$B, B6,'Data Combined - all-runs'!$C:$C, C6, 'Data Combined - all-runs'!$D:$D, D6, 'Data Combined - all-runs'!$E:$E, E6)</f>
        <v>170</v>
      </c>
      <c r="N6" s="5">
        <f>AVERAGEIFS('Data Combined - all-runs'!$N:$N, 'Data Combined - all-runs'!$A:$A, A6,'Data Combined - all-runs'!$B:$B, B6,'Data Combined - all-runs'!$C:$C, C6, 'Data Combined - all-runs'!$D:$D, D6, 'Data Combined - all-runs'!$E:$E, E6)</f>
        <v>1</v>
      </c>
      <c r="O6" s="5">
        <f>AVERAGEIFS('Data Combined - all-runs'!$O:$O, 'Data Combined - all-runs'!$A:$A, A6,'Data Combined - all-runs'!$B:$B, B6,'Data Combined - all-runs'!$C:$C, C6, 'Data Combined - all-runs'!$D:$D, D6, 'Data Combined - all-runs'!$E:$E, E6)</f>
        <v>670</v>
      </c>
      <c r="P6" s="5">
        <f>AVERAGEIFS('Data Combined - all-runs'!$P:$P, 'Data Combined - all-runs'!$A:$A, A6,'Data Combined - all-runs'!$B:$B, B6,'Data Combined - all-runs'!$C:$C, C6, 'Data Combined - all-runs'!$D:$D, D6, 'Data Combined - all-runs'!$E:$E, E6)</f>
        <v>1.492537313</v>
      </c>
      <c r="Q6" s="5">
        <f>AVERAGEIFS('Data Combined - all-runs'!$Q:$Q, 'Data Combined - all-runs'!$A:$A, A6,'Data Combined - all-runs'!$B:$B, B6,'Data Combined - all-runs'!$C:$C, C6, 'Data Combined - all-runs'!$D:$D, D6, 'Data Combined - all-runs'!$E:$E, E6)</f>
        <v>937.3134328</v>
      </c>
      <c r="R6" s="5">
        <f>AVERAGEIFS('Data Combined - all-runs'!$R:$R, 'Data Combined - all-runs'!$A:$A, A6,'Data Combined - all-runs'!$B:$B, B6,'Data Combined - all-runs'!$C:$C, C6, 'Data Combined - all-runs'!$D:$D, D6, 'Data Combined - all-runs'!$E:$E, E6)</f>
        <v>628</v>
      </c>
      <c r="S6" s="5">
        <f>AVERAGEIFS('Data Combined - all-runs'!$S:$S, 'Data Combined - all-runs'!$A:$A, A6,'Data Combined - all-runs'!$B:$B, B6,'Data Combined - all-runs'!$C:$C, C6, 'Data Combined - all-runs'!$D:$D, D6, 'Data Combined - all-runs'!$E:$E, E6)</f>
        <v>0.4808917197</v>
      </c>
      <c r="T6" s="5">
        <f>AVERAGEIFS('Data Combined - all-runs'!$T:$T, 'Data Combined - all-runs'!$A:$A, A6,'Data Combined - all-runs'!$B:$B, B6,'Data Combined - all-runs'!$C:$C, C6, 'Data Combined - all-runs'!$D:$D, D6, 'Data Combined - all-runs'!$E:$E, E6)</f>
        <v>0</v>
      </c>
      <c r="U6" s="5" t="b">
        <f t="shared" si="1"/>
        <v>0</v>
      </c>
      <c r="V6" s="5" t="b">
        <f t="shared" si="2"/>
        <v>0</v>
      </c>
      <c r="W6" s="5" t="b">
        <f t="shared" si="3"/>
        <v>1</v>
      </c>
    </row>
    <row r="7">
      <c r="A7" s="2" t="s">
        <v>32</v>
      </c>
      <c r="B7" s="2" t="s">
        <v>22</v>
      </c>
      <c r="C7" s="2" t="s">
        <v>23</v>
      </c>
      <c r="D7" s="2" t="s">
        <v>24</v>
      </c>
      <c r="E7" s="2" t="s">
        <v>51</v>
      </c>
      <c r="H7" s="5">
        <f>AVERAGEIFS('Data Combined - all-runs'!$H:$H, 'Data Combined - all-runs'!$A:$A, A7,'Data Combined - all-runs'!$B:$B, B7,'Data Combined - all-runs'!$C:$C, C7, 'Data Combined - all-runs'!$D:$D, D7, 'Data Combined - all-runs'!$E:$E, E7)</f>
        <v>819</v>
      </c>
      <c r="I7" s="5">
        <f>AVERAGEIFS('Data Combined - all-runs'!$I:$I, 'Data Combined - all-runs'!$A:$A, A7,'Data Combined - all-runs'!$B:$B, B7,'Data Combined - all-runs'!$C:$C, C7, 'Data Combined - all-runs'!$D:$D, D7, 'Data Combined - all-runs'!$E:$E, E7)</f>
        <v>0</v>
      </c>
      <c r="J7" s="5">
        <f>AVERAGEIFS('Data Combined - all-runs'!$J:$J, 'Data Combined - all-runs'!$A:$A, A7,'Data Combined - all-runs'!$B:$B, B7,'Data Combined - all-runs'!$C:$C, C7, 'Data Combined - all-runs'!$D:$D, D7, 'Data Combined - all-runs'!$E:$E, E7)</f>
        <v>649</v>
      </c>
      <c r="K7" s="5">
        <f>AVERAGEIFS('Data Combined - all-runs'!$K:$K, 'Data Combined - all-runs'!$A:$A, A7,'Data Combined - all-runs'!$B:$B, B7,'Data Combined - all-runs'!$C:$C, C7, 'Data Combined - all-runs'!$D:$D, D7, 'Data Combined - all-runs'!$E:$E, E7)</f>
        <v>0.09156142365</v>
      </c>
      <c r="L7" s="5">
        <f>AVERAGEIFS('Data Combined - all-runs'!$L:$L, 'Data Combined - all-runs'!$A:$A, A7,'Data Combined - all-runs'!$B:$B, B7,'Data Combined - all-runs'!$C:$C, C7, 'Data Combined - all-runs'!$D:$D, D7, 'Data Combined - all-runs'!$E:$E, E7)</f>
        <v>1986.893066</v>
      </c>
      <c r="M7" s="5">
        <f>AVERAGEIFS('Data Combined - all-runs'!$M:$M, 'Data Combined - all-runs'!$A:$A, A7,'Data Combined - all-runs'!$B:$B, B7,'Data Combined - all-runs'!$C:$C, C7, 'Data Combined - all-runs'!$D:$D, D7, 'Data Combined - all-runs'!$E:$E, E7)</f>
        <v>312</v>
      </c>
      <c r="N7" s="5">
        <f>AVERAGEIFS('Data Combined - all-runs'!$N:$N, 'Data Combined - all-runs'!$A:$A, A7,'Data Combined - all-runs'!$B:$B, B7,'Data Combined - all-runs'!$C:$C, C7, 'Data Combined - all-runs'!$D:$D, D7, 'Data Combined - all-runs'!$E:$E, E7)</f>
        <v>2</v>
      </c>
      <c r="O7" s="5">
        <f>AVERAGEIFS('Data Combined - all-runs'!$O:$O, 'Data Combined - all-runs'!$A:$A, A7,'Data Combined - all-runs'!$B:$B, B7,'Data Combined - all-runs'!$C:$C, C7, 'Data Combined - all-runs'!$D:$D, D7, 'Data Combined - all-runs'!$E:$E, E7)</f>
        <v>871</v>
      </c>
      <c r="P7" s="5">
        <f>AVERAGEIFS('Data Combined - all-runs'!$P:$P, 'Data Combined - all-runs'!$A:$A, A7,'Data Combined - all-runs'!$B:$B, B7,'Data Combined - all-runs'!$C:$C, C7, 'Data Combined - all-runs'!$D:$D, D7, 'Data Combined - all-runs'!$E:$E, E7)</f>
        <v>2.296211251</v>
      </c>
      <c r="Q7" s="5">
        <f>AVERAGEIFS('Data Combined - all-runs'!$Q:$Q, 'Data Combined - all-runs'!$A:$A, A7,'Data Combined - all-runs'!$B:$B, B7,'Data Combined - all-runs'!$C:$C, C7, 'Data Combined - all-runs'!$D:$D, D7, 'Data Combined - all-runs'!$E:$E, E7)</f>
        <v>940.2985075</v>
      </c>
      <c r="R7" s="5">
        <f>AVERAGEIFS('Data Combined - all-runs'!$R:$R, 'Data Combined - all-runs'!$A:$A, A7,'Data Combined - all-runs'!$B:$B, B7,'Data Combined - all-runs'!$C:$C, C7, 'Data Combined - all-runs'!$D:$D, D7, 'Data Combined - all-runs'!$E:$E, E7)</f>
        <v>409.5</v>
      </c>
      <c r="S7" s="5">
        <f>AVERAGEIFS('Data Combined - all-runs'!$S:$S, 'Data Combined - all-runs'!$A:$A, A7,'Data Combined - all-runs'!$B:$B, B7,'Data Combined - all-runs'!$C:$C, C7, 'Data Combined - all-runs'!$D:$D, D7, 'Data Combined - all-runs'!$E:$E, E7)</f>
        <v>0.7924297924</v>
      </c>
      <c r="T7" s="5">
        <f>AVERAGEIFS('Data Combined - all-runs'!$T:$T, 'Data Combined - all-runs'!$A:$A, A7,'Data Combined - all-runs'!$B:$B, B7,'Data Combined - all-runs'!$C:$C, C7, 'Data Combined - all-runs'!$D:$D, D7, 'Data Combined - all-runs'!$E:$E, E7)</f>
        <v>0</v>
      </c>
      <c r="U7" s="5" t="b">
        <f t="shared" si="1"/>
        <v>0</v>
      </c>
      <c r="V7" s="5" t="b">
        <f t="shared" si="2"/>
        <v>0</v>
      </c>
      <c r="W7" s="5" t="b">
        <f t="shared" si="3"/>
        <v>1</v>
      </c>
    </row>
    <row r="8">
      <c r="A8" s="2" t="s">
        <v>32</v>
      </c>
      <c r="B8" s="2" t="s">
        <v>22</v>
      </c>
      <c r="C8" s="2" t="s">
        <v>23</v>
      </c>
      <c r="D8" s="2" t="s">
        <v>54</v>
      </c>
      <c r="E8" s="2" t="s">
        <v>25</v>
      </c>
      <c r="H8" s="5">
        <f>AVERAGEIFS('Data Combined - all-runs'!$H:$H, 'Data Combined - all-runs'!$A:$A, A8,'Data Combined - all-runs'!$B:$B, B8,'Data Combined - all-runs'!$C:$C, C8, 'Data Combined - all-runs'!$D:$D, D8, 'Data Combined - all-runs'!$E:$E, E8)</f>
        <v>404.5</v>
      </c>
      <c r="I8" s="5">
        <f>AVERAGEIFS('Data Combined - all-runs'!$I:$I, 'Data Combined - all-runs'!$A:$A, A8,'Data Combined - all-runs'!$B:$B, B8,'Data Combined - all-runs'!$C:$C, C8, 'Data Combined - all-runs'!$D:$D, D8, 'Data Combined - all-runs'!$E:$E, E8)</f>
        <v>0</v>
      </c>
      <c r="J8" s="5">
        <f>AVERAGEIFS('Data Combined - all-runs'!$J:$J, 'Data Combined - all-runs'!$A:$A, A8,'Data Combined - all-runs'!$B:$B, B8,'Data Combined - all-runs'!$C:$C, C8, 'Data Combined - all-runs'!$D:$D, D8, 'Data Combined - all-runs'!$E:$E, E8)</f>
        <v>48</v>
      </c>
      <c r="K8" s="5">
        <f>AVERAGEIFS('Data Combined - all-runs'!$K:$K, 'Data Combined - all-runs'!$A:$A, A8,'Data Combined - all-runs'!$B:$B, B8,'Data Combined - all-runs'!$C:$C, C8, 'Data Combined - all-runs'!$D:$D, D8, 'Data Combined - all-runs'!$E:$E, E8)</f>
        <v>0.1312753978</v>
      </c>
      <c r="L8" s="5">
        <f>AVERAGEIFS('Data Combined - all-runs'!$L:$L, 'Data Combined - all-runs'!$A:$A, A8,'Data Combined - all-runs'!$B:$B, B8,'Data Combined - all-runs'!$C:$C, C8, 'Data Combined - all-runs'!$D:$D, D8, 'Data Combined - all-runs'!$E:$E, E8)</f>
        <v>7436.295937</v>
      </c>
      <c r="M8" s="5">
        <f>AVERAGEIFS('Data Combined - all-runs'!$M:$M, 'Data Combined - all-runs'!$A:$A, A8,'Data Combined - all-runs'!$B:$B, B8,'Data Combined - all-runs'!$C:$C, C8, 'Data Combined - all-runs'!$D:$D, D8, 'Data Combined - all-runs'!$E:$E, E8)</f>
        <v>317</v>
      </c>
      <c r="N8" s="5">
        <f>AVERAGEIFS('Data Combined - all-runs'!$N:$N, 'Data Combined - all-runs'!$A:$A, A8,'Data Combined - all-runs'!$B:$B, B8,'Data Combined - all-runs'!$C:$C, C8, 'Data Combined - all-runs'!$D:$D, D8, 'Data Combined - all-runs'!$E:$E, E8)</f>
        <v>0.5</v>
      </c>
      <c r="O8" s="5">
        <f>AVERAGEIFS('Data Combined - all-runs'!$O:$O, 'Data Combined - all-runs'!$A:$A, A8,'Data Combined - all-runs'!$B:$B, B8,'Data Combined - all-runs'!$C:$C, C8, 'Data Combined - all-runs'!$D:$D, D8, 'Data Combined - all-runs'!$E:$E, E8)</f>
        <v>658.5</v>
      </c>
      <c r="P8" s="5">
        <f>AVERAGEIFS('Data Combined - all-runs'!$P:$P, 'Data Combined - all-runs'!$A:$A, A8,'Data Combined - all-runs'!$B:$B, B8,'Data Combined - all-runs'!$C:$C, C8, 'Data Combined - all-runs'!$D:$D, D8, 'Data Combined - all-runs'!$E:$E, E8)</f>
        <v>0.611995104</v>
      </c>
      <c r="Q8" s="5">
        <f>AVERAGEIFS('Data Combined - all-runs'!$Q:$Q, 'Data Combined - all-runs'!$A:$A, A8,'Data Combined - all-runs'!$B:$B, B8,'Data Combined - all-runs'!$C:$C, C8, 'Data Combined - all-runs'!$D:$D, D8, 'Data Combined - all-runs'!$E:$E, E8)</f>
        <v>634.7858017</v>
      </c>
      <c r="R8" s="5">
        <f>AVERAGEIFS('Data Combined - all-runs'!$R:$R, 'Data Combined - all-runs'!$A:$A, A8,'Data Combined - all-runs'!$B:$B, B8,'Data Combined - all-runs'!$C:$C, C8, 'Data Combined - all-runs'!$D:$D, D8, 'Data Combined - all-runs'!$E:$E, E8)</f>
        <v>449</v>
      </c>
      <c r="S8" s="5">
        <f>AVERAGEIFS('Data Combined - all-runs'!$S:$S, 'Data Combined - all-runs'!$A:$A, A8,'Data Combined - all-runs'!$B:$B, B8,'Data Combined - all-runs'!$C:$C, C8, 'Data Combined - all-runs'!$D:$D, D8, 'Data Combined - all-runs'!$E:$E, E8)</f>
        <v>0.1239730265</v>
      </c>
      <c r="T8" s="5">
        <f>AVERAGEIFS('Data Combined - all-runs'!$T:$T, 'Data Combined - all-runs'!$A:$A, A8,'Data Combined - all-runs'!$B:$B, B8,'Data Combined - all-runs'!$C:$C, C8, 'Data Combined - all-runs'!$D:$D, D8, 'Data Combined - all-runs'!$E:$E, E8)</f>
        <v>0</v>
      </c>
      <c r="U8" s="5" t="b">
        <f t="shared" si="1"/>
        <v>0</v>
      </c>
      <c r="V8" s="5" t="b">
        <f t="shared" si="2"/>
        <v>0</v>
      </c>
      <c r="W8" s="5" t="b">
        <f t="shared" si="3"/>
        <v>1</v>
      </c>
    </row>
    <row r="9">
      <c r="A9" s="2" t="s">
        <v>32</v>
      </c>
      <c r="B9" s="2" t="s">
        <v>22</v>
      </c>
      <c r="C9" s="2" t="s">
        <v>23</v>
      </c>
      <c r="D9" s="2" t="s">
        <v>54</v>
      </c>
      <c r="E9" s="2" t="s">
        <v>39</v>
      </c>
      <c r="H9" s="5">
        <f>AVERAGEIFS('Data Combined - all-runs'!$H:$H, 'Data Combined - all-runs'!$A:$A, A9,'Data Combined - all-runs'!$B:$B, B9,'Data Combined - all-runs'!$C:$C, C9, 'Data Combined - all-runs'!$D:$D, D9, 'Data Combined - all-runs'!$E:$E, E9)</f>
        <v>617</v>
      </c>
      <c r="I9" s="5">
        <f>AVERAGEIFS('Data Combined - all-runs'!$I:$I, 'Data Combined - all-runs'!$A:$A, A9,'Data Combined - all-runs'!$B:$B, B9,'Data Combined - all-runs'!$C:$C, C9, 'Data Combined - all-runs'!$D:$D, D9, 'Data Combined - all-runs'!$E:$E, E9)</f>
        <v>0</v>
      </c>
      <c r="J9" s="5">
        <f>AVERAGEIFS('Data Combined - all-runs'!$J:$J, 'Data Combined - all-runs'!$A:$A, A9,'Data Combined - all-runs'!$B:$B, B9,'Data Combined - all-runs'!$C:$C, C9, 'Data Combined - all-runs'!$D:$D, D9, 'Data Combined - all-runs'!$E:$E, E9)</f>
        <v>597</v>
      </c>
      <c r="K9" s="5">
        <f>AVERAGEIFS('Data Combined - all-runs'!$K:$K, 'Data Combined - all-runs'!$A:$A, A9,'Data Combined - all-runs'!$B:$B, B9,'Data Combined - all-runs'!$C:$C, C9, 'Data Combined - all-runs'!$D:$D, D9, 'Data Combined - all-runs'!$E:$E, E9)</f>
        <v>0.2088341346</v>
      </c>
      <c r="L9" s="5">
        <f>AVERAGEIFS('Data Combined - all-runs'!$L:$L, 'Data Combined - all-runs'!$A:$A, A9,'Data Combined - all-runs'!$B:$B, B9,'Data Combined - all-runs'!$C:$C, C9, 'Data Combined - all-runs'!$D:$D, D9, 'Data Combined - all-runs'!$E:$E, E9)</f>
        <v>3628.492245</v>
      </c>
      <c r="M9" s="5">
        <f>AVERAGEIFS('Data Combined - all-runs'!$M:$M, 'Data Combined - all-runs'!$A:$A, A9,'Data Combined - all-runs'!$B:$B, B9,'Data Combined - all-runs'!$C:$C, C9, 'Data Combined - all-runs'!$D:$D, D9, 'Data Combined - all-runs'!$E:$E, E9)</f>
        <v>322</v>
      </c>
      <c r="N9" s="5">
        <f>AVERAGEIFS('Data Combined - all-runs'!$N:$N, 'Data Combined - all-runs'!$A:$A, A9,'Data Combined - all-runs'!$B:$B, B9,'Data Combined - all-runs'!$C:$C, C9, 'Data Combined - all-runs'!$D:$D, D9, 'Data Combined - all-runs'!$E:$E, E9)</f>
        <v>2</v>
      </c>
      <c r="O9" s="5">
        <f>AVERAGEIFS('Data Combined - all-runs'!$O:$O, 'Data Combined - all-runs'!$A:$A, A9,'Data Combined - all-runs'!$B:$B, B9,'Data Combined - all-runs'!$C:$C, C9, 'Data Combined - all-runs'!$D:$D, D9, 'Data Combined - all-runs'!$E:$E, E9)</f>
        <v>832</v>
      </c>
      <c r="P9" s="5">
        <f>AVERAGEIFS('Data Combined - all-runs'!$P:$P, 'Data Combined - all-runs'!$A:$A, A9,'Data Combined - all-runs'!$B:$B, B9,'Data Combined - all-runs'!$C:$C, C9, 'Data Combined - all-runs'!$D:$D, D9, 'Data Combined - all-runs'!$E:$E, E9)</f>
        <v>2.403846154</v>
      </c>
      <c r="Q9" s="5">
        <f>AVERAGEIFS('Data Combined - all-runs'!$Q:$Q, 'Data Combined - all-runs'!$A:$A, A9,'Data Combined - all-runs'!$B:$B, B9,'Data Combined - all-runs'!$C:$C, C9, 'Data Combined - all-runs'!$D:$D, D9, 'Data Combined - all-runs'!$E:$E, E9)</f>
        <v>741.5865385</v>
      </c>
      <c r="R9" s="5">
        <f>AVERAGEIFS('Data Combined - all-runs'!$R:$R, 'Data Combined - all-runs'!$A:$A, A9,'Data Combined - all-runs'!$B:$B, B9,'Data Combined - all-runs'!$C:$C, C9, 'Data Combined - all-runs'!$D:$D, D9, 'Data Combined - all-runs'!$E:$E, E9)</f>
        <v>308.5</v>
      </c>
      <c r="S9" s="5">
        <f>AVERAGEIFS('Data Combined - all-runs'!$S:$S, 'Data Combined - all-runs'!$A:$A, A9,'Data Combined - all-runs'!$B:$B, B9,'Data Combined - all-runs'!$C:$C, C9, 'Data Combined - all-runs'!$D:$D, D9, 'Data Combined - all-runs'!$E:$E, E9)</f>
        <v>0.9675850891</v>
      </c>
      <c r="T9" s="5">
        <f>AVERAGEIFS('Data Combined - all-runs'!$T:$T, 'Data Combined - all-runs'!$A:$A, A9,'Data Combined - all-runs'!$B:$B, B9,'Data Combined - all-runs'!$C:$C, C9, 'Data Combined - all-runs'!$D:$D, D9, 'Data Combined - all-runs'!$E:$E, E9)</f>
        <v>0</v>
      </c>
      <c r="U9" s="5" t="b">
        <f t="shared" si="1"/>
        <v>0</v>
      </c>
      <c r="V9" s="5" t="b">
        <f t="shared" si="2"/>
        <v>0</v>
      </c>
      <c r="W9" s="5" t="b">
        <f t="shared" si="3"/>
        <v>1</v>
      </c>
    </row>
    <row r="10">
      <c r="A10" s="2" t="s">
        <v>32</v>
      </c>
      <c r="B10" s="2" t="s">
        <v>22</v>
      </c>
      <c r="C10" s="2" t="s">
        <v>23</v>
      </c>
      <c r="D10" s="2" t="s">
        <v>54</v>
      </c>
      <c r="E10" s="2" t="s">
        <v>43</v>
      </c>
      <c r="H10" s="5">
        <f>AVERAGEIFS('Data Combined - all-runs'!$H:$H, 'Data Combined - all-runs'!$A:$A, A10,'Data Combined - all-runs'!$B:$B, B10,'Data Combined - all-runs'!$C:$C, C10, 'Data Combined - all-runs'!$D:$D, D10, 'Data Combined - all-runs'!$E:$E, E10)</f>
        <v>1492</v>
      </c>
      <c r="I10" s="5">
        <f>AVERAGEIFS('Data Combined - all-runs'!$I:$I, 'Data Combined - all-runs'!$A:$A, A10,'Data Combined - all-runs'!$B:$B, B10,'Data Combined - all-runs'!$C:$C, C10, 'Data Combined - all-runs'!$D:$D, D10, 'Data Combined - all-runs'!$E:$E, E10)</f>
        <v>0</v>
      </c>
      <c r="J10" s="5">
        <f>AVERAGEIFS('Data Combined - all-runs'!$J:$J, 'Data Combined - all-runs'!$A:$A, A10,'Data Combined - all-runs'!$B:$B, B10,'Data Combined - all-runs'!$C:$C, C10, 'Data Combined - all-runs'!$D:$D, D10, 'Data Combined - all-runs'!$E:$E, E10)</f>
        <v>350</v>
      </c>
      <c r="K10" s="5">
        <f>AVERAGEIFS('Data Combined - all-runs'!$K:$K, 'Data Combined - all-runs'!$A:$A, A10,'Data Combined - all-runs'!$B:$B, B10,'Data Combined - all-runs'!$C:$C, C10, 'Data Combined - all-runs'!$D:$D, D10, 'Data Combined - all-runs'!$E:$E, E10)</f>
        <v>0.1415824916</v>
      </c>
      <c r="L10" s="5">
        <f>AVERAGEIFS('Data Combined - all-runs'!$L:$L, 'Data Combined - all-runs'!$A:$A, A10,'Data Combined - all-runs'!$B:$B, B10,'Data Combined - all-runs'!$C:$C, C10, 'Data Combined - all-runs'!$D:$D, D10, 'Data Combined - all-runs'!$E:$E, E10)</f>
        <v>9455.937394</v>
      </c>
      <c r="M10" s="5">
        <f>AVERAGEIFS('Data Combined - all-runs'!$M:$M, 'Data Combined - all-runs'!$A:$A, A10,'Data Combined - all-runs'!$B:$B, B10,'Data Combined - all-runs'!$C:$C, C10, 'Data Combined - all-runs'!$D:$D, D10, 'Data Combined - all-runs'!$E:$E, E10)</f>
        <v>130</v>
      </c>
      <c r="N10" s="5">
        <f>AVERAGEIFS('Data Combined - all-runs'!$N:$N, 'Data Combined - all-runs'!$A:$A, A10,'Data Combined - all-runs'!$B:$B, B10,'Data Combined - all-runs'!$C:$C, C10, 'Data Combined - all-runs'!$D:$D, D10, 'Data Combined - all-runs'!$E:$E, E10)</f>
        <v>20</v>
      </c>
      <c r="O10" s="5">
        <f>AVERAGEIFS('Data Combined - all-runs'!$O:$O, 'Data Combined - all-runs'!$A:$A, A10,'Data Combined - all-runs'!$B:$B, B10,'Data Combined - all-runs'!$C:$C, C10, 'Data Combined - all-runs'!$D:$D, D10, 'Data Combined - all-runs'!$E:$E, E10)</f>
        <v>1980</v>
      </c>
      <c r="P10" s="5">
        <f>AVERAGEIFS('Data Combined - all-runs'!$P:$P, 'Data Combined - all-runs'!$A:$A, A10,'Data Combined - all-runs'!$B:$B, B10,'Data Combined - all-runs'!$C:$C, C10, 'Data Combined - all-runs'!$D:$D, D10, 'Data Combined - all-runs'!$E:$E, E10)</f>
        <v>10.1010101</v>
      </c>
      <c r="Q10" s="5">
        <f>AVERAGEIFS('Data Combined - all-runs'!$Q:$Q, 'Data Combined - all-runs'!$A:$A, A10,'Data Combined - all-runs'!$B:$B, B10,'Data Combined - all-runs'!$C:$C, C10, 'Data Combined - all-runs'!$D:$D, D10, 'Data Combined - all-runs'!$E:$E, E10)</f>
        <v>753.5353535</v>
      </c>
      <c r="R10" s="5">
        <f>AVERAGEIFS('Data Combined - all-runs'!$R:$R, 'Data Combined - all-runs'!$A:$A, A10,'Data Combined - all-runs'!$B:$B, B10,'Data Combined - all-runs'!$C:$C, C10, 'Data Combined - all-runs'!$D:$D, D10, 'Data Combined - all-runs'!$E:$E, E10)</f>
        <v>74.6</v>
      </c>
      <c r="S10" s="5">
        <f>AVERAGEIFS('Data Combined - all-runs'!$S:$S, 'Data Combined - all-runs'!$A:$A, A10,'Data Combined - all-runs'!$B:$B, B10,'Data Combined - all-runs'!$C:$C, C10, 'Data Combined - all-runs'!$D:$D, D10, 'Data Combined - all-runs'!$E:$E, E10)</f>
        <v>0.2345844504</v>
      </c>
      <c r="T10" s="5">
        <f>AVERAGEIFS('Data Combined - all-runs'!$T:$T, 'Data Combined - all-runs'!$A:$A, A10,'Data Combined - all-runs'!$B:$B, B10,'Data Combined - all-runs'!$C:$C, C10, 'Data Combined - all-runs'!$D:$D, D10, 'Data Combined - all-runs'!$E:$E, E10)</f>
        <v>0</v>
      </c>
      <c r="U10" s="5" t="b">
        <f t="shared" si="1"/>
        <v>0</v>
      </c>
      <c r="V10" s="5" t="b">
        <f t="shared" si="2"/>
        <v>0</v>
      </c>
      <c r="W10" s="5" t="b">
        <f t="shared" si="3"/>
        <v>1</v>
      </c>
    </row>
    <row r="11">
      <c r="A11" s="2" t="s">
        <v>32</v>
      </c>
      <c r="B11" s="2" t="s">
        <v>22</v>
      </c>
      <c r="C11" s="2" t="s">
        <v>23</v>
      </c>
      <c r="D11" s="2" t="s">
        <v>54</v>
      </c>
      <c r="E11" s="2" t="s">
        <v>34</v>
      </c>
      <c r="H11" s="5">
        <f>AVERAGEIFS('Data Combined - all-runs'!$H:$H, 'Data Combined - all-runs'!$A:$A, A11,'Data Combined - all-runs'!$B:$B, B11,'Data Combined - all-runs'!$C:$C, C11, 'Data Combined - all-runs'!$D:$D, D11, 'Data Combined - all-runs'!$E:$E, E11)</f>
        <v>1912</v>
      </c>
      <c r="I11" s="5">
        <f>AVERAGEIFS('Data Combined - all-runs'!$I:$I, 'Data Combined - all-runs'!$A:$A, A11,'Data Combined - all-runs'!$B:$B, B11,'Data Combined - all-runs'!$C:$C, C11, 'Data Combined - all-runs'!$D:$D, D11, 'Data Combined - all-runs'!$E:$E, E11)</f>
        <v>0</v>
      </c>
      <c r="J11" s="5">
        <f>AVERAGEIFS('Data Combined - all-runs'!$J:$J, 'Data Combined - all-runs'!$A:$A, A11,'Data Combined - all-runs'!$B:$B, B11,'Data Combined - all-runs'!$C:$C, C11, 'Data Combined - all-runs'!$D:$D, D11, 'Data Combined - all-runs'!$E:$E, E11)</f>
        <v>889</v>
      </c>
      <c r="K11" s="5">
        <f>AVERAGEIFS('Data Combined - all-runs'!$K:$K, 'Data Combined - all-runs'!$A:$A, A11,'Data Combined - all-runs'!$B:$B, B11,'Data Combined - all-runs'!$C:$C, C11, 'Data Combined - all-runs'!$D:$D, D11, 'Data Combined - all-runs'!$E:$E, E11)</f>
        <v>0.201425632</v>
      </c>
      <c r="L11" s="5">
        <f>AVERAGEIFS('Data Combined - all-runs'!$L:$L, 'Data Combined - all-runs'!$A:$A, A11,'Data Combined - all-runs'!$B:$B, B11,'Data Combined - all-runs'!$C:$C, C11, 'Data Combined - all-runs'!$D:$D, D11, 'Data Combined - all-runs'!$E:$E, E11)</f>
        <v>15936.15367</v>
      </c>
      <c r="M11" s="5">
        <f>AVERAGEIFS('Data Combined - all-runs'!$M:$M, 'Data Combined - all-runs'!$A:$A, A11,'Data Combined - all-runs'!$B:$B, B11,'Data Combined - all-runs'!$C:$C, C11, 'Data Combined - all-runs'!$D:$D, D11, 'Data Combined - all-runs'!$E:$E, E11)</f>
        <v>221</v>
      </c>
      <c r="N11" s="5">
        <f>AVERAGEIFS('Data Combined - all-runs'!$N:$N, 'Data Combined - all-runs'!$A:$A, A11,'Data Combined - all-runs'!$B:$B, B11,'Data Combined - all-runs'!$C:$C, C11, 'Data Combined - all-runs'!$D:$D, D11, 'Data Combined - all-runs'!$E:$E, E11)</f>
        <v>8</v>
      </c>
      <c r="O11" s="5">
        <f>AVERAGEIFS('Data Combined - all-runs'!$O:$O, 'Data Combined - all-runs'!$A:$A, A11,'Data Combined - all-runs'!$B:$B, B11,'Data Combined - all-runs'!$C:$C, C11, 'Data Combined - all-runs'!$D:$D, D11, 'Data Combined - all-runs'!$E:$E, E11)</f>
        <v>2268</v>
      </c>
      <c r="P11" s="5">
        <f>AVERAGEIFS('Data Combined - all-runs'!$P:$P, 'Data Combined - all-runs'!$A:$A, A11,'Data Combined - all-runs'!$B:$B, B11,'Data Combined - all-runs'!$C:$C, C11, 'Data Combined - all-runs'!$D:$D, D11, 'Data Combined - all-runs'!$E:$E, E11)</f>
        <v>3.527336861</v>
      </c>
      <c r="Q11" s="5">
        <f>AVERAGEIFS('Data Combined - all-runs'!$Q:$Q, 'Data Combined - all-runs'!$A:$A, A11,'Data Combined - all-runs'!$B:$B, B11,'Data Combined - all-runs'!$C:$C, C11, 'Data Combined - all-runs'!$D:$D, D11, 'Data Combined - all-runs'!$E:$E, E11)</f>
        <v>843.0335097</v>
      </c>
      <c r="R11" s="5">
        <f>AVERAGEIFS('Data Combined - all-runs'!$R:$R, 'Data Combined - all-runs'!$A:$A, A11,'Data Combined - all-runs'!$B:$B, B11,'Data Combined - all-runs'!$C:$C, C11, 'Data Combined - all-runs'!$D:$D, D11, 'Data Combined - all-runs'!$E:$E, E11)</f>
        <v>239</v>
      </c>
      <c r="S11" s="5">
        <f>AVERAGEIFS('Data Combined - all-runs'!$S:$S, 'Data Combined - all-runs'!$A:$A, A11,'Data Combined - all-runs'!$B:$B, B11,'Data Combined - all-runs'!$C:$C, C11, 'Data Combined - all-runs'!$D:$D, D11, 'Data Combined - all-runs'!$E:$E, E11)</f>
        <v>0.464958159</v>
      </c>
      <c r="T11" s="5">
        <f>AVERAGEIFS('Data Combined - all-runs'!$T:$T, 'Data Combined - all-runs'!$A:$A, A11,'Data Combined - all-runs'!$B:$B, B11,'Data Combined - all-runs'!$C:$C, C11, 'Data Combined - all-runs'!$D:$D, D11, 'Data Combined - all-runs'!$E:$E, E11)</f>
        <v>0</v>
      </c>
      <c r="U11" s="5" t="b">
        <f t="shared" si="1"/>
        <v>0</v>
      </c>
      <c r="V11" s="5" t="b">
        <f t="shared" si="2"/>
        <v>0</v>
      </c>
      <c r="W11" s="5" t="b">
        <f t="shared" si="3"/>
        <v>1</v>
      </c>
    </row>
    <row r="12">
      <c r="A12" s="2" t="s">
        <v>32</v>
      </c>
      <c r="B12" s="2" t="s">
        <v>22</v>
      </c>
      <c r="C12" s="2" t="s">
        <v>23</v>
      </c>
      <c r="D12" s="2" t="s">
        <v>54</v>
      </c>
      <c r="E12" s="2" t="s">
        <v>47</v>
      </c>
      <c r="H12" s="5">
        <f>AVERAGEIFS('Data Combined - all-runs'!$H:$H, 'Data Combined - all-runs'!$A:$A, A12,'Data Combined - all-runs'!$B:$B, B12,'Data Combined - all-runs'!$C:$C, C12, 'Data Combined - all-runs'!$D:$D, D12, 'Data Combined - all-runs'!$E:$E, E12)</f>
        <v>1816</v>
      </c>
      <c r="I12" s="5">
        <f>AVERAGEIFS('Data Combined - all-runs'!$I:$I, 'Data Combined - all-runs'!$A:$A, A12,'Data Combined - all-runs'!$B:$B, B12,'Data Combined - all-runs'!$C:$C, C12, 'Data Combined - all-runs'!$D:$D, D12, 'Data Combined - all-runs'!$E:$E, E12)</f>
        <v>0</v>
      </c>
      <c r="J12" s="5">
        <f>AVERAGEIFS('Data Combined - all-runs'!$J:$J, 'Data Combined - all-runs'!$A:$A, A12,'Data Combined - all-runs'!$B:$B, B12,'Data Combined - all-runs'!$C:$C, C12, 'Data Combined - all-runs'!$D:$D, D12, 'Data Combined - all-runs'!$E:$E, E12)</f>
        <v>828</v>
      </c>
      <c r="K12" s="5">
        <f>AVERAGEIFS('Data Combined - all-runs'!$K:$K, 'Data Combined - all-runs'!$A:$A, A12,'Data Combined - all-runs'!$B:$B, B12,'Data Combined - all-runs'!$C:$C, C12, 'Data Combined - all-runs'!$D:$D, D12, 'Data Combined - all-runs'!$E:$E, E12)</f>
        <v>0.1662365087</v>
      </c>
      <c r="L12" s="5">
        <f>AVERAGEIFS('Data Combined - all-runs'!$L:$L, 'Data Combined - all-runs'!$A:$A, A12,'Data Combined - all-runs'!$B:$B, B12,'Data Combined - all-runs'!$C:$C, C12, 'Data Combined - all-runs'!$D:$D, D12, 'Data Combined - all-runs'!$E:$E, E12)</f>
        <v>15569.77248</v>
      </c>
      <c r="M12" s="5">
        <f>AVERAGEIFS('Data Combined - all-runs'!$M:$M, 'Data Combined - all-runs'!$A:$A, A12,'Data Combined - all-runs'!$B:$B, B12,'Data Combined - all-runs'!$C:$C, C12, 'Data Combined - all-runs'!$D:$D, D12, 'Data Combined - all-runs'!$E:$E, E12)</f>
        <v>68</v>
      </c>
      <c r="N12" s="5">
        <f>AVERAGEIFS('Data Combined - all-runs'!$N:$N, 'Data Combined - all-runs'!$A:$A, A12,'Data Combined - all-runs'!$B:$B, B12,'Data Combined - all-runs'!$C:$C, C12, 'Data Combined - all-runs'!$D:$D, D12, 'Data Combined - all-runs'!$E:$E, E12)</f>
        <v>20</v>
      </c>
      <c r="O12" s="5">
        <f>AVERAGEIFS('Data Combined - all-runs'!$O:$O, 'Data Combined - all-runs'!$A:$A, A12,'Data Combined - all-runs'!$B:$B, B12,'Data Combined - all-runs'!$C:$C, C12, 'Data Combined - all-runs'!$D:$D, D12, 'Data Combined - all-runs'!$E:$E, E12)</f>
        <v>2131</v>
      </c>
      <c r="P12" s="5">
        <f>AVERAGEIFS('Data Combined - all-runs'!$P:$P, 'Data Combined - all-runs'!$A:$A, A12,'Data Combined - all-runs'!$B:$B, B12,'Data Combined - all-runs'!$C:$C, C12, 'Data Combined - all-runs'!$D:$D, D12, 'Data Combined - all-runs'!$E:$E, E12)</f>
        <v>9.385265134</v>
      </c>
      <c r="Q12" s="5">
        <f>AVERAGEIFS('Data Combined - all-runs'!$Q:$Q, 'Data Combined - all-runs'!$A:$A, A12,'Data Combined - all-runs'!$B:$B, B12,'Data Combined - all-runs'!$C:$C, C12, 'Data Combined - all-runs'!$D:$D, D12, 'Data Combined - all-runs'!$E:$E, E12)</f>
        <v>852.1820741</v>
      </c>
      <c r="R12" s="5">
        <f>AVERAGEIFS('Data Combined - all-runs'!$R:$R, 'Data Combined - all-runs'!$A:$A, A12,'Data Combined - all-runs'!$B:$B, B12,'Data Combined - all-runs'!$C:$C, C12, 'Data Combined - all-runs'!$D:$D, D12, 'Data Combined - all-runs'!$E:$E, E12)</f>
        <v>90.8</v>
      </c>
      <c r="S12" s="5">
        <f>AVERAGEIFS('Data Combined - all-runs'!$S:$S, 'Data Combined - all-runs'!$A:$A, A12,'Data Combined - all-runs'!$B:$B, B12,'Data Combined - all-runs'!$C:$C, C12, 'Data Combined - all-runs'!$D:$D, D12, 'Data Combined - all-runs'!$E:$E, E12)</f>
        <v>0.4559471366</v>
      </c>
      <c r="T12" s="5">
        <f>AVERAGEIFS('Data Combined - all-runs'!$T:$T, 'Data Combined - all-runs'!$A:$A, A12,'Data Combined - all-runs'!$B:$B, B12,'Data Combined - all-runs'!$C:$C, C12, 'Data Combined - all-runs'!$D:$D, D12, 'Data Combined - all-runs'!$E:$E, E12)</f>
        <v>0</v>
      </c>
      <c r="U12" s="5" t="b">
        <f t="shared" si="1"/>
        <v>0</v>
      </c>
      <c r="V12" s="5" t="b">
        <f t="shared" si="2"/>
        <v>0</v>
      </c>
      <c r="W12" s="5" t="b">
        <f t="shared" si="3"/>
        <v>1</v>
      </c>
    </row>
    <row r="13">
      <c r="A13" s="2" t="s">
        <v>32</v>
      </c>
      <c r="B13" s="2" t="s">
        <v>22</v>
      </c>
      <c r="C13" s="2" t="s">
        <v>23</v>
      </c>
      <c r="D13" s="2" t="s">
        <v>54</v>
      </c>
      <c r="E13" s="2" t="s">
        <v>51</v>
      </c>
      <c r="H13" s="5">
        <f>AVERAGEIFS('Data Combined - all-runs'!$H:$H, 'Data Combined - all-runs'!$A:$A, A13,'Data Combined - all-runs'!$B:$B, B13,'Data Combined - all-runs'!$C:$C, C13, 'Data Combined - all-runs'!$D:$D, D13, 'Data Combined - all-runs'!$E:$E, E13)</f>
        <v>1477</v>
      </c>
      <c r="I13" s="5">
        <f>AVERAGEIFS('Data Combined - all-runs'!$I:$I, 'Data Combined - all-runs'!$A:$A, A13,'Data Combined - all-runs'!$B:$B, B13,'Data Combined - all-runs'!$C:$C, C13, 'Data Combined - all-runs'!$D:$D, D13, 'Data Combined - all-runs'!$E:$E, E13)</f>
        <v>0</v>
      </c>
      <c r="J13" s="5">
        <f>AVERAGEIFS('Data Combined - all-runs'!$J:$J, 'Data Combined - all-runs'!$A:$A, A13,'Data Combined - all-runs'!$B:$B, B13,'Data Combined - all-runs'!$C:$C, C13, 'Data Combined - all-runs'!$D:$D, D13, 'Data Combined - all-runs'!$E:$E, E13)</f>
        <v>446</v>
      </c>
      <c r="K13" s="5">
        <f>AVERAGEIFS('Data Combined - all-runs'!$K:$K, 'Data Combined - all-runs'!$A:$A, A13,'Data Combined - all-runs'!$B:$B, B13,'Data Combined - all-runs'!$C:$C, C13, 'Data Combined - all-runs'!$D:$D, D13, 'Data Combined - all-runs'!$E:$E, E13)</f>
        <v>0.1438486663</v>
      </c>
      <c r="L13" s="5">
        <f>AVERAGEIFS('Data Combined - all-runs'!$L:$L, 'Data Combined - all-runs'!$A:$A, A13,'Data Combined - all-runs'!$B:$B, B13,'Data Combined - all-runs'!$C:$C, C13, 'Data Combined - all-runs'!$D:$D, D13, 'Data Combined - all-runs'!$E:$E, E13)</f>
        <v>11086.58306</v>
      </c>
      <c r="M13" s="5">
        <f>AVERAGEIFS('Data Combined - all-runs'!$M:$M, 'Data Combined - all-runs'!$A:$A, A13,'Data Combined - all-runs'!$B:$B, B13,'Data Combined - all-runs'!$C:$C, C13, 'Data Combined - all-runs'!$D:$D, D13, 'Data Combined - all-runs'!$E:$E, E13)</f>
        <v>38</v>
      </c>
      <c r="N13" s="5">
        <f>AVERAGEIFS('Data Combined - all-runs'!$N:$N, 'Data Combined - all-runs'!$A:$A, A13,'Data Combined - all-runs'!$B:$B, B13,'Data Combined - all-runs'!$C:$C, C13, 'Data Combined - all-runs'!$D:$D, D13, 'Data Combined - all-runs'!$E:$E, E13)</f>
        <v>20</v>
      </c>
      <c r="O13" s="5">
        <f>AVERAGEIFS('Data Combined - all-runs'!$O:$O, 'Data Combined - all-runs'!$A:$A, A13,'Data Combined - all-runs'!$B:$B, B13,'Data Combined - all-runs'!$C:$C, C13, 'Data Combined - all-runs'!$D:$D, D13, 'Data Combined - all-runs'!$E:$E, E13)</f>
        <v>1837</v>
      </c>
      <c r="P13" s="5">
        <f>AVERAGEIFS('Data Combined - all-runs'!$P:$P, 'Data Combined - all-runs'!$A:$A, A13,'Data Combined - all-runs'!$B:$B, B13,'Data Combined - all-runs'!$C:$C, C13, 'Data Combined - all-runs'!$D:$D, D13, 'Data Combined - all-runs'!$E:$E, E13)</f>
        <v>10.88731628</v>
      </c>
      <c r="Q13" s="5">
        <f>AVERAGEIFS('Data Combined - all-runs'!$Q:$Q, 'Data Combined - all-runs'!$A:$A, A13,'Data Combined - all-runs'!$B:$B, B13,'Data Combined - all-runs'!$C:$C, C13, 'Data Combined - all-runs'!$D:$D, D13, 'Data Combined - all-runs'!$E:$E, E13)</f>
        <v>804.028307</v>
      </c>
      <c r="R13" s="5">
        <f>AVERAGEIFS('Data Combined - all-runs'!$R:$R, 'Data Combined - all-runs'!$A:$A, A13,'Data Combined - all-runs'!$B:$B, B13,'Data Combined - all-runs'!$C:$C, C13, 'Data Combined - all-runs'!$D:$D, D13, 'Data Combined - all-runs'!$E:$E, E13)</f>
        <v>73.85</v>
      </c>
      <c r="S13" s="5">
        <f>AVERAGEIFS('Data Combined - all-runs'!$S:$S, 'Data Combined - all-runs'!$A:$A, A13,'Data Combined - all-runs'!$B:$B, B13,'Data Combined - all-runs'!$C:$C, C13, 'Data Combined - all-runs'!$D:$D, D13, 'Data Combined - all-runs'!$E:$E, E13)</f>
        <v>0.3019634394</v>
      </c>
      <c r="T13" s="5">
        <f>AVERAGEIFS('Data Combined - all-runs'!$T:$T, 'Data Combined - all-runs'!$A:$A, A13,'Data Combined - all-runs'!$B:$B, B13,'Data Combined - all-runs'!$C:$C, C13, 'Data Combined - all-runs'!$D:$D, D13, 'Data Combined - all-runs'!$E:$E, E13)</f>
        <v>0</v>
      </c>
      <c r="U13" s="5" t="b">
        <f t="shared" si="1"/>
        <v>0</v>
      </c>
      <c r="V13" s="5" t="b">
        <f t="shared" si="2"/>
        <v>0</v>
      </c>
      <c r="W13" s="5" t="b">
        <f t="shared" si="3"/>
        <v>1</v>
      </c>
    </row>
    <row r="14">
      <c r="A14" s="2" t="s">
        <v>32</v>
      </c>
      <c r="B14" s="2" t="s">
        <v>22</v>
      </c>
      <c r="C14" s="2" t="s">
        <v>23</v>
      </c>
      <c r="D14" s="2" t="s">
        <v>72</v>
      </c>
      <c r="E14" s="2" t="s">
        <v>25</v>
      </c>
      <c r="H14" s="5">
        <f>AVERAGEIFS('Data Combined - all-runs'!$H:$H, 'Data Combined - all-runs'!$A:$A, A14,'Data Combined - all-runs'!$B:$B, B14,'Data Combined - all-runs'!$C:$C, C14, 'Data Combined - all-runs'!$D:$D, D14, 'Data Combined - all-runs'!$E:$E, E14)</f>
        <v>842</v>
      </c>
      <c r="I14" s="5">
        <f>AVERAGEIFS('Data Combined - all-runs'!$I:$I, 'Data Combined - all-runs'!$A:$A, A14,'Data Combined - all-runs'!$B:$B, B14,'Data Combined - all-runs'!$C:$C, C14, 'Data Combined - all-runs'!$D:$D, D14, 'Data Combined - all-runs'!$E:$E, E14)</f>
        <v>0</v>
      </c>
      <c r="J14" s="5">
        <f>AVERAGEIFS('Data Combined - all-runs'!$J:$J, 'Data Combined - all-runs'!$A:$A, A14,'Data Combined - all-runs'!$B:$B, B14,'Data Combined - all-runs'!$C:$C, C14, 'Data Combined - all-runs'!$D:$D, D14, 'Data Combined - all-runs'!$E:$E, E14)</f>
        <v>274</v>
      </c>
      <c r="K14" s="5">
        <f>AVERAGEIFS('Data Combined - all-runs'!$K:$K, 'Data Combined - all-runs'!$A:$A, A14,'Data Combined - all-runs'!$B:$B, B14,'Data Combined - all-runs'!$C:$C, C14, 'Data Combined - all-runs'!$D:$D, D14, 'Data Combined - all-runs'!$E:$E, E14)</f>
        <v>0.2450415867</v>
      </c>
      <c r="L14" s="5">
        <f>AVERAGEIFS('Data Combined - all-runs'!$L:$L, 'Data Combined - all-runs'!$A:$A, A14,'Data Combined - all-runs'!$B:$B, B14,'Data Combined - all-runs'!$C:$C, C14, 'Data Combined - all-runs'!$D:$D, D14, 'Data Combined - all-runs'!$E:$E, E14)</f>
        <v>2901.942551</v>
      </c>
      <c r="M14" s="5">
        <f>AVERAGEIFS('Data Combined - all-runs'!$M:$M, 'Data Combined - all-runs'!$A:$A, A14,'Data Combined - all-runs'!$B:$B, B14,'Data Combined - all-runs'!$C:$C, C14, 'Data Combined - all-runs'!$D:$D, D14, 'Data Combined - all-runs'!$E:$E, E14)</f>
        <v>309</v>
      </c>
      <c r="N14" s="5">
        <f>AVERAGEIFS('Data Combined - all-runs'!$N:$N, 'Data Combined - all-runs'!$A:$A, A14,'Data Combined - all-runs'!$B:$B, B14,'Data Combined - all-runs'!$C:$C, C14, 'Data Combined - all-runs'!$D:$D, D14, 'Data Combined - all-runs'!$E:$E, E14)</f>
        <v>5</v>
      </c>
      <c r="O14" s="5">
        <f>AVERAGEIFS('Data Combined - all-runs'!$O:$O, 'Data Combined - all-runs'!$A:$A, A14,'Data Combined - all-runs'!$B:$B, B14,'Data Combined - all-runs'!$C:$C, C14, 'Data Combined - all-runs'!$D:$D, D14, 'Data Combined - all-runs'!$E:$E, E14)</f>
        <v>1563</v>
      </c>
      <c r="P14" s="5">
        <f>AVERAGEIFS('Data Combined - all-runs'!$P:$P, 'Data Combined - all-runs'!$A:$A, A14,'Data Combined - all-runs'!$B:$B, B14,'Data Combined - all-runs'!$C:$C, C14, 'Data Combined - all-runs'!$D:$D, D14, 'Data Combined - all-runs'!$E:$E, E14)</f>
        <v>3.198976328</v>
      </c>
      <c r="Q14" s="5">
        <f>AVERAGEIFS('Data Combined - all-runs'!$Q:$Q, 'Data Combined - all-runs'!$A:$A, A14,'Data Combined - all-runs'!$B:$B, B14,'Data Combined - all-runs'!$C:$C, C14, 'Data Combined - all-runs'!$D:$D, D14, 'Data Combined - all-runs'!$E:$E, E14)</f>
        <v>538.7076136</v>
      </c>
      <c r="R14" s="5">
        <f>AVERAGEIFS('Data Combined - all-runs'!$R:$R, 'Data Combined - all-runs'!$A:$A, A14,'Data Combined - all-runs'!$B:$B, B14,'Data Combined - all-runs'!$C:$C, C14, 'Data Combined - all-runs'!$D:$D, D14, 'Data Combined - all-runs'!$E:$E, E14)</f>
        <v>168.4</v>
      </c>
      <c r="S14" s="5">
        <f>AVERAGEIFS('Data Combined - all-runs'!$S:$S, 'Data Combined - all-runs'!$A:$A, A14,'Data Combined - all-runs'!$B:$B, B14,'Data Combined - all-runs'!$C:$C, C14, 'Data Combined - all-runs'!$D:$D, D14, 'Data Combined - all-runs'!$E:$E, E14)</f>
        <v>0.325415677</v>
      </c>
      <c r="T14" s="5">
        <f>AVERAGEIFS('Data Combined - all-runs'!$T:$T, 'Data Combined - all-runs'!$A:$A, A14,'Data Combined - all-runs'!$B:$B, B14,'Data Combined - all-runs'!$C:$C, C14, 'Data Combined - all-runs'!$D:$D, D14, 'Data Combined - all-runs'!$E:$E, E14)</f>
        <v>0</v>
      </c>
      <c r="U14" s="5" t="b">
        <f t="shared" si="1"/>
        <v>0</v>
      </c>
      <c r="V14" s="5" t="b">
        <f t="shared" si="2"/>
        <v>0</v>
      </c>
      <c r="W14" s="5" t="b">
        <f t="shared" si="3"/>
        <v>1</v>
      </c>
    </row>
    <row r="15">
      <c r="A15" s="2" t="s">
        <v>32</v>
      </c>
      <c r="B15" s="2" t="s">
        <v>22</v>
      </c>
      <c r="C15" s="2" t="s">
        <v>23</v>
      </c>
      <c r="D15" s="2" t="s">
        <v>72</v>
      </c>
      <c r="E15" s="2" t="s">
        <v>39</v>
      </c>
      <c r="H15" s="5">
        <f>AVERAGEIFS('Data Combined - all-runs'!$H:$H, 'Data Combined - all-runs'!$A:$A, A15,'Data Combined - all-runs'!$B:$B, B15,'Data Combined - all-runs'!$C:$C, C15, 'Data Combined - all-runs'!$D:$D, D15, 'Data Combined - all-runs'!$E:$E, E15)</f>
        <v>372</v>
      </c>
      <c r="I15" s="5">
        <f>AVERAGEIFS('Data Combined - all-runs'!$I:$I, 'Data Combined - all-runs'!$A:$A, A15,'Data Combined - all-runs'!$B:$B, B15,'Data Combined - all-runs'!$C:$C, C15, 'Data Combined - all-runs'!$D:$D, D15, 'Data Combined - all-runs'!$E:$E, E15)</f>
        <v>0</v>
      </c>
      <c r="J15" s="5">
        <f>AVERAGEIFS('Data Combined - all-runs'!$J:$J, 'Data Combined - all-runs'!$A:$A, A15,'Data Combined - all-runs'!$B:$B, B15,'Data Combined - all-runs'!$C:$C, C15, 'Data Combined - all-runs'!$D:$D, D15, 'Data Combined - all-runs'!$E:$E, E15)</f>
        <v>31</v>
      </c>
      <c r="K15" s="5">
        <f>AVERAGEIFS('Data Combined - all-runs'!$K:$K, 'Data Combined - all-runs'!$A:$A, A15,'Data Combined - all-runs'!$B:$B, B15,'Data Combined - all-runs'!$C:$C, C15, 'Data Combined - all-runs'!$D:$D, D15, 'Data Combined - all-runs'!$E:$E, E15)</f>
        <v>0.1127556512</v>
      </c>
      <c r="L15" s="5">
        <f>AVERAGEIFS('Data Combined - all-runs'!$L:$L, 'Data Combined - all-runs'!$A:$A, A15,'Data Combined - all-runs'!$B:$B, B15,'Data Combined - all-runs'!$C:$C, C15, 'Data Combined - all-runs'!$D:$D, D15, 'Data Combined - all-runs'!$E:$E, E15)</f>
        <v>1348.97109</v>
      </c>
      <c r="M15" s="5">
        <f>AVERAGEIFS('Data Combined - all-runs'!$M:$M, 'Data Combined - all-runs'!$A:$A, A15,'Data Combined - all-runs'!$B:$B, B15,'Data Combined - all-runs'!$C:$C, C15, 'Data Combined - all-runs'!$D:$D, D15, 'Data Combined - all-runs'!$E:$E, E15)</f>
        <v>429</v>
      </c>
      <c r="N15" s="5">
        <f>AVERAGEIFS('Data Combined - all-runs'!$N:$N, 'Data Combined - all-runs'!$A:$A, A15,'Data Combined - all-runs'!$B:$B, B15,'Data Combined - all-runs'!$C:$C, C15, 'Data Combined - all-runs'!$D:$D, D15, 'Data Combined - all-runs'!$E:$E, E15)</f>
        <v>1</v>
      </c>
      <c r="O15" s="5">
        <f>AVERAGEIFS('Data Combined - all-runs'!$O:$O, 'Data Combined - all-runs'!$A:$A, A15,'Data Combined - all-runs'!$B:$B, B15,'Data Combined - all-runs'!$C:$C, C15, 'Data Combined - all-runs'!$D:$D, D15, 'Data Combined - all-runs'!$E:$E, E15)</f>
        <v>929</v>
      </c>
      <c r="P15" s="5">
        <f>AVERAGEIFS('Data Combined - all-runs'!$P:$P, 'Data Combined - all-runs'!$A:$A, A15,'Data Combined - all-runs'!$B:$B, B15,'Data Combined - all-runs'!$C:$C, C15, 'Data Combined - all-runs'!$D:$D, D15, 'Data Combined - all-runs'!$E:$E, E15)</f>
        <v>1.076426265</v>
      </c>
      <c r="Q15" s="5">
        <f>AVERAGEIFS('Data Combined - all-runs'!$Q:$Q, 'Data Combined - all-runs'!$A:$A, A15,'Data Combined - all-runs'!$B:$B, B15,'Data Combined - all-runs'!$C:$C, C15, 'Data Combined - all-runs'!$D:$D, D15, 'Data Combined - all-runs'!$E:$E, E15)</f>
        <v>400.4305705</v>
      </c>
      <c r="R15" s="5">
        <f>AVERAGEIFS('Data Combined - all-runs'!$R:$R, 'Data Combined - all-runs'!$A:$A, A15,'Data Combined - all-runs'!$B:$B, B15,'Data Combined - all-runs'!$C:$C, C15, 'Data Combined - all-runs'!$D:$D, D15, 'Data Combined - all-runs'!$E:$E, E15)</f>
        <v>372</v>
      </c>
      <c r="S15" s="5">
        <f>AVERAGEIFS('Data Combined - all-runs'!$S:$S, 'Data Combined - all-runs'!$A:$A, A15,'Data Combined - all-runs'!$B:$B, B15,'Data Combined - all-runs'!$C:$C, C15, 'Data Combined - all-runs'!$D:$D, D15, 'Data Combined - all-runs'!$E:$E, E15)</f>
        <v>0.08333333333</v>
      </c>
      <c r="T15" s="5">
        <f>AVERAGEIFS('Data Combined - all-runs'!$T:$T, 'Data Combined - all-runs'!$A:$A, A15,'Data Combined - all-runs'!$B:$B, B15,'Data Combined - all-runs'!$C:$C, C15, 'Data Combined - all-runs'!$D:$D, D15, 'Data Combined - all-runs'!$E:$E, E15)</f>
        <v>0</v>
      </c>
      <c r="U15" s="5" t="b">
        <f t="shared" si="1"/>
        <v>0</v>
      </c>
      <c r="V15" s="5" t="b">
        <f t="shared" si="2"/>
        <v>0</v>
      </c>
      <c r="W15" s="5" t="b">
        <f t="shared" si="3"/>
        <v>1</v>
      </c>
    </row>
    <row r="16">
      <c r="A16" s="2" t="s">
        <v>32</v>
      </c>
      <c r="B16" s="2" t="s">
        <v>22</v>
      </c>
      <c r="C16" s="2" t="s">
        <v>23</v>
      </c>
      <c r="D16" s="2" t="s">
        <v>72</v>
      </c>
      <c r="E16" s="2" t="s">
        <v>43</v>
      </c>
      <c r="H16" s="5">
        <f>AVERAGEIFS('Data Combined - all-runs'!$H:$H, 'Data Combined - all-runs'!$A:$A, A16,'Data Combined - all-runs'!$B:$B, B16,'Data Combined - all-runs'!$C:$C, C16, 'Data Combined - all-runs'!$D:$D, D16, 'Data Combined - all-runs'!$E:$E, E16)</f>
        <v>1082</v>
      </c>
      <c r="I16" s="5">
        <f>AVERAGEIFS('Data Combined - all-runs'!$I:$I, 'Data Combined - all-runs'!$A:$A, A16,'Data Combined - all-runs'!$B:$B, B16,'Data Combined - all-runs'!$C:$C, C16, 'Data Combined - all-runs'!$D:$D, D16, 'Data Combined - all-runs'!$E:$E, E16)</f>
        <v>0</v>
      </c>
      <c r="J16" s="5">
        <f>AVERAGEIFS('Data Combined - all-runs'!$J:$J, 'Data Combined - all-runs'!$A:$A, A16,'Data Combined - all-runs'!$B:$B, B16,'Data Combined - all-runs'!$C:$C, C16, 'Data Combined - all-runs'!$D:$D, D16, 'Data Combined - all-runs'!$E:$E, E16)</f>
        <v>211</v>
      </c>
      <c r="K16" s="5">
        <f>AVERAGEIFS('Data Combined - all-runs'!$K:$K, 'Data Combined - all-runs'!$A:$A, A16,'Data Combined - all-runs'!$B:$B, B16,'Data Combined - all-runs'!$C:$C, C16, 'Data Combined - all-runs'!$D:$D, D16, 'Data Combined - all-runs'!$E:$E, E16)</f>
        <v>0.1352825465</v>
      </c>
      <c r="L16" s="5">
        <f>AVERAGEIFS('Data Combined - all-runs'!$L:$L, 'Data Combined - all-runs'!$A:$A, A16,'Data Combined - all-runs'!$B:$B, B16,'Data Combined - all-runs'!$C:$C, C16, 'Data Combined - all-runs'!$D:$D, D16, 'Data Combined - all-runs'!$E:$E, E16)</f>
        <v>4566.661188</v>
      </c>
      <c r="M16" s="5">
        <f>AVERAGEIFS('Data Combined - all-runs'!$M:$M, 'Data Combined - all-runs'!$A:$A, A16,'Data Combined - all-runs'!$B:$B, B16,'Data Combined - all-runs'!$C:$C, C16, 'Data Combined - all-runs'!$D:$D, D16, 'Data Combined - all-runs'!$E:$E, E16)</f>
        <v>69</v>
      </c>
      <c r="N16" s="5">
        <f>AVERAGEIFS('Data Combined - all-runs'!$N:$N, 'Data Combined - all-runs'!$A:$A, A16,'Data Combined - all-runs'!$B:$B, B16,'Data Combined - all-runs'!$C:$C, C16, 'Data Combined - all-runs'!$D:$D, D16, 'Data Combined - all-runs'!$E:$E, E16)</f>
        <v>13</v>
      </c>
      <c r="O16" s="5">
        <f>AVERAGEIFS('Data Combined - all-runs'!$O:$O, 'Data Combined - all-runs'!$A:$A, A16,'Data Combined - all-runs'!$B:$B, B16,'Data Combined - all-runs'!$C:$C, C16, 'Data Combined - all-runs'!$D:$D, D16, 'Data Combined - all-runs'!$E:$E, E16)</f>
        <v>1864</v>
      </c>
      <c r="P16" s="5">
        <f>AVERAGEIFS('Data Combined - all-runs'!$P:$P, 'Data Combined - all-runs'!$A:$A, A16,'Data Combined - all-runs'!$B:$B, B16,'Data Combined - all-runs'!$C:$C, C16, 'Data Combined - all-runs'!$D:$D, D16, 'Data Combined - all-runs'!$E:$E, E16)</f>
        <v>6.974248927</v>
      </c>
      <c r="Q16" s="5">
        <f>AVERAGEIFS('Data Combined - all-runs'!$Q:$Q, 'Data Combined - all-runs'!$A:$A, A16,'Data Combined - all-runs'!$B:$B, B16,'Data Combined - all-runs'!$C:$C, C16, 'Data Combined - all-runs'!$D:$D, D16, 'Data Combined - all-runs'!$E:$E, E16)</f>
        <v>580.472103</v>
      </c>
      <c r="R16" s="5">
        <f>AVERAGEIFS('Data Combined - all-runs'!$R:$R, 'Data Combined - all-runs'!$A:$A, A16,'Data Combined - all-runs'!$B:$B, B16,'Data Combined - all-runs'!$C:$C, C16, 'Data Combined - all-runs'!$D:$D, D16, 'Data Combined - all-runs'!$E:$E, E16)</f>
        <v>83.23076923</v>
      </c>
      <c r="S16" s="5">
        <f>AVERAGEIFS('Data Combined - all-runs'!$S:$S, 'Data Combined - all-runs'!$A:$A, A16,'Data Combined - all-runs'!$B:$B, B16,'Data Combined - all-runs'!$C:$C, C16, 'Data Combined - all-runs'!$D:$D, D16, 'Data Combined - all-runs'!$E:$E, E16)</f>
        <v>0.1950092421</v>
      </c>
      <c r="T16" s="5">
        <f>AVERAGEIFS('Data Combined - all-runs'!$T:$T, 'Data Combined - all-runs'!$A:$A, A16,'Data Combined - all-runs'!$B:$B, B16,'Data Combined - all-runs'!$C:$C, C16, 'Data Combined - all-runs'!$D:$D, D16, 'Data Combined - all-runs'!$E:$E, E16)</f>
        <v>0</v>
      </c>
      <c r="U16" s="5" t="b">
        <f t="shared" si="1"/>
        <v>0</v>
      </c>
      <c r="V16" s="5" t="b">
        <f t="shared" si="2"/>
        <v>0</v>
      </c>
      <c r="W16" s="5" t="b">
        <f t="shared" si="3"/>
        <v>1</v>
      </c>
    </row>
    <row r="17">
      <c r="A17" s="2" t="s">
        <v>32</v>
      </c>
      <c r="B17" s="2" t="s">
        <v>22</v>
      </c>
      <c r="C17" s="2" t="s">
        <v>23</v>
      </c>
      <c r="D17" s="2" t="s">
        <v>72</v>
      </c>
      <c r="E17" s="2" t="s">
        <v>34</v>
      </c>
      <c r="H17" s="5">
        <f>AVERAGEIFS('Data Combined - all-runs'!$H:$H, 'Data Combined - all-runs'!$A:$A, A17,'Data Combined - all-runs'!$B:$B, B17,'Data Combined - all-runs'!$C:$C, C17, 'Data Combined - all-runs'!$D:$D, D17, 'Data Combined - all-runs'!$E:$E, E17)</f>
        <v>522</v>
      </c>
      <c r="I17" s="5">
        <f>AVERAGEIFS('Data Combined - all-runs'!$I:$I, 'Data Combined - all-runs'!$A:$A, A17,'Data Combined - all-runs'!$B:$B, B17,'Data Combined - all-runs'!$C:$C, C17, 'Data Combined - all-runs'!$D:$D, D17, 'Data Combined - all-runs'!$E:$E, E17)</f>
        <v>0</v>
      </c>
      <c r="J17" s="5">
        <f>AVERAGEIFS('Data Combined - all-runs'!$J:$J, 'Data Combined - all-runs'!$A:$A, A17,'Data Combined - all-runs'!$B:$B, B17,'Data Combined - all-runs'!$C:$C, C17, 'Data Combined - all-runs'!$D:$D, D17, 'Data Combined - all-runs'!$E:$E, E17)</f>
        <v>260</v>
      </c>
      <c r="K17" s="5">
        <f>AVERAGEIFS('Data Combined - all-runs'!$K:$K, 'Data Combined - all-runs'!$A:$A, A17,'Data Combined - all-runs'!$B:$B, B17,'Data Combined - all-runs'!$C:$C, C17, 'Data Combined - all-runs'!$D:$D, D17, 'Data Combined - all-runs'!$E:$E, E17)</f>
        <v>0.3198683423</v>
      </c>
      <c r="L17" s="5">
        <f>AVERAGEIFS('Data Combined - all-runs'!$L:$L, 'Data Combined - all-runs'!$A:$A, A17,'Data Combined - all-runs'!$B:$B, B17,'Data Combined - all-runs'!$C:$C, C17, 'Data Combined - all-runs'!$D:$D, D17, 'Data Combined - all-runs'!$E:$E, E17)</f>
        <v>2840.745365</v>
      </c>
      <c r="M17" s="5">
        <f>AVERAGEIFS('Data Combined - all-runs'!$M:$M, 'Data Combined - all-runs'!$A:$A, A17,'Data Combined - all-runs'!$B:$B, B17,'Data Combined - all-runs'!$C:$C, C17, 'Data Combined - all-runs'!$D:$D, D17, 'Data Combined - all-runs'!$E:$E, E17)</f>
        <v>57</v>
      </c>
      <c r="N17" s="5">
        <f>AVERAGEIFS('Data Combined - all-runs'!$N:$N, 'Data Combined - all-runs'!$A:$A, A17,'Data Combined - all-runs'!$B:$B, B17,'Data Combined - all-runs'!$C:$C, C17, 'Data Combined - all-runs'!$D:$D, D17, 'Data Combined - all-runs'!$E:$E, E17)</f>
        <v>1</v>
      </c>
      <c r="O17" s="5">
        <f>AVERAGEIFS('Data Combined - all-runs'!$O:$O, 'Data Combined - all-runs'!$A:$A, A17,'Data Combined - all-runs'!$B:$B, B17,'Data Combined - all-runs'!$C:$C, C17, 'Data Combined - all-runs'!$D:$D, D17, 'Data Combined - all-runs'!$E:$E, E17)</f>
        <v>557</v>
      </c>
      <c r="P17" s="5">
        <f>AVERAGEIFS('Data Combined - all-runs'!$P:$P, 'Data Combined - all-runs'!$A:$A, A17,'Data Combined - all-runs'!$B:$B, B17,'Data Combined - all-runs'!$C:$C, C17, 'Data Combined - all-runs'!$D:$D, D17, 'Data Combined - all-runs'!$E:$E, E17)</f>
        <v>1.795332136</v>
      </c>
      <c r="Q17" s="5">
        <f>AVERAGEIFS('Data Combined - all-runs'!$Q:$Q, 'Data Combined - all-runs'!$A:$A, A17,'Data Combined - all-runs'!$B:$B, B17,'Data Combined - all-runs'!$C:$C, C17, 'Data Combined - all-runs'!$D:$D, D17, 'Data Combined - all-runs'!$E:$E, E17)</f>
        <v>937.1633752</v>
      </c>
      <c r="R17" s="5">
        <f>AVERAGEIFS('Data Combined - all-runs'!$R:$R, 'Data Combined - all-runs'!$A:$A, A17,'Data Combined - all-runs'!$B:$B, B17,'Data Combined - all-runs'!$C:$C, C17, 'Data Combined - all-runs'!$D:$D, D17, 'Data Combined - all-runs'!$E:$E, E17)</f>
        <v>522</v>
      </c>
      <c r="S17" s="5">
        <f>AVERAGEIFS('Data Combined - all-runs'!$S:$S, 'Data Combined - all-runs'!$A:$A, A17,'Data Combined - all-runs'!$B:$B, B17,'Data Combined - all-runs'!$C:$C, C17, 'Data Combined - all-runs'!$D:$D, D17, 'Data Combined - all-runs'!$E:$E, E17)</f>
        <v>0.4980842912</v>
      </c>
      <c r="T17" s="5">
        <f>AVERAGEIFS('Data Combined - all-runs'!$T:$T, 'Data Combined - all-runs'!$A:$A, A17,'Data Combined - all-runs'!$B:$B, B17,'Data Combined - all-runs'!$C:$C, C17, 'Data Combined - all-runs'!$D:$D, D17, 'Data Combined - all-runs'!$E:$E, E17)</f>
        <v>0</v>
      </c>
      <c r="U17" s="5" t="b">
        <f t="shared" si="1"/>
        <v>0</v>
      </c>
      <c r="V17" s="5" t="b">
        <f t="shared" si="2"/>
        <v>0</v>
      </c>
      <c r="W17" s="5" t="b">
        <f t="shared" si="3"/>
        <v>1</v>
      </c>
    </row>
    <row r="18">
      <c r="A18" s="2" t="s">
        <v>32</v>
      </c>
      <c r="B18" s="2" t="s">
        <v>22</v>
      </c>
      <c r="C18" s="2" t="s">
        <v>23</v>
      </c>
      <c r="D18" s="2" t="s">
        <v>72</v>
      </c>
      <c r="E18" s="2" t="s">
        <v>47</v>
      </c>
      <c r="H18" s="5">
        <f>AVERAGEIFS('Data Combined - all-runs'!$H:$H, 'Data Combined - all-runs'!$A:$A, A18,'Data Combined - all-runs'!$B:$B, B18,'Data Combined - all-runs'!$C:$C, C18, 'Data Combined - all-runs'!$D:$D, D18, 'Data Combined - all-runs'!$E:$E, E18)</f>
        <v>1659</v>
      </c>
      <c r="I18" s="5">
        <f>AVERAGEIFS('Data Combined - all-runs'!$I:$I, 'Data Combined - all-runs'!$A:$A, A18,'Data Combined - all-runs'!$B:$B, B18,'Data Combined - all-runs'!$C:$C, C18, 'Data Combined - all-runs'!$D:$D, D18, 'Data Combined - all-runs'!$E:$E, E18)</f>
        <v>0</v>
      </c>
      <c r="J18" s="5">
        <f>AVERAGEIFS('Data Combined - all-runs'!$J:$J, 'Data Combined - all-runs'!$A:$A, A18,'Data Combined - all-runs'!$B:$B, B18,'Data Combined - all-runs'!$C:$C, C18, 'Data Combined - all-runs'!$D:$D, D18, 'Data Combined - all-runs'!$E:$E, E18)</f>
        <v>498</v>
      </c>
      <c r="K18" s="5">
        <f>AVERAGEIFS('Data Combined - all-runs'!$K:$K, 'Data Combined - all-runs'!$A:$A, A18,'Data Combined - all-runs'!$B:$B, B18,'Data Combined - all-runs'!$C:$C, C18, 'Data Combined - all-runs'!$D:$D, D18, 'Data Combined - all-runs'!$E:$E, E18)</f>
        <v>0.1770317146</v>
      </c>
      <c r="L18" s="5">
        <f>AVERAGEIFS('Data Combined - all-runs'!$L:$L, 'Data Combined - all-runs'!$A:$A, A18,'Data Combined - all-runs'!$B:$B, B18,'Data Combined - all-runs'!$C:$C, C18, 'Data Combined - all-runs'!$D:$D, D18, 'Data Combined - all-runs'!$E:$E, E18)</f>
        <v>9582.021967</v>
      </c>
      <c r="M18" s="5">
        <f>AVERAGEIFS('Data Combined - all-runs'!$M:$M, 'Data Combined - all-runs'!$A:$A, A18,'Data Combined - all-runs'!$B:$B, B18,'Data Combined - all-runs'!$C:$C, C18, 'Data Combined - all-runs'!$D:$D, D18, 'Data Combined - all-runs'!$E:$E, E18)</f>
        <v>101</v>
      </c>
      <c r="N18" s="5">
        <f>AVERAGEIFS('Data Combined - all-runs'!$N:$N, 'Data Combined - all-runs'!$A:$A, A18,'Data Combined - all-runs'!$B:$B, B18,'Data Combined - all-runs'!$C:$C, C18, 'Data Combined - all-runs'!$D:$D, D18, 'Data Combined - all-runs'!$E:$E, E18)</f>
        <v>12</v>
      </c>
      <c r="O18" s="5">
        <f>AVERAGEIFS('Data Combined - all-runs'!$O:$O, 'Data Combined - all-runs'!$A:$A, A18,'Data Combined - all-runs'!$B:$B, B18,'Data Combined - all-runs'!$C:$C, C18, 'Data Combined - all-runs'!$D:$D, D18, 'Data Combined - all-runs'!$E:$E, E18)</f>
        <v>2018</v>
      </c>
      <c r="P18" s="5">
        <f>AVERAGEIFS('Data Combined - all-runs'!$P:$P, 'Data Combined - all-runs'!$A:$A, A18,'Data Combined - all-runs'!$B:$B, B18,'Data Combined - all-runs'!$C:$C, C18, 'Data Combined - all-runs'!$D:$D, D18, 'Data Combined - all-runs'!$E:$E, E18)</f>
        <v>5.946481665</v>
      </c>
      <c r="Q18" s="5">
        <f>AVERAGEIFS('Data Combined - all-runs'!$Q:$Q, 'Data Combined - all-runs'!$A:$A, A18,'Data Combined - all-runs'!$B:$B, B18,'Data Combined - all-runs'!$C:$C, C18, 'Data Combined - all-runs'!$D:$D, D18, 'Data Combined - all-runs'!$E:$E, E18)</f>
        <v>822.1010902</v>
      </c>
      <c r="R18" s="5">
        <f>AVERAGEIFS('Data Combined - all-runs'!$R:$R, 'Data Combined - all-runs'!$A:$A, A18,'Data Combined - all-runs'!$B:$B, B18,'Data Combined - all-runs'!$C:$C, C18, 'Data Combined - all-runs'!$D:$D, D18, 'Data Combined - all-runs'!$E:$E, E18)</f>
        <v>138.25</v>
      </c>
      <c r="S18" s="5">
        <f>AVERAGEIFS('Data Combined - all-runs'!$S:$S, 'Data Combined - all-runs'!$A:$A, A18,'Data Combined - all-runs'!$B:$B, B18,'Data Combined - all-runs'!$C:$C, C18, 'Data Combined - all-runs'!$D:$D, D18, 'Data Combined - all-runs'!$E:$E, E18)</f>
        <v>0.3001808318</v>
      </c>
      <c r="T18" s="5">
        <f>AVERAGEIFS('Data Combined - all-runs'!$T:$T, 'Data Combined - all-runs'!$A:$A, A18,'Data Combined - all-runs'!$B:$B, B18,'Data Combined - all-runs'!$C:$C, C18, 'Data Combined - all-runs'!$D:$D, D18, 'Data Combined - all-runs'!$E:$E, E18)</f>
        <v>0</v>
      </c>
      <c r="U18" s="5" t="b">
        <f t="shared" si="1"/>
        <v>0</v>
      </c>
      <c r="V18" s="5" t="b">
        <f t="shared" si="2"/>
        <v>0</v>
      </c>
      <c r="W18" s="5" t="b">
        <f t="shared" si="3"/>
        <v>1</v>
      </c>
    </row>
    <row r="19">
      <c r="A19" s="2" t="s">
        <v>32</v>
      </c>
      <c r="B19" s="2" t="s">
        <v>22</v>
      </c>
      <c r="C19" s="2" t="s">
        <v>23</v>
      </c>
      <c r="D19" s="2" t="s">
        <v>72</v>
      </c>
      <c r="E19" s="2" t="s">
        <v>51</v>
      </c>
      <c r="H19" s="5">
        <f>AVERAGEIFS('Data Combined - all-runs'!$H:$H, 'Data Combined - all-runs'!$A:$A, A19,'Data Combined - all-runs'!$B:$B, B19,'Data Combined - all-runs'!$C:$C, C19, 'Data Combined - all-runs'!$D:$D, D19, 'Data Combined - all-runs'!$E:$E, E19)</f>
        <v>976</v>
      </c>
      <c r="I19" s="5">
        <f>AVERAGEIFS('Data Combined - all-runs'!$I:$I, 'Data Combined - all-runs'!$A:$A, A19,'Data Combined - all-runs'!$B:$B, B19,'Data Combined - all-runs'!$C:$C, C19, 'Data Combined - all-runs'!$D:$D, D19, 'Data Combined - all-runs'!$E:$E, E19)</f>
        <v>0</v>
      </c>
      <c r="J19" s="5">
        <f>AVERAGEIFS('Data Combined - all-runs'!$J:$J, 'Data Combined - all-runs'!$A:$A, A19,'Data Combined - all-runs'!$B:$B, B19,'Data Combined - all-runs'!$C:$C, C19, 'Data Combined - all-runs'!$D:$D, D19, 'Data Combined - all-runs'!$E:$E, E19)</f>
        <v>132</v>
      </c>
      <c r="K19" s="5">
        <f>AVERAGEIFS('Data Combined - all-runs'!$K:$K, 'Data Combined - all-runs'!$A:$A, A19,'Data Combined - all-runs'!$B:$B, B19,'Data Combined - all-runs'!$C:$C, C19, 'Data Combined - all-runs'!$D:$D, D19, 'Data Combined - all-runs'!$E:$E, E19)</f>
        <v>0.09969473008</v>
      </c>
      <c r="L19" s="5">
        <f>AVERAGEIFS('Data Combined - all-runs'!$L:$L, 'Data Combined - all-runs'!$A:$A, A19,'Data Combined - all-runs'!$B:$B, B19,'Data Combined - all-runs'!$C:$C, C19, 'Data Combined - all-runs'!$D:$D, D19, 'Data Combined - all-runs'!$E:$E, E19)</f>
        <v>4847.992231</v>
      </c>
      <c r="M19" s="5">
        <f>AVERAGEIFS('Data Combined - all-runs'!$M:$M, 'Data Combined - all-runs'!$A:$A, A19,'Data Combined - all-runs'!$B:$B, B19,'Data Combined - all-runs'!$C:$C, C19, 'Data Combined - all-runs'!$D:$D, D19, 'Data Combined - all-runs'!$E:$E, E19)</f>
        <v>33</v>
      </c>
      <c r="N19" s="5">
        <f>AVERAGEIFS('Data Combined - all-runs'!$N:$N, 'Data Combined - all-runs'!$A:$A, A19,'Data Combined - all-runs'!$B:$B, B19,'Data Combined - all-runs'!$C:$C, C19, 'Data Combined - all-runs'!$D:$D, D19, 'Data Combined - all-runs'!$E:$E, E19)</f>
        <v>11</v>
      </c>
      <c r="O19" s="5">
        <f>AVERAGEIFS('Data Combined - all-runs'!$O:$O, 'Data Combined - all-runs'!$A:$A, A19,'Data Combined - all-runs'!$B:$B, B19,'Data Combined - all-runs'!$C:$C, C19, 'Data Combined - all-runs'!$D:$D, D19, 'Data Combined - all-runs'!$E:$E, E19)</f>
        <v>1556</v>
      </c>
      <c r="P19" s="5">
        <f>AVERAGEIFS('Data Combined - all-runs'!$P:$P, 'Data Combined - all-runs'!$A:$A, A19,'Data Combined - all-runs'!$B:$B, B19,'Data Combined - all-runs'!$C:$C, C19, 'Data Combined - all-runs'!$D:$D, D19, 'Data Combined - all-runs'!$E:$E, E19)</f>
        <v>7.06940874</v>
      </c>
      <c r="Q19" s="5">
        <f>AVERAGEIFS('Data Combined - all-runs'!$Q:$Q, 'Data Combined - all-runs'!$A:$A, A19,'Data Combined - all-runs'!$B:$B, B19,'Data Combined - all-runs'!$C:$C, C19, 'Data Combined - all-runs'!$D:$D, D19, 'Data Combined - all-runs'!$E:$E, E19)</f>
        <v>627.2493573</v>
      </c>
      <c r="R19" s="5">
        <f>AVERAGEIFS('Data Combined - all-runs'!$R:$R, 'Data Combined - all-runs'!$A:$A, A19,'Data Combined - all-runs'!$B:$B, B19,'Data Combined - all-runs'!$C:$C, C19, 'Data Combined - all-runs'!$D:$D, D19, 'Data Combined - all-runs'!$E:$E, E19)</f>
        <v>88.72727273</v>
      </c>
      <c r="S19" s="5">
        <f>AVERAGEIFS('Data Combined - all-runs'!$S:$S, 'Data Combined - all-runs'!$A:$A, A19,'Data Combined - all-runs'!$B:$B, B19,'Data Combined - all-runs'!$C:$C, C19, 'Data Combined - all-runs'!$D:$D, D19, 'Data Combined - all-runs'!$E:$E, E19)</f>
        <v>0.1352459016</v>
      </c>
      <c r="T19" s="5">
        <f>AVERAGEIFS('Data Combined - all-runs'!$T:$T, 'Data Combined - all-runs'!$A:$A, A19,'Data Combined - all-runs'!$B:$B, B19,'Data Combined - all-runs'!$C:$C, C19, 'Data Combined - all-runs'!$D:$D, D19, 'Data Combined - all-runs'!$E:$E, E19)</f>
        <v>0</v>
      </c>
      <c r="U19" s="5" t="b">
        <f t="shared" si="1"/>
        <v>0</v>
      </c>
      <c r="V19" s="5" t="b">
        <f t="shared" si="2"/>
        <v>0</v>
      </c>
      <c r="W19" s="5" t="b">
        <f t="shared" si="3"/>
        <v>1</v>
      </c>
    </row>
    <row r="20">
      <c r="A20" s="2" t="s">
        <v>32</v>
      </c>
      <c r="B20" s="2" t="s">
        <v>22</v>
      </c>
      <c r="C20" s="2" t="s">
        <v>23</v>
      </c>
      <c r="D20" s="2" t="s">
        <v>64</v>
      </c>
      <c r="E20" s="2" t="s">
        <v>25</v>
      </c>
      <c r="H20" s="5">
        <f>AVERAGEIFS('Data Combined - all-runs'!$H:$H, 'Data Combined - all-runs'!$A:$A, A20,'Data Combined - all-runs'!$B:$B, B20,'Data Combined - all-runs'!$C:$C, C20, 'Data Combined - all-runs'!$D:$D, D20, 'Data Combined - all-runs'!$E:$E, E20)</f>
        <v>931.5</v>
      </c>
      <c r="I20" s="5">
        <f>AVERAGEIFS('Data Combined - all-runs'!$I:$I, 'Data Combined - all-runs'!$A:$A, A20,'Data Combined - all-runs'!$B:$B, B20,'Data Combined - all-runs'!$C:$C, C20, 'Data Combined - all-runs'!$D:$D, D20, 'Data Combined - all-runs'!$E:$E, E20)</f>
        <v>0</v>
      </c>
      <c r="J20" s="5">
        <f>AVERAGEIFS('Data Combined - all-runs'!$J:$J, 'Data Combined - all-runs'!$A:$A, A20,'Data Combined - all-runs'!$B:$B, B20,'Data Combined - all-runs'!$C:$C, C20, 'Data Combined - all-runs'!$D:$D, D20, 'Data Combined - all-runs'!$E:$E, E20)</f>
        <v>0</v>
      </c>
      <c r="K20" s="5">
        <f>AVERAGEIFS('Data Combined - all-runs'!$K:$K, 'Data Combined - all-runs'!$A:$A, A20,'Data Combined - all-runs'!$B:$B, B20,'Data Combined - all-runs'!$C:$C, C20, 'Data Combined - all-runs'!$D:$D, D20, 'Data Combined - all-runs'!$E:$E, E20)</f>
        <v>0.1770475228</v>
      </c>
      <c r="L20" s="5">
        <f>AVERAGEIFS('Data Combined - all-runs'!$L:$L, 'Data Combined - all-runs'!$A:$A, A20,'Data Combined - all-runs'!$B:$B, B20,'Data Combined - all-runs'!$C:$C, C20, 'Data Combined - all-runs'!$D:$D, D20, 'Data Combined - all-runs'!$E:$E, E20)</f>
        <v>8653.516445</v>
      </c>
      <c r="M20" s="5">
        <f>AVERAGEIFS('Data Combined - all-runs'!$M:$M, 'Data Combined - all-runs'!$A:$A, A20,'Data Combined - all-runs'!$B:$B, B20,'Data Combined - all-runs'!$C:$C, C20, 'Data Combined - all-runs'!$D:$D, D20, 'Data Combined - all-runs'!$E:$E, E20)</f>
        <v>85</v>
      </c>
      <c r="N20" s="5">
        <f>AVERAGEIFS('Data Combined - all-runs'!$N:$N, 'Data Combined - all-runs'!$A:$A, A20,'Data Combined - all-runs'!$B:$B, B20,'Data Combined - all-runs'!$C:$C, C20, 'Data Combined - all-runs'!$D:$D, D20, 'Data Combined - all-runs'!$E:$E, E20)</f>
        <v>6</v>
      </c>
      <c r="O20" s="5">
        <f>AVERAGEIFS('Data Combined - all-runs'!$O:$O, 'Data Combined - all-runs'!$A:$A, A20,'Data Combined - all-runs'!$B:$B, B20,'Data Combined - all-runs'!$C:$C, C20, 'Data Combined - all-runs'!$D:$D, D20, 'Data Combined - all-runs'!$E:$E, E20)</f>
        <v>1263.5</v>
      </c>
      <c r="P20" s="5">
        <f>AVERAGEIFS('Data Combined - all-runs'!$P:$P, 'Data Combined - all-runs'!$A:$A, A20,'Data Combined - all-runs'!$B:$B, B20,'Data Combined - all-runs'!$C:$C, C20, 'Data Combined - all-runs'!$D:$D, D20, 'Data Combined - all-runs'!$E:$E, E20)</f>
        <v>4.913665707</v>
      </c>
      <c r="Q20" s="5">
        <f>AVERAGEIFS('Data Combined - all-runs'!$Q:$Q, 'Data Combined - all-runs'!$A:$A, A20,'Data Combined - all-runs'!$B:$B, B20,'Data Combined - all-runs'!$C:$C, C20, 'Data Combined - all-runs'!$D:$D, D20, 'Data Combined - all-runs'!$E:$E, E20)</f>
        <v>732.1617925</v>
      </c>
      <c r="R20" s="5">
        <f>AVERAGEIFS('Data Combined - all-runs'!$R:$R, 'Data Combined - all-runs'!$A:$A, A20,'Data Combined - all-runs'!$B:$B, B20,'Data Combined - all-runs'!$C:$C, C20, 'Data Combined - all-runs'!$D:$D, D20, 'Data Combined - all-runs'!$E:$E, E20)</f>
        <v>155.25</v>
      </c>
      <c r="S20" s="5">
        <f>AVERAGEIFS('Data Combined - all-runs'!$S:$S, 'Data Combined - all-runs'!$A:$A, A20,'Data Combined - all-runs'!$B:$B, B20,'Data Combined - all-runs'!$C:$C, C20, 'Data Combined - all-runs'!$D:$D, D20, 'Data Combined - all-runs'!$E:$E, E20)</f>
        <v>0</v>
      </c>
      <c r="T20" s="5">
        <f>AVERAGEIFS('Data Combined - all-runs'!$T:$T, 'Data Combined - all-runs'!$A:$A, A20,'Data Combined - all-runs'!$B:$B, B20,'Data Combined - all-runs'!$C:$C, C20, 'Data Combined - all-runs'!$D:$D, D20, 'Data Combined - all-runs'!$E:$E, E20)</f>
        <v>0</v>
      </c>
      <c r="U20" s="5" t="b">
        <f t="shared" si="1"/>
        <v>0</v>
      </c>
      <c r="V20" s="5" t="b">
        <f t="shared" si="2"/>
        <v>0</v>
      </c>
      <c r="W20" s="5" t="b">
        <f t="shared" si="3"/>
        <v>1</v>
      </c>
    </row>
    <row r="21">
      <c r="A21" s="2" t="s">
        <v>32</v>
      </c>
      <c r="B21" s="2" t="s">
        <v>22</v>
      </c>
      <c r="C21" s="2" t="s">
        <v>23</v>
      </c>
      <c r="D21" s="2" t="s">
        <v>64</v>
      </c>
      <c r="E21" s="2" t="s">
        <v>39</v>
      </c>
      <c r="H21" s="5">
        <f>AVERAGEIFS('Data Combined - all-runs'!$H:$H, 'Data Combined - all-runs'!$A:$A, A21,'Data Combined - all-runs'!$B:$B, B21,'Data Combined - all-runs'!$C:$C, C21, 'Data Combined - all-runs'!$D:$D, D21, 'Data Combined - all-runs'!$E:$E, E21)</f>
        <v>618</v>
      </c>
      <c r="I21" s="5">
        <f>AVERAGEIFS('Data Combined - all-runs'!$I:$I, 'Data Combined - all-runs'!$A:$A, A21,'Data Combined - all-runs'!$B:$B, B21,'Data Combined - all-runs'!$C:$C, C21, 'Data Combined - all-runs'!$D:$D, D21, 'Data Combined - all-runs'!$E:$E, E21)</f>
        <v>0</v>
      </c>
      <c r="J21" s="5">
        <f>AVERAGEIFS('Data Combined - all-runs'!$J:$J, 'Data Combined - all-runs'!$A:$A, A21,'Data Combined - all-runs'!$B:$B, B21,'Data Combined - all-runs'!$C:$C, C21, 'Data Combined - all-runs'!$D:$D, D21, 'Data Combined - all-runs'!$E:$E, E21)</f>
        <v>5</v>
      </c>
      <c r="K21" s="5">
        <f>AVERAGEIFS('Data Combined - all-runs'!$K:$K, 'Data Combined - all-runs'!$A:$A, A21,'Data Combined - all-runs'!$B:$B, B21,'Data Combined - all-runs'!$C:$C, C21, 'Data Combined - all-runs'!$D:$D, D21, 'Data Combined - all-runs'!$E:$E, E21)</f>
        <v>0.121341195</v>
      </c>
      <c r="L21" s="5">
        <f>AVERAGEIFS('Data Combined - all-runs'!$L:$L, 'Data Combined - all-runs'!$A:$A, A21,'Data Combined - all-runs'!$B:$B, B21,'Data Combined - all-runs'!$C:$C, C21, 'Data Combined - all-runs'!$D:$D, D21, 'Data Combined - all-runs'!$E:$E, E21)</f>
        <v>9840.198441</v>
      </c>
      <c r="M21" s="5">
        <f>AVERAGEIFS('Data Combined - all-runs'!$M:$M, 'Data Combined - all-runs'!$A:$A, A21,'Data Combined - all-runs'!$B:$B, B21,'Data Combined - all-runs'!$C:$C, C21, 'Data Combined - all-runs'!$D:$D, D21, 'Data Combined - all-runs'!$E:$E, E21)</f>
        <v>167</v>
      </c>
      <c r="N21" s="5">
        <f>AVERAGEIFS('Data Combined - all-runs'!$N:$N, 'Data Combined - all-runs'!$A:$A, A21,'Data Combined - all-runs'!$B:$B, B21,'Data Combined - all-runs'!$C:$C, C21, 'Data Combined - all-runs'!$D:$D, D21, 'Data Combined - all-runs'!$E:$E, E21)</f>
        <v>5</v>
      </c>
      <c r="O21" s="5">
        <f>AVERAGEIFS('Data Combined - all-runs'!$O:$O, 'Data Combined - all-runs'!$A:$A, A21,'Data Combined - all-runs'!$B:$B, B21,'Data Combined - all-runs'!$C:$C, C21, 'Data Combined - all-runs'!$D:$D, D21, 'Data Combined - all-runs'!$E:$E, E21)</f>
        <v>1045</v>
      </c>
      <c r="P21" s="5">
        <f>AVERAGEIFS('Data Combined - all-runs'!$P:$P, 'Data Combined - all-runs'!$A:$A, A21,'Data Combined - all-runs'!$B:$B, B21,'Data Combined - all-runs'!$C:$C, C21, 'Data Combined - all-runs'!$D:$D, D21, 'Data Combined - all-runs'!$E:$E, E21)</f>
        <v>3.144654088</v>
      </c>
      <c r="Q21" s="5">
        <f>AVERAGEIFS('Data Combined - all-runs'!$Q:$Q, 'Data Combined - all-runs'!$A:$A, A21,'Data Combined - all-runs'!$B:$B, B21,'Data Combined - all-runs'!$C:$C, C21, 'Data Combined - all-runs'!$D:$D, D21, 'Data Combined - all-runs'!$E:$E, E21)</f>
        <v>486.0251572</v>
      </c>
      <c r="R21" s="5">
        <f>AVERAGEIFS('Data Combined - all-runs'!$R:$R, 'Data Combined - all-runs'!$A:$A, A21,'Data Combined - all-runs'!$B:$B, B21,'Data Combined - all-runs'!$C:$C, C21, 'Data Combined - all-runs'!$D:$D, D21, 'Data Combined - all-runs'!$E:$E, E21)</f>
        <v>109.4</v>
      </c>
      <c r="S21" s="5">
        <f>AVERAGEIFS('Data Combined - all-runs'!$S:$S, 'Data Combined - all-runs'!$A:$A, A21,'Data Combined - all-runs'!$B:$B, B21,'Data Combined - all-runs'!$C:$C, C21, 'Data Combined - all-runs'!$D:$D, D21, 'Data Combined - all-runs'!$E:$E, E21)</f>
        <v>0.004570383912</v>
      </c>
      <c r="T21" s="5">
        <f>AVERAGEIFS('Data Combined - all-runs'!$T:$T, 'Data Combined - all-runs'!$A:$A, A21,'Data Combined - all-runs'!$B:$B, B21,'Data Combined - all-runs'!$C:$C, C21, 'Data Combined - all-runs'!$D:$D, D21, 'Data Combined - all-runs'!$E:$E, E21)</f>
        <v>0</v>
      </c>
      <c r="U21" s="5" t="b">
        <f t="shared" si="1"/>
        <v>0</v>
      </c>
      <c r="V21" s="5" t="b">
        <f t="shared" si="2"/>
        <v>0</v>
      </c>
      <c r="W21" s="5" t="b">
        <f t="shared" si="3"/>
        <v>1</v>
      </c>
    </row>
    <row r="22">
      <c r="A22" s="2" t="s">
        <v>32</v>
      </c>
      <c r="B22" s="2" t="s">
        <v>22</v>
      </c>
      <c r="C22" s="2" t="s">
        <v>23</v>
      </c>
      <c r="D22" s="2" t="s">
        <v>64</v>
      </c>
      <c r="E22" s="2" t="s">
        <v>43</v>
      </c>
      <c r="H22" s="5">
        <f>AVERAGEIFS('Data Combined - all-runs'!$H:$H, 'Data Combined - all-runs'!$A:$A, A22,'Data Combined - all-runs'!$B:$B, B22,'Data Combined - all-runs'!$C:$C, C22, 'Data Combined - all-runs'!$D:$D, D22, 'Data Combined - all-runs'!$E:$E, E22)</f>
        <v>726.5</v>
      </c>
      <c r="I22" s="5">
        <f>AVERAGEIFS('Data Combined - all-runs'!$I:$I, 'Data Combined - all-runs'!$A:$A, A22,'Data Combined - all-runs'!$B:$B, B22,'Data Combined - all-runs'!$C:$C, C22, 'Data Combined - all-runs'!$D:$D, D22, 'Data Combined - all-runs'!$E:$E, E22)</f>
        <v>0</v>
      </c>
      <c r="J22" s="5">
        <f>AVERAGEIFS('Data Combined - all-runs'!$J:$J, 'Data Combined - all-runs'!$A:$A, A22,'Data Combined - all-runs'!$B:$B, B22,'Data Combined - all-runs'!$C:$C, C22, 'Data Combined - all-runs'!$D:$D, D22, 'Data Combined - all-runs'!$E:$E, E22)</f>
        <v>55.5</v>
      </c>
      <c r="K22" s="5">
        <f>AVERAGEIFS('Data Combined - all-runs'!$K:$K, 'Data Combined - all-runs'!$A:$A, A22,'Data Combined - all-runs'!$B:$B, B22,'Data Combined - all-runs'!$C:$C, C22, 'Data Combined - all-runs'!$D:$D, D22, 'Data Combined - all-runs'!$E:$E, E22)</f>
        <v>0.09560735105</v>
      </c>
      <c r="L22" s="5">
        <f>AVERAGEIFS('Data Combined - all-runs'!$L:$L, 'Data Combined - all-runs'!$A:$A, A22,'Data Combined - all-runs'!$B:$B, B22,'Data Combined - all-runs'!$C:$C, C22, 'Data Combined - all-runs'!$D:$D, D22, 'Data Combined - all-runs'!$E:$E, E22)</f>
        <v>8531.398872</v>
      </c>
      <c r="M22" s="5">
        <f>AVERAGEIFS('Data Combined - all-runs'!$M:$M, 'Data Combined - all-runs'!$A:$A, A22,'Data Combined - all-runs'!$B:$B, B22,'Data Combined - all-runs'!$C:$C, C22, 'Data Combined - all-runs'!$D:$D, D22, 'Data Combined - all-runs'!$E:$E, E22)</f>
        <v>67</v>
      </c>
      <c r="N22" s="5">
        <f>AVERAGEIFS('Data Combined - all-runs'!$N:$N, 'Data Combined - all-runs'!$A:$A, A22,'Data Combined - all-runs'!$B:$B, B22,'Data Combined - all-runs'!$C:$C, C22, 'Data Combined - all-runs'!$D:$D, D22, 'Data Combined - all-runs'!$E:$E, E22)</f>
        <v>10</v>
      </c>
      <c r="O22" s="5">
        <f>AVERAGEIFS('Data Combined - all-runs'!$O:$O, 'Data Combined - all-runs'!$A:$A, A22,'Data Combined - all-runs'!$B:$B, B22,'Data Combined - all-runs'!$C:$C, C22, 'Data Combined - all-runs'!$D:$D, D22, 'Data Combined - all-runs'!$E:$E, E22)</f>
        <v>1484</v>
      </c>
      <c r="P22" s="5">
        <f>AVERAGEIFS('Data Combined - all-runs'!$P:$P, 'Data Combined - all-runs'!$A:$A, A22,'Data Combined - all-runs'!$B:$B, B22,'Data Combined - all-runs'!$C:$C, C22, 'Data Combined - all-runs'!$D:$D, D22, 'Data Combined - all-runs'!$E:$E, E22)</f>
        <v>6.731867713</v>
      </c>
      <c r="Q22" s="5">
        <f>AVERAGEIFS('Data Combined - all-runs'!$Q:$Q, 'Data Combined - all-runs'!$A:$A, A22,'Data Combined - all-runs'!$B:$B, B22,'Data Combined - all-runs'!$C:$C, C22, 'Data Combined - all-runs'!$D:$D, D22, 'Data Combined - all-runs'!$E:$E, E22)</f>
        <v>491.6771633</v>
      </c>
      <c r="R22" s="5">
        <f>AVERAGEIFS('Data Combined - all-runs'!$R:$R, 'Data Combined - all-runs'!$A:$A, A22,'Data Combined - all-runs'!$B:$B, B22,'Data Combined - all-runs'!$C:$C, C22, 'Data Combined - all-runs'!$D:$D, D22, 'Data Combined - all-runs'!$E:$E, E22)</f>
        <v>73.08585859</v>
      </c>
      <c r="S22" s="5">
        <f>AVERAGEIFS('Data Combined - all-runs'!$S:$S, 'Data Combined - all-runs'!$A:$A, A22,'Data Combined - all-runs'!$B:$B, B22,'Data Combined - all-runs'!$C:$C, C22, 'Data Combined - all-runs'!$D:$D, D22, 'Data Combined - all-runs'!$E:$E, E22)</f>
        <v>0.07962697274</v>
      </c>
      <c r="T22" s="5">
        <f>AVERAGEIFS('Data Combined - all-runs'!$T:$T, 'Data Combined - all-runs'!$A:$A, A22,'Data Combined - all-runs'!$B:$B, B22,'Data Combined - all-runs'!$C:$C, C22, 'Data Combined - all-runs'!$D:$D, D22, 'Data Combined - all-runs'!$E:$E, E22)</f>
        <v>0</v>
      </c>
      <c r="U22" s="5" t="b">
        <f t="shared" si="1"/>
        <v>0</v>
      </c>
      <c r="V22" s="5" t="b">
        <f t="shared" si="2"/>
        <v>0</v>
      </c>
      <c r="W22" s="5" t="b">
        <f t="shared" si="3"/>
        <v>1</v>
      </c>
    </row>
    <row r="23">
      <c r="A23" s="2" t="s">
        <v>32</v>
      </c>
      <c r="B23" s="2" t="s">
        <v>22</v>
      </c>
      <c r="C23" s="2" t="s">
        <v>23</v>
      </c>
      <c r="D23" s="2" t="s">
        <v>64</v>
      </c>
      <c r="E23" s="2" t="s">
        <v>34</v>
      </c>
      <c r="H23" s="5">
        <f>AVERAGEIFS('Data Combined - all-runs'!$H:$H, 'Data Combined - all-runs'!$A:$A, A23,'Data Combined - all-runs'!$B:$B, B23,'Data Combined - all-runs'!$C:$C, C23, 'Data Combined - all-runs'!$D:$D, D23, 'Data Combined - all-runs'!$E:$E, E23)</f>
        <v>517.5</v>
      </c>
      <c r="I23" s="5">
        <f>AVERAGEIFS('Data Combined - all-runs'!$I:$I, 'Data Combined - all-runs'!$A:$A, A23,'Data Combined - all-runs'!$B:$B, B23,'Data Combined - all-runs'!$C:$C, C23, 'Data Combined - all-runs'!$D:$D, D23, 'Data Combined - all-runs'!$E:$E, E23)</f>
        <v>0</v>
      </c>
      <c r="J23" s="5">
        <f>AVERAGEIFS('Data Combined - all-runs'!$J:$J, 'Data Combined - all-runs'!$A:$A, A23,'Data Combined - all-runs'!$B:$B, B23,'Data Combined - all-runs'!$C:$C, C23, 'Data Combined - all-runs'!$D:$D, D23, 'Data Combined - all-runs'!$E:$E, E23)</f>
        <v>417.5</v>
      </c>
      <c r="K23" s="5">
        <f>AVERAGEIFS('Data Combined - all-runs'!$K:$K, 'Data Combined - all-runs'!$A:$A, A23,'Data Combined - all-runs'!$B:$B, B23,'Data Combined - all-runs'!$C:$C, C23, 'Data Combined - all-runs'!$D:$D, D23, 'Data Combined - all-runs'!$E:$E, E23)</f>
        <v>0.3082676399</v>
      </c>
      <c r="L23" s="5">
        <f>AVERAGEIFS('Data Combined - all-runs'!$L:$L, 'Data Combined - all-runs'!$A:$A, A23,'Data Combined - all-runs'!$B:$B, B23,'Data Combined - all-runs'!$C:$C, C23, 'Data Combined - all-runs'!$D:$D, D23, 'Data Combined - all-runs'!$E:$E, E23)</f>
        <v>8316.499239</v>
      </c>
      <c r="M23" s="5">
        <f>AVERAGEIFS('Data Combined - all-runs'!$M:$M, 'Data Combined - all-runs'!$A:$A, A23,'Data Combined - all-runs'!$B:$B, B23,'Data Combined - all-runs'!$C:$C, C23, 'Data Combined - all-runs'!$D:$D, D23, 'Data Combined - all-runs'!$E:$E, E23)</f>
        <v>24</v>
      </c>
      <c r="N23" s="5">
        <f>AVERAGEIFS('Data Combined - all-runs'!$N:$N, 'Data Combined - all-runs'!$A:$A, A23,'Data Combined - all-runs'!$B:$B, B23,'Data Combined - all-runs'!$C:$C, C23, 'Data Combined - all-runs'!$D:$D, D23, 'Data Combined - all-runs'!$E:$E, E23)</f>
        <v>1</v>
      </c>
      <c r="O23" s="5">
        <f>AVERAGEIFS('Data Combined - all-runs'!$O:$O, 'Data Combined - all-runs'!$A:$A, A23,'Data Combined - all-runs'!$B:$B, B23,'Data Combined - all-runs'!$C:$C, C23, 'Data Combined - all-runs'!$D:$D, D23, 'Data Combined - all-runs'!$E:$E, E23)</f>
        <v>524</v>
      </c>
      <c r="P23" s="5">
        <f>AVERAGEIFS('Data Combined - all-runs'!$P:$P, 'Data Combined - all-runs'!$A:$A, A23,'Data Combined - all-runs'!$B:$B, B23,'Data Combined - all-runs'!$C:$C, C23, 'Data Combined - all-runs'!$D:$D, D23, 'Data Combined - all-runs'!$E:$E, E23)</f>
        <v>1.824817518</v>
      </c>
      <c r="Q23" s="5">
        <f>AVERAGEIFS('Data Combined - all-runs'!$Q:$Q, 'Data Combined - all-runs'!$A:$A, A23,'Data Combined - all-runs'!$B:$B, B23,'Data Combined - all-runs'!$C:$C, C23, 'Data Combined - all-runs'!$D:$D, D23, 'Data Combined - all-runs'!$E:$E, E23)</f>
        <v>987.6131387</v>
      </c>
      <c r="R23" s="5">
        <f>AVERAGEIFS('Data Combined - all-runs'!$R:$R, 'Data Combined - all-runs'!$A:$A, A23,'Data Combined - all-runs'!$B:$B, B23,'Data Combined - all-runs'!$C:$C, C23, 'Data Combined - all-runs'!$D:$D, D23, 'Data Combined - all-runs'!$E:$E, E23)</f>
        <v>270.5</v>
      </c>
      <c r="S23" s="5">
        <f>AVERAGEIFS('Data Combined - all-runs'!$S:$S, 'Data Combined - all-runs'!$A:$A, A23,'Data Combined - all-runs'!$B:$B, B23,'Data Combined - all-runs'!$C:$C, C23, 'Data Combined - all-runs'!$D:$D, D23, 'Data Combined - all-runs'!$E:$E, E23)</f>
        <v>0.8450537691</v>
      </c>
      <c r="T23" s="5">
        <f>AVERAGEIFS('Data Combined - all-runs'!$T:$T, 'Data Combined - all-runs'!$A:$A, A23,'Data Combined - all-runs'!$B:$B, B23,'Data Combined - all-runs'!$C:$C, C23, 'Data Combined - all-runs'!$D:$D, D23, 'Data Combined - all-runs'!$E:$E, E23)</f>
        <v>0</v>
      </c>
      <c r="U23" s="5" t="b">
        <f t="shared" si="1"/>
        <v>0</v>
      </c>
      <c r="V23" s="5" t="b">
        <f t="shared" si="2"/>
        <v>0</v>
      </c>
      <c r="W23" s="5" t="b">
        <f t="shared" si="3"/>
        <v>1</v>
      </c>
    </row>
    <row r="24">
      <c r="A24" s="2" t="s">
        <v>32</v>
      </c>
      <c r="B24" s="2" t="s">
        <v>22</v>
      </c>
      <c r="C24" s="2" t="s">
        <v>23</v>
      </c>
      <c r="D24" s="2" t="s">
        <v>64</v>
      </c>
      <c r="E24" s="2" t="s">
        <v>47</v>
      </c>
      <c r="H24" s="5">
        <f>AVERAGEIFS('Data Combined - all-runs'!$H:$H, 'Data Combined - all-runs'!$A:$A, A24,'Data Combined - all-runs'!$B:$B, B24,'Data Combined - all-runs'!$C:$C, C24, 'Data Combined - all-runs'!$D:$D, D24, 'Data Combined - all-runs'!$E:$E, E24)</f>
        <v>1218.5</v>
      </c>
      <c r="I24" s="5">
        <f>AVERAGEIFS('Data Combined - all-runs'!$I:$I, 'Data Combined - all-runs'!$A:$A, A24,'Data Combined - all-runs'!$B:$B, B24,'Data Combined - all-runs'!$C:$C, C24, 'Data Combined - all-runs'!$D:$D, D24, 'Data Combined - all-runs'!$E:$E, E24)</f>
        <v>0</v>
      </c>
      <c r="J24" s="5">
        <f>AVERAGEIFS('Data Combined - all-runs'!$J:$J, 'Data Combined - all-runs'!$A:$A, A24,'Data Combined - all-runs'!$B:$B, B24,'Data Combined - all-runs'!$C:$C, C24, 'Data Combined - all-runs'!$D:$D, D24, 'Data Combined - all-runs'!$E:$E, E24)</f>
        <v>90.5</v>
      </c>
      <c r="K24" s="5">
        <f>AVERAGEIFS('Data Combined - all-runs'!$K:$K, 'Data Combined - all-runs'!$A:$A, A24,'Data Combined - all-runs'!$B:$B, B24,'Data Combined - all-runs'!$C:$C, C24, 'Data Combined - all-runs'!$D:$D, D24, 'Data Combined - all-runs'!$E:$E, E24)</f>
        <v>0.1196711934</v>
      </c>
      <c r="L24" s="5">
        <f>AVERAGEIFS('Data Combined - all-runs'!$L:$L, 'Data Combined - all-runs'!$A:$A, A24,'Data Combined - all-runs'!$B:$B, B24,'Data Combined - all-runs'!$C:$C, C24, 'Data Combined - all-runs'!$D:$D, D24, 'Data Combined - all-runs'!$E:$E, E24)</f>
        <v>14274.39522</v>
      </c>
      <c r="M24" s="5">
        <f>AVERAGEIFS('Data Combined - all-runs'!$M:$M, 'Data Combined - all-runs'!$A:$A, A24,'Data Combined - all-runs'!$B:$B, B24,'Data Combined - all-runs'!$C:$C, C24, 'Data Combined - all-runs'!$D:$D, D24, 'Data Combined - all-runs'!$E:$E, E24)</f>
        <v>52.5</v>
      </c>
      <c r="N24" s="5">
        <f>AVERAGEIFS('Data Combined - all-runs'!$N:$N, 'Data Combined - all-runs'!$A:$A, A24,'Data Combined - all-runs'!$B:$B, B24,'Data Combined - all-runs'!$C:$C, C24, 'Data Combined - all-runs'!$D:$D, D24, 'Data Combined - all-runs'!$E:$E, E24)</f>
        <v>9</v>
      </c>
      <c r="O24" s="5">
        <f>AVERAGEIFS('Data Combined - all-runs'!$O:$O, 'Data Combined - all-runs'!$A:$A, A24,'Data Combined - all-runs'!$B:$B, B24,'Data Combined - all-runs'!$C:$C, C24, 'Data Combined - all-runs'!$D:$D, D24, 'Data Combined - all-runs'!$E:$E, E24)</f>
        <v>1853</v>
      </c>
      <c r="P24" s="5">
        <f>AVERAGEIFS('Data Combined - all-runs'!$P:$P, 'Data Combined - all-runs'!$A:$A, A24,'Data Combined - all-runs'!$B:$B, B24,'Data Combined - all-runs'!$C:$C, C24, 'Data Combined - all-runs'!$D:$D, D24, 'Data Combined - all-runs'!$E:$E, E24)</f>
        <v>4.956375079</v>
      </c>
      <c r="Q24" s="5">
        <f>AVERAGEIFS('Data Combined - all-runs'!$Q:$Q, 'Data Combined - all-runs'!$A:$A, A24,'Data Combined - all-runs'!$B:$B, B24,'Data Combined - all-runs'!$C:$C, C24, 'Data Combined - all-runs'!$D:$D, D24, 'Data Combined - all-runs'!$E:$E, E24)</f>
        <v>655.6879689</v>
      </c>
      <c r="R24" s="5">
        <f>AVERAGEIFS('Data Combined - all-runs'!$R:$R, 'Data Combined - all-runs'!$A:$A, A24,'Data Combined - all-runs'!$B:$B, B24,'Data Combined - all-runs'!$C:$C, C24, 'Data Combined - all-runs'!$D:$D, D24, 'Data Combined - all-runs'!$E:$E, E24)</f>
        <v>133.7375</v>
      </c>
      <c r="S24" s="5">
        <f>AVERAGEIFS('Data Combined - all-runs'!$S:$S, 'Data Combined - all-runs'!$A:$A, A24,'Data Combined - all-runs'!$B:$B, B24,'Data Combined - all-runs'!$C:$C, C24, 'Data Combined - all-runs'!$D:$D, D24, 'Data Combined - all-runs'!$E:$E, E24)</f>
        <v>0.09516298633</v>
      </c>
      <c r="T24" s="5">
        <f>AVERAGEIFS('Data Combined - all-runs'!$T:$T, 'Data Combined - all-runs'!$A:$A, A24,'Data Combined - all-runs'!$B:$B, B24,'Data Combined - all-runs'!$C:$C, C24, 'Data Combined - all-runs'!$D:$D, D24, 'Data Combined - all-runs'!$E:$E, E24)</f>
        <v>0</v>
      </c>
      <c r="U24" s="5" t="b">
        <f t="shared" si="1"/>
        <v>0</v>
      </c>
      <c r="V24" s="5" t="b">
        <f t="shared" si="2"/>
        <v>0</v>
      </c>
      <c r="W24" s="5" t="b">
        <f t="shared" si="3"/>
        <v>1</v>
      </c>
    </row>
    <row r="25">
      <c r="A25" s="2" t="s">
        <v>32</v>
      </c>
      <c r="B25" s="2" t="s">
        <v>22</v>
      </c>
      <c r="C25" s="2" t="s">
        <v>23</v>
      </c>
      <c r="D25" s="2" t="s">
        <v>64</v>
      </c>
      <c r="E25" s="2" t="s">
        <v>51</v>
      </c>
      <c r="H25" s="5">
        <f>AVERAGEIFS('Data Combined - all-runs'!$H:$H, 'Data Combined - all-runs'!$A:$A, A25,'Data Combined - all-runs'!$B:$B, B25,'Data Combined - all-runs'!$C:$C, C25, 'Data Combined - all-runs'!$D:$D, D25, 'Data Combined - all-runs'!$E:$E, E25)</f>
        <v>428.5</v>
      </c>
      <c r="I25" s="5">
        <f>AVERAGEIFS('Data Combined - all-runs'!$I:$I, 'Data Combined - all-runs'!$A:$A, A25,'Data Combined - all-runs'!$B:$B, B25,'Data Combined - all-runs'!$C:$C, C25, 'Data Combined - all-runs'!$D:$D, D25, 'Data Combined - all-runs'!$E:$E, E25)</f>
        <v>0</v>
      </c>
      <c r="J25" s="5">
        <f>AVERAGEIFS('Data Combined - all-runs'!$J:$J, 'Data Combined - all-runs'!$A:$A, A25,'Data Combined - all-runs'!$B:$B, B25,'Data Combined - all-runs'!$C:$C, C25, 'Data Combined - all-runs'!$D:$D, D25, 'Data Combined - all-runs'!$E:$E, E25)</f>
        <v>38.5</v>
      </c>
      <c r="K25" s="5">
        <f>AVERAGEIFS('Data Combined - all-runs'!$K:$K, 'Data Combined - all-runs'!$A:$A, A25,'Data Combined - all-runs'!$B:$B, B25,'Data Combined - all-runs'!$C:$C, C25, 'Data Combined - all-runs'!$D:$D, D25, 'Data Combined - all-runs'!$E:$E, E25)</f>
        <v>0.0702063737</v>
      </c>
      <c r="L25" s="5">
        <f>AVERAGEIFS('Data Combined - all-runs'!$L:$L, 'Data Combined - all-runs'!$A:$A, A25,'Data Combined - all-runs'!$B:$B, B25,'Data Combined - all-runs'!$C:$C, C25, 'Data Combined - all-runs'!$D:$D, D25, 'Data Combined - all-runs'!$E:$E, E25)</f>
        <v>6193.481397</v>
      </c>
      <c r="M25" s="5">
        <f>AVERAGEIFS('Data Combined - all-runs'!$M:$M, 'Data Combined - all-runs'!$A:$A, A25,'Data Combined - all-runs'!$B:$B, B25,'Data Combined - all-runs'!$C:$C, C25, 'Data Combined - all-runs'!$D:$D, D25, 'Data Combined - all-runs'!$E:$E, E25)</f>
        <v>80.5</v>
      </c>
      <c r="N25" s="5">
        <f>AVERAGEIFS('Data Combined - all-runs'!$N:$N, 'Data Combined - all-runs'!$A:$A, A25,'Data Combined - all-runs'!$B:$B, B25,'Data Combined - all-runs'!$C:$C, C25, 'Data Combined - all-runs'!$D:$D, D25, 'Data Combined - all-runs'!$E:$E, E25)</f>
        <v>3</v>
      </c>
      <c r="O25" s="5">
        <f>AVERAGEIFS('Data Combined - all-runs'!$O:$O, 'Data Combined - all-runs'!$A:$A, A25,'Data Combined - all-runs'!$B:$B, B25,'Data Combined - all-runs'!$C:$C, C25, 'Data Combined - all-runs'!$D:$D, D25, 'Data Combined - all-runs'!$E:$E, E25)</f>
        <v>838</v>
      </c>
      <c r="P25" s="5">
        <f>AVERAGEIFS('Data Combined - all-runs'!$P:$P, 'Data Combined - all-runs'!$A:$A, A25,'Data Combined - all-runs'!$B:$B, B25,'Data Combined - all-runs'!$C:$C, C25, 'Data Combined - all-runs'!$D:$D, D25, 'Data Combined - all-runs'!$E:$E, E25)</f>
        <v>3.480608884</v>
      </c>
      <c r="Q25" s="5">
        <f>AVERAGEIFS('Data Combined - all-runs'!$Q:$Q, 'Data Combined - all-runs'!$A:$A, A25,'Data Combined - all-runs'!$B:$B, B25,'Data Combined - all-runs'!$C:$C, C25, 'Data Combined - all-runs'!$D:$D, D25, 'Data Combined - all-runs'!$E:$E, E25)</f>
        <v>484.5182636</v>
      </c>
      <c r="R25" s="5">
        <f>AVERAGEIFS('Data Combined - all-runs'!$R:$R, 'Data Combined - all-runs'!$A:$A, A25,'Data Combined - all-runs'!$B:$B, B25,'Data Combined - all-runs'!$C:$C, C25, 'Data Combined - all-runs'!$D:$D, D25, 'Data Combined - all-runs'!$E:$E, E25)</f>
        <v>136.5</v>
      </c>
      <c r="S25" s="5">
        <f>AVERAGEIFS('Data Combined - all-runs'!$S:$S, 'Data Combined - all-runs'!$A:$A, A25,'Data Combined - all-runs'!$B:$B, B25,'Data Combined - all-runs'!$C:$C, C25, 'Data Combined - all-runs'!$D:$D, D25, 'Data Combined - all-runs'!$E:$E, E25)</f>
        <v>0.06189710611</v>
      </c>
      <c r="T25" s="5">
        <f>AVERAGEIFS('Data Combined - all-runs'!$T:$T, 'Data Combined - all-runs'!$A:$A, A25,'Data Combined - all-runs'!$B:$B, B25,'Data Combined - all-runs'!$C:$C, C25, 'Data Combined - all-runs'!$D:$D, D25, 'Data Combined - all-runs'!$E:$E, E25)</f>
        <v>0</v>
      </c>
      <c r="U25" s="5" t="b">
        <f t="shared" si="1"/>
        <v>0</v>
      </c>
      <c r="V25" s="5" t="b">
        <f t="shared" si="2"/>
        <v>0</v>
      </c>
      <c r="W25" s="5" t="b">
        <f t="shared" si="3"/>
        <v>1</v>
      </c>
    </row>
    <row r="26">
      <c r="A26" s="2" t="s">
        <v>32</v>
      </c>
      <c r="B26" s="2" t="s">
        <v>22</v>
      </c>
      <c r="C26" s="2" t="s">
        <v>23</v>
      </c>
      <c r="D26" s="2" t="s">
        <v>102</v>
      </c>
      <c r="E26" s="2" t="s">
        <v>25</v>
      </c>
      <c r="H26" s="5">
        <f>AVERAGEIFS('Data Combined - all-runs'!$H:$H, 'Data Combined - all-runs'!$A:$A, A26,'Data Combined - all-runs'!$B:$B, B26,'Data Combined - all-runs'!$C:$C, C26, 'Data Combined - all-runs'!$D:$D, D26, 'Data Combined - all-runs'!$E:$E, E26)</f>
        <v>500</v>
      </c>
      <c r="I26" s="5">
        <f>AVERAGEIFS('Data Combined - all-runs'!$I:$I, 'Data Combined - all-runs'!$A:$A, A26,'Data Combined - all-runs'!$B:$B, B26,'Data Combined - all-runs'!$C:$C, C26, 'Data Combined - all-runs'!$D:$D, D26, 'Data Combined - all-runs'!$E:$E, E26)</f>
        <v>0</v>
      </c>
      <c r="J26" s="5">
        <f>AVERAGEIFS('Data Combined - all-runs'!$J:$J, 'Data Combined - all-runs'!$A:$A, A26,'Data Combined - all-runs'!$B:$B, B26,'Data Combined - all-runs'!$C:$C, C26, 'Data Combined - all-runs'!$D:$D, D26, 'Data Combined - all-runs'!$E:$E, E26)</f>
        <v>1000</v>
      </c>
      <c r="K26" s="5">
        <f>AVERAGEIFS('Data Combined - all-runs'!$K:$K, 'Data Combined - all-runs'!$A:$A, A26,'Data Combined - all-runs'!$B:$B, B26,'Data Combined - all-runs'!$C:$C, C26, 'Data Combined - all-runs'!$D:$D, D26, 'Data Combined - all-runs'!$E:$E, E26)</f>
        <v>0</v>
      </c>
      <c r="L26" s="5">
        <f>AVERAGEIFS('Data Combined - all-runs'!$L:$L, 'Data Combined - all-runs'!$A:$A, A26,'Data Combined - all-runs'!$B:$B, B26,'Data Combined - all-runs'!$C:$C, C26, 'Data Combined - all-runs'!$D:$D, D26, 'Data Combined - all-runs'!$E:$E, E26)</f>
        <v>30083.42439</v>
      </c>
      <c r="M26" s="5" t="str">
        <f>AVERAGEIFS('Data Combined - all-runs'!$M:$M, 'Data Combined - all-runs'!$A:$A, A26,'Data Combined - all-runs'!$B:$B, B26,'Data Combined - all-runs'!$C:$C, C26, 'Data Combined - all-runs'!$D:$D, D26, 'Data Combined - all-runs'!$E:$E, E26)</f>
        <v>#DIV/0!</v>
      </c>
      <c r="N26" s="5">
        <f>AVERAGEIFS('Data Combined - all-runs'!$N:$N, 'Data Combined - all-runs'!$A:$A, A26,'Data Combined - all-runs'!$B:$B, B26,'Data Combined - all-runs'!$C:$C, C26, 'Data Combined - all-runs'!$D:$D, D26, 'Data Combined - all-runs'!$E:$E, E26)</f>
        <v>0</v>
      </c>
      <c r="O26" s="5">
        <f>AVERAGEIFS('Data Combined - all-runs'!$O:$O, 'Data Combined - all-runs'!$A:$A, A26,'Data Combined - all-runs'!$B:$B, B26,'Data Combined - all-runs'!$C:$C, C26, 'Data Combined - all-runs'!$D:$D, D26, 'Data Combined - all-runs'!$E:$E, E26)</f>
        <v>500</v>
      </c>
      <c r="P26" s="5">
        <f>AVERAGEIFS('Data Combined - all-runs'!$P:$P, 'Data Combined - all-runs'!$A:$A, A26,'Data Combined - all-runs'!$B:$B, B26,'Data Combined - all-runs'!$C:$C, C26, 'Data Combined - all-runs'!$D:$D, D26, 'Data Combined - all-runs'!$E:$E, E26)</f>
        <v>0</v>
      </c>
      <c r="Q26" s="5">
        <f>AVERAGEIFS('Data Combined - all-runs'!$Q:$Q, 'Data Combined - all-runs'!$A:$A, A26,'Data Combined - all-runs'!$B:$B, B26,'Data Combined - all-runs'!$C:$C, C26, 'Data Combined - all-runs'!$D:$D, D26, 'Data Combined - all-runs'!$E:$E, E26)</f>
        <v>1000</v>
      </c>
      <c r="R26" s="5" t="str">
        <f>AVERAGEIFS('Data Combined - all-runs'!$R:$R, 'Data Combined - all-runs'!$A:$A, A26,'Data Combined - all-runs'!$B:$B, B26,'Data Combined - all-runs'!$C:$C, C26, 'Data Combined - all-runs'!$D:$D, D26, 'Data Combined - all-runs'!$E:$E, E26)</f>
        <v>#DIV/0!</v>
      </c>
      <c r="S26" s="5">
        <f>AVERAGEIFS('Data Combined - all-runs'!$S:$S, 'Data Combined - all-runs'!$A:$A, A26,'Data Combined - all-runs'!$B:$B, B26,'Data Combined - all-runs'!$C:$C, C26, 'Data Combined - all-runs'!$D:$D, D26, 'Data Combined - all-runs'!$E:$E, E26)</f>
        <v>2</v>
      </c>
      <c r="T26" s="5">
        <f>AVERAGEIFS('Data Combined - all-runs'!$T:$T, 'Data Combined - all-runs'!$A:$A, A26,'Data Combined - all-runs'!$B:$B, B26,'Data Combined - all-runs'!$C:$C, C26, 'Data Combined - all-runs'!$D:$D, D26, 'Data Combined - all-runs'!$E:$E, E26)</f>
        <v>0</v>
      </c>
      <c r="U26" s="5" t="b">
        <f t="shared" si="1"/>
        <v>0</v>
      </c>
      <c r="V26" s="5" t="b">
        <f t="shared" si="2"/>
        <v>0</v>
      </c>
      <c r="W26" s="5" t="b">
        <f t="shared" si="3"/>
        <v>1</v>
      </c>
    </row>
    <row r="27">
      <c r="A27" s="2" t="s">
        <v>32</v>
      </c>
      <c r="B27" s="2" t="s">
        <v>22</v>
      </c>
      <c r="C27" s="2" t="s">
        <v>23</v>
      </c>
      <c r="D27" s="2" t="s">
        <v>102</v>
      </c>
      <c r="E27" s="2" t="s">
        <v>39</v>
      </c>
      <c r="H27" s="5">
        <f>AVERAGEIFS('Data Combined - all-runs'!$H:$H, 'Data Combined - all-runs'!$A:$A, A27,'Data Combined - all-runs'!$B:$B, B27,'Data Combined - all-runs'!$C:$C, C27, 'Data Combined - all-runs'!$D:$D, D27, 'Data Combined - all-runs'!$E:$E, E27)</f>
        <v>500</v>
      </c>
      <c r="I27" s="5">
        <f>AVERAGEIFS('Data Combined - all-runs'!$I:$I, 'Data Combined - all-runs'!$A:$A, A27,'Data Combined - all-runs'!$B:$B, B27,'Data Combined - all-runs'!$C:$C, C27, 'Data Combined - all-runs'!$D:$D, D27, 'Data Combined - all-runs'!$E:$E, E27)</f>
        <v>0</v>
      </c>
      <c r="J27" s="5">
        <f>AVERAGEIFS('Data Combined - all-runs'!$J:$J, 'Data Combined - all-runs'!$A:$A, A27,'Data Combined - all-runs'!$B:$B, B27,'Data Combined - all-runs'!$C:$C, C27, 'Data Combined - all-runs'!$D:$D, D27, 'Data Combined - all-runs'!$E:$E, E27)</f>
        <v>2000</v>
      </c>
      <c r="K27" s="5">
        <f>AVERAGEIFS('Data Combined - all-runs'!$K:$K, 'Data Combined - all-runs'!$A:$A, A27,'Data Combined - all-runs'!$B:$B, B27,'Data Combined - all-runs'!$C:$C, C27, 'Data Combined - all-runs'!$D:$D, D27, 'Data Combined - all-runs'!$E:$E, E27)</f>
        <v>0</v>
      </c>
      <c r="L27" s="5">
        <f>AVERAGEIFS('Data Combined - all-runs'!$L:$L, 'Data Combined - all-runs'!$A:$A, A27,'Data Combined - all-runs'!$B:$B, B27,'Data Combined - all-runs'!$C:$C, C27, 'Data Combined - all-runs'!$D:$D, D27, 'Data Combined - all-runs'!$E:$E, E27)</f>
        <v>30133.4026</v>
      </c>
      <c r="M27" s="5" t="str">
        <f>AVERAGEIFS('Data Combined - all-runs'!$M:$M, 'Data Combined - all-runs'!$A:$A, A27,'Data Combined - all-runs'!$B:$B, B27,'Data Combined - all-runs'!$C:$C, C27, 'Data Combined - all-runs'!$D:$D, D27, 'Data Combined - all-runs'!$E:$E, E27)</f>
        <v>#DIV/0!</v>
      </c>
      <c r="N27" s="5">
        <f>AVERAGEIFS('Data Combined - all-runs'!$N:$N, 'Data Combined - all-runs'!$A:$A, A27,'Data Combined - all-runs'!$B:$B, B27,'Data Combined - all-runs'!$C:$C, C27, 'Data Combined - all-runs'!$D:$D, D27, 'Data Combined - all-runs'!$E:$E, E27)</f>
        <v>0</v>
      </c>
      <c r="O27" s="5">
        <f>AVERAGEIFS('Data Combined - all-runs'!$O:$O, 'Data Combined - all-runs'!$A:$A, A27,'Data Combined - all-runs'!$B:$B, B27,'Data Combined - all-runs'!$C:$C, C27, 'Data Combined - all-runs'!$D:$D, D27, 'Data Combined - all-runs'!$E:$E, E27)</f>
        <v>500</v>
      </c>
      <c r="P27" s="5">
        <f>AVERAGEIFS('Data Combined - all-runs'!$P:$P, 'Data Combined - all-runs'!$A:$A, A27,'Data Combined - all-runs'!$B:$B, B27,'Data Combined - all-runs'!$C:$C, C27, 'Data Combined - all-runs'!$D:$D, D27, 'Data Combined - all-runs'!$E:$E, E27)</f>
        <v>0</v>
      </c>
      <c r="Q27" s="5">
        <f>AVERAGEIFS('Data Combined - all-runs'!$Q:$Q, 'Data Combined - all-runs'!$A:$A, A27,'Data Combined - all-runs'!$B:$B, B27,'Data Combined - all-runs'!$C:$C, C27, 'Data Combined - all-runs'!$D:$D, D27, 'Data Combined - all-runs'!$E:$E, E27)</f>
        <v>1000</v>
      </c>
      <c r="R27" s="5" t="str">
        <f>AVERAGEIFS('Data Combined - all-runs'!$R:$R, 'Data Combined - all-runs'!$A:$A, A27,'Data Combined - all-runs'!$B:$B, B27,'Data Combined - all-runs'!$C:$C, C27, 'Data Combined - all-runs'!$D:$D, D27, 'Data Combined - all-runs'!$E:$E, E27)</f>
        <v>#DIV/0!</v>
      </c>
      <c r="S27" s="5">
        <f>AVERAGEIFS('Data Combined - all-runs'!$S:$S, 'Data Combined - all-runs'!$A:$A, A27,'Data Combined - all-runs'!$B:$B, B27,'Data Combined - all-runs'!$C:$C, C27, 'Data Combined - all-runs'!$D:$D, D27, 'Data Combined - all-runs'!$E:$E, E27)</f>
        <v>4</v>
      </c>
      <c r="T27" s="5">
        <f>AVERAGEIFS('Data Combined - all-runs'!$T:$T, 'Data Combined - all-runs'!$A:$A, A27,'Data Combined - all-runs'!$B:$B, B27,'Data Combined - all-runs'!$C:$C, C27, 'Data Combined - all-runs'!$D:$D, D27, 'Data Combined - all-runs'!$E:$E, E27)</f>
        <v>0</v>
      </c>
      <c r="U27" s="5" t="b">
        <f t="shared" si="1"/>
        <v>0</v>
      </c>
      <c r="V27" s="5" t="b">
        <f t="shared" si="2"/>
        <v>0</v>
      </c>
      <c r="W27" s="5" t="b">
        <f t="shared" si="3"/>
        <v>1</v>
      </c>
    </row>
    <row r="28">
      <c r="A28" s="2" t="s">
        <v>32</v>
      </c>
      <c r="B28" s="2" t="s">
        <v>22</v>
      </c>
      <c r="C28" s="2" t="s">
        <v>23</v>
      </c>
      <c r="D28" s="2" t="s">
        <v>102</v>
      </c>
      <c r="E28" s="2" t="s">
        <v>43</v>
      </c>
      <c r="H28" s="5">
        <f>AVERAGEIFS('Data Combined - all-runs'!$H:$H, 'Data Combined - all-runs'!$A:$A, A28,'Data Combined - all-runs'!$B:$B, B28,'Data Combined - all-runs'!$C:$C, C28, 'Data Combined - all-runs'!$D:$D, D28, 'Data Combined - all-runs'!$E:$E, E28)</f>
        <v>500</v>
      </c>
      <c r="I28" s="5">
        <f>AVERAGEIFS('Data Combined - all-runs'!$I:$I, 'Data Combined - all-runs'!$A:$A, A28,'Data Combined - all-runs'!$B:$B, B28,'Data Combined - all-runs'!$C:$C, C28, 'Data Combined - all-runs'!$D:$D, D28, 'Data Combined - all-runs'!$E:$E, E28)</f>
        <v>0</v>
      </c>
      <c r="J28" s="5">
        <f>AVERAGEIFS('Data Combined - all-runs'!$J:$J, 'Data Combined - all-runs'!$A:$A, A28,'Data Combined - all-runs'!$B:$B, B28,'Data Combined - all-runs'!$C:$C, C28, 'Data Combined - all-runs'!$D:$D, D28, 'Data Combined - all-runs'!$E:$E, E28)</f>
        <v>3000</v>
      </c>
      <c r="K28" s="5">
        <f>AVERAGEIFS('Data Combined - all-runs'!$K:$K, 'Data Combined - all-runs'!$A:$A, A28,'Data Combined - all-runs'!$B:$B, B28,'Data Combined - all-runs'!$C:$C, C28, 'Data Combined - all-runs'!$D:$D, D28, 'Data Combined - all-runs'!$E:$E, E28)</f>
        <v>0</v>
      </c>
      <c r="L28" s="5">
        <f>AVERAGEIFS('Data Combined - all-runs'!$L:$L, 'Data Combined - all-runs'!$A:$A, A28,'Data Combined - all-runs'!$B:$B, B28,'Data Combined - all-runs'!$C:$C, C28, 'Data Combined - all-runs'!$D:$D, D28, 'Data Combined - all-runs'!$E:$E, E28)</f>
        <v>30161.94316</v>
      </c>
      <c r="M28" s="5" t="str">
        <f>AVERAGEIFS('Data Combined - all-runs'!$M:$M, 'Data Combined - all-runs'!$A:$A, A28,'Data Combined - all-runs'!$B:$B, B28,'Data Combined - all-runs'!$C:$C, C28, 'Data Combined - all-runs'!$D:$D, D28, 'Data Combined - all-runs'!$E:$E, E28)</f>
        <v>#DIV/0!</v>
      </c>
      <c r="N28" s="5">
        <f>AVERAGEIFS('Data Combined - all-runs'!$N:$N, 'Data Combined - all-runs'!$A:$A, A28,'Data Combined - all-runs'!$B:$B, B28,'Data Combined - all-runs'!$C:$C, C28, 'Data Combined - all-runs'!$D:$D, D28, 'Data Combined - all-runs'!$E:$E, E28)</f>
        <v>0</v>
      </c>
      <c r="O28" s="5">
        <f>AVERAGEIFS('Data Combined - all-runs'!$O:$O, 'Data Combined - all-runs'!$A:$A, A28,'Data Combined - all-runs'!$B:$B, B28,'Data Combined - all-runs'!$C:$C, C28, 'Data Combined - all-runs'!$D:$D, D28, 'Data Combined - all-runs'!$E:$E, E28)</f>
        <v>500</v>
      </c>
      <c r="P28" s="5">
        <f>AVERAGEIFS('Data Combined - all-runs'!$P:$P, 'Data Combined - all-runs'!$A:$A, A28,'Data Combined - all-runs'!$B:$B, B28,'Data Combined - all-runs'!$C:$C, C28, 'Data Combined - all-runs'!$D:$D, D28, 'Data Combined - all-runs'!$E:$E, E28)</f>
        <v>0</v>
      </c>
      <c r="Q28" s="5">
        <f>AVERAGEIFS('Data Combined - all-runs'!$Q:$Q, 'Data Combined - all-runs'!$A:$A, A28,'Data Combined - all-runs'!$B:$B, B28,'Data Combined - all-runs'!$C:$C, C28, 'Data Combined - all-runs'!$D:$D, D28, 'Data Combined - all-runs'!$E:$E, E28)</f>
        <v>1000</v>
      </c>
      <c r="R28" s="5" t="str">
        <f>AVERAGEIFS('Data Combined - all-runs'!$R:$R, 'Data Combined - all-runs'!$A:$A, A28,'Data Combined - all-runs'!$B:$B, B28,'Data Combined - all-runs'!$C:$C, C28, 'Data Combined - all-runs'!$D:$D, D28, 'Data Combined - all-runs'!$E:$E, E28)</f>
        <v>#DIV/0!</v>
      </c>
      <c r="S28" s="5">
        <f>AVERAGEIFS('Data Combined - all-runs'!$S:$S, 'Data Combined - all-runs'!$A:$A, A28,'Data Combined - all-runs'!$B:$B, B28,'Data Combined - all-runs'!$C:$C, C28, 'Data Combined - all-runs'!$D:$D, D28, 'Data Combined - all-runs'!$E:$E, E28)</f>
        <v>6</v>
      </c>
      <c r="T28" s="5">
        <f>AVERAGEIFS('Data Combined - all-runs'!$T:$T, 'Data Combined - all-runs'!$A:$A, A28,'Data Combined - all-runs'!$B:$B, B28,'Data Combined - all-runs'!$C:$C, C28, 'Data Combined - all-runs'!$D:$D, D28, 'Data Combined - all-runs'!$E:$E, E28)</f>
        <v>0</v>
      </c>
      <c r="U28" s="5" t="b">
        <f t="shared" si="1"/>
        <v>0</v>
      </c>
      <c r="V28" s="5" t="b">
        <f t="shared" si="2"/>
        <v>0</v>
      </c>
      <c r="W28" s="5" t="b">
        <f t="shared" si="3"/>
        <v>1</v>
      </c>
    </row>
    <row r="29">
      <c r="A29" s="2" t="s">
        <v>32</v>
      </c>
      <c r="B29" s="2" t="s">
        <v>22</v>
      </c>
      <c r="C29" s="2" t="s">
        <v>23</v>
      </c>
      <c r="D29" s="2" t="s">
        <v>102</v>
      </c>
      <c r="E29" s="2" t="s">
        <v>34</v>
      </c>
      <c r="H29" s="5">
        <f>AVERAGEIFS('Data Combined - all-runs'!$H:$H, 'Data Combined - all-runs'!$A:$A, A29,'Data Combined - all-runs'!$B:$B, B29,'Data Combined - all-runs'!$C:$C, C29, 'Data Combined - all-runs'!$D:$D, D29, 'Data Combined - all-runs'!$E:$E, E29)</f>
        <v>500</v>
      </c>
      <c r="I29" s="5">
        <f>AVERAGEIFS('Data Combined - all-runs'!$I:$I, 'Data Combined - all-runs'!$A:$A, A29,'Data Combined - all-runs'!$B:$B, B29,'Data Combined - all-runs'!$C:$C, C29, 'Data Combined - all-runs'!$D:$D, D29, 'Data Combined - all-runs'!$E:$E, E29)</f>
        <v>0</v>
      </c>
      <c r="J29" s="5">
        <f>AVERAGEIFS('Data Combined - all-runs'!$J:$J, 'Data Combined - all-runs'!$A:$A, A29,'Data Combined - all-runs'!$B:$B, B29,'Data Combined - all-runs'!$C:$C, C29, 'Data Combined - all-runs'!$D:$D, D29, 'Data Combined - all-runs'!$E:$E, E29)</f>
        <v>3000</v>
      </c>
      <c r="K29" s="5">
        <f>AVERAGEIFS('Data Combined - all-runs'!$K:$K, 'Data Combined - all-runs'!$A:$A, A29,'Data Combined - all-runs'!$B:$B, B29,'Data Combined - all-runs'!$C:$C, C29, 'Data Combined - all-runs'!$D:$D, D29, 'Data Combined - all-runs'!$E:$E, E29)</f>
        <v>0</v>
      </c>
      <c r="L29" s="5">
        <f>AVERAGEIFS('Data Combined - all-runs'!$L:$L, 'Data Combined - all-runs'!$A:$A, A29,'Data Combined - all-runs'!$B:$B, B29,'Data Combined - all-runs'!$C:$C, C29, 'Data Combined - all-runs'!$D:$D, D29, 'Data Combined - all-runs'!$E:$E, E29)</f>
        <v>30169.54934</v>
      </c>
      <c r="M29" s="5" t="str">
        <f>AVERAGEIFS('Data Combined - all-runs'!$M:$M, 'Data Combined - all-runs'!$A:$A, A29,'Data Combined - all-runs'!$B:$B, B29,'Data Combined - all-runs'!$C:$C, C29, 'Data Combined - all-runs'!$D:$D, D29, 'Data Combined - all-runs'!$E:$E, E29)</f>
        <v>#DIV/0!</v>
      </c>
      <c r="N29" s="5">
        <f>AVERAGEIFS('Data Combined - all-runs'!$N:$N, 'Data Combined - all-runs'!$A:$A, A29,'Data Combined - all-runs'!$B:$B, B29,'Data Combined - all-runs'!$C:$C, C29, 'Data Combined - all-runs'!$D:$D, D29, 'Data Combined - all-runs'!$E:$E, E29)</f>
        <v>0</v>
      </c>
      <c r="O29" s="5">
        <f>AVERAGEIFS('Data Combined - all-runs'!$O:$O, 'Data Combined - all-runs'!$A:$A, A29,'Data Combined - all-runs'!$B:$B, B29,'Data Combined - all-runs'!$C:$C, C29, 'Data Combined - all-runs'!$D:$D, D29, 'Data Combined - all-runs'!$E:$E, E29)</f>
        <v>500</v>
      </c>
      <c r="P29" s="5">
        <f>AVERAGEIFS('Data Combined - all-runs'!$P:$P, 'Data Combined - all-runs'!$A:$A, A29,'Data Combined - all-runs'!$B:$B, B29,'Data Combined - all-runs'!$C:$C, C29, 'Data Combined - all-runs'!$D:$D, D29, 'Data Combined - all-runs'!$E:$E, E29)</f>
        <v>0</v>
      </c>
      <c r="Q29" s="5">
        <f>AVERAGEIFS('Data Combined - all-runs'!$Q:$Q, 'Data Combined - all-runs'!$A:$A, A29,'Data Combined - all-runs'!$B:$B, B29,'Data Combined - all-runs'!$C:$C, C29, 'Data Combined - all-runs'!$D:$D, D29, 'Data Combined - all-runs'!$E:$E, E29)</f>
        <v>1000</v>
      </c>
      <c r="R29" s="5" t="str">
        <f>AVERAGEIFS('Data Combined - all-runs'!$R:$R, 'Data Combined - all-runs'!$A:$A, A29,'Data Combined - all-runs'!$B:$B, B29,'Data Combined - all-runs'!$C:$C, C29, 'Data Combined - all-runs'!$D:$D, D29, 'Data Combined - all-runs'!$E:$E, E29)</f>
        <v>#DIV/0!</v>
      </c>
      <c r="S29" s="5">
        <f>AVERAGEIFS('Data Combined - all-runs'!$S:$S, 'Data Combined - all-runs'!$A:$A, A29,'Data Combined - all-runs'!$B:$B, B29,'Data Combined - all-runs'!$C:$C, C29, 'Data Combined - all-runs'!$D:$D, D29, 'Data Combined - all-runs'!$E:$E, E29)</f>
        <v>6</v>
      </c>
      <c r="T29" s="5">
        <f>AVERAGEIFS('Data Combined - all-runs'!$T:$T, 'Data Combined - all-runs'!$A:$A, A29,'Data Combined - all-runs'!$B:$B, B29,'Data Combined - all-runs'!$C:$C, C29, 'Data Combined - all-runs'!$D:$D, D29, 'Data Combined - all-runs'!$E:$E, E29)</f>
        <v>0</v>
      </c>
      <c r="U29" s="5" t="b">
        <f t="shared" si="1"/>
        <v>0</v>
      </c>
      <c r="V29" s="5" t="b">
        <f t="shared" si="2"/>
        <v>0</v>
      </c>
      <c r="W29" s="5" t="b">
        <f t="shared" si="3"/>
        <v>1</v>
      </c>
    </row>
    <row r="30">
      <c r="A30" s="2" t="s">
        <v>32</v>
      </c>
      <c r="B30" s="2" t="s">
        <v>22</v>
      </c>
      <c r="C30" s="2" t="s">
        <v>23</v>
      </c>
      <c r="D30" s="2" t="s">
        <v>102</v>
      </c>
      <c r="E30" s="2" t="s">
        <v>47</v>
      </c>
      <c r="H30" s="5">
        <f>AVERAGEIFS('Data Combined - all-runs'!$H:$H, 'Data Combined - all-runs'!$A:$A, A30,'Data Combined - all-runs'!$B:$B, B30,'Data Combined - all-runs'!$C:$C, C30, 'Data Combined - all-runs'!$D:$D, D30, 'Data Combined - all-runs'!$E:$E, E30)</f>
        <v>500</v>
      </c>
      <c r="I30" s="5">
        <f>AVERAGEIFS('Data Combined - all-runs'!$I:$I, 'Data Combined - all-runs'!$A:$A, A30,'Data Combined - all-runs'!$B:$B, B30,'Data Combined - all-runs'!$C:$C, C30, 'Data Combined - all-runs'!$D:$D, D30, 'Data Combined - all-runs'!$E:$E, E30)</f>
        <v>0</v>
      </c>
      <c r="J30" s="5">
        <f>AVERAGEIFS('Data Combined - all-runs'!$J:$J, 'Data Combined - all-runs'!$A:$A, A30,'Data Combined - all-runs'!$B:$B, B30,'Data Combined - all-runs'!$C:$C, C30, 'Data Combined - all-runs'!$D:$D, D30, 'Data Combined - all-runs'!$E:$E, E30)</f>
        <v>4000</v>
      </c>
      <c r="K30" s="5">
        <f>AVERAGEIFS('Data Combined - all-runs'!$K:$K, 'Data Combined - all-runs'!$A:$A, A30,'Data Combined - all-runs'!$B:$B, B30,'Data Combined - all-runs'!$C:$C, C30, 'Data Combined - all-runs'!$D:$D, D30, 'Data Combined - all-runs'!$E:$E, E30)</f>
        <v>0</v>
      </c>
      <c r="L30" s="5">
        <f>AVERAGEIFS('Data Combined - all-runs'!$L:$L, 'Data Combined - all-runs'!$A:$A, A30,'Data Combined - all-runs'!$B:$B, B30,'Data Combined - all-runs'!$C:$C, C30, 'Data Combined - all-runs'!$D:$D, D30, 'Data Combined - all-runs'!$E:$E, E30)</f>
        <v>30311.79504</v>
      </c>
      <c r="M30" s="5" t="str">
        <f>AVERAGEIFS('Data Combined - all-runs'!$M:$M, 'Data Combined - all-runs'!$A:$A, A30,'Data Combined - all-runs'!$B:$B, B30,'Data Combined - all-runs'!$C:$C, C30, 'Data Combined - all-runs'!$D:$D, D30, 'Data Combined - all-runs'!$E:$E, E30)</f>
        <v>#DIV/0!</v>
      </c>
      <c r="N30" s="5">
        <f>AVERAGEIFS('Data Combined - all-runs'!$N:$N, 'Data Combined - all-runs'!$A:$A, A30,'Data Combined - all-runs'!$B:$B, B30,'Data Combined - all-runs'!$C:$C, C30, 'Data Combined - all-runs'!$D:$D, D30, 'Data Combined - all-runs'!$E:$E, E30)</f>
        <v>0</v>
      </c>
      <c r="O30" s="5">
        <f>AVERAGEIFS('Data Combined - all-runs'!$O:$O, 'Data Combined - all-runs'!$A:$A, A30,'Data Combined - all-runs'!$B:$B, B30,'Data Combined - all-runs'!$C:$C, C30, 'Data Combined - all-runs'!$D:$D, D30, 'Data Combined - all-runs'!$E:$E, E30)</f>
        <v>500</v>
      </c>
      <c r="P30" s="5">
        <f>AVERAGEIFS('Data Combined - all-runs'!$P:$P, 'Data Combined - all-runs'!$A:$A, A30,'Data Combined - all-runs'!$B:$B, B30,'Data Combined - all-runs'!$C:$C, C30, 'Data Combined - all-runs'!$D:$D, D30, 'Data Combined - all-runs'!$E:$E, E30)</f>
        <v>0</v>
      </c>
      <c r="Q30" s="5">
        <f>AVERAGEIFS('Data Combined - all-runs'!$Q:$Q, 'Data Combined - all-runs'!$A:$A, A30,'Data Combined - all-runs'!$B:$B, B30,'Data Combined - all-runs'!$C:$C, C30, 'Data Combined - all-runs'!$D:$D, D30, 'Data Combined - all-runs'!$E:$E, E30)</f>
        <v>1000</v>
      </c>
      <c r="R30" s="5" t="str">
        <f>AVERAGEIFS('Data Combined - all-runs'!$R:$R, 'Data Combined - all-runs'!$A:$A, A30,'Data Combined - all-runs'!$B:$B, B30,'Data Combined - all-runs'!$C:$C, C30, 'Data Combined - all-runs'!$D:$D, D30, 'Data Combined - all-runs'!$E:$E, E30)</f>
        <v>#DIV/0!</v>
      </c>
      <c r="S30" s="5">
        <f>AVERAGEIFS('Data Combined - all-runs'!$S:$S, 'Data Combined - all-runs'!$A:$A, A30,'Data Combined - all-runs'!$B:$B, B30,'Data Combined - all-runs'!$C:$C, C30, 'Data Combined - all-runs'!$D:$D, D30, 'Data Combined - all-runs'!$E:$E, E30)</f>
        <v>8</v>
      </c>
      <c r="T30" s="5">
        <f>AVERAGEIFS('Data Combined - all-runs'!$T:$T, 'Data Combined - all-runs'!$A:$A, A30,'Data Combined - all-runs'!$B:$B, B30,'Data Combined - all-runs'!$C:$C, C30, 'Data Combined - all-runs'!$D:$D, D30, 'Data Combined - all-runs'!$E:$E, E30)</f>
        <v>0</v>
      </c>
      <c r="U30" s="5" t="b">
        <f t="shared" si="1"/>
        <v>0</v>
      </c>
      <c r="V30" s="5" t="b">
        <f t="shared" si="2"/>
        <v>0</v>
      </c>
      <c r="W30" s="5" t="b">
        <f t="shared" si="3"/>
        <v>1</v>
      </c>
    </row>
    <row r="31">
      <c r="A31" s="2" t="s">
        <v>32</v>
      </c>
      <c r="B31" s="2" t="s">
        <v>22</v>
      </c>
      <c r="C31" s="2" t="s">
        <v>23</v>
      </c>
      <c r="D31" s="2" t="s">
        <v>102</v>
      </c>
      <c r="E31" s="2" t="s">
        <v>51</v>
      </c>
      <c r="H31" s="5">
        <f>AVERAGEIFS('Data Combined - all-runs'!$H:$H, 'Data Combined - all-runs'!$A:$A, A31,'Data Combined - all-runs'!$B:$B, B31,'Data Combined - all-runs'!$C:$C, C31, 'Data Combined - all-runs'!$D:$D, D31, 'Data Combined - all-runs'!$E:$E, E31)</f>
        <v>500</v>
      </c>
      <c r="I31" s="5">
        <f>AVERAGEIFS('Data Combined - all-runs'!$I:$I, 'Data Combined - all-runs'!$A:$A, A31,'Data Combined - all-runs'!$B:$B, B31,'Data Combined - all-runs'!$C:$C, C31, 'Data Combined - all-runs'!$D:$D, D31, 'Data Combined - all-runs'!$E:$E, E31)</f>
        <v>0</v>
      </c>
      <c r="J31" s="5">
        <f>AVERAGEIFS('Data Combined - all-runs'!$J:$J, 'Data Combined - all-runs'!$A:$A, A31,'Data Combined - all-runs'!$B:$B, B31,'Data Combined - all-runs'!$C:$C, C31, 'Data Combined - all-runs'!$D:$D, D31, 'Data Combined - all-runs'!$E:$E, E31)</f>
        <v>4000</v>
      </c>
      <c r="K31" s="5">
        <f>AVERAGEIFS('Data Combined - all-runs'!$K:$K, 'Data Combined - all-runs'!$A:$A, A31,'Data Combined - all-runs'!$B:$B, B31,'Data Combined - all-runs'!$C:$C, C31, 'Data Combined - all-runs'!$D:$D, D31, 'Data Combined - all-runs'!$E:$E, E31)</f>
        <v>0</v>
      </c>
      <c r="L31" s="5">
        <f>AVERAGEIFS('Data Combined - all-runs'!$L:$L, 'Data Combined - all-runs'!$A:$A, A31,'Data Combined - all-runs'!$B:$B, B31,'Data Combined - all-runs'!$C:$C, C31, 'Data Combined - all-runs'!$D:$D, D31, 'Data Combined - all-runs'!$E:$E, E31)</f>
        <v>30284.30789</v>
      </c>
      <c r="M31" s="5" t="str">
        <f>AVERAGEIFS('Data Combined - all-runs'!$M:$M, 'Data Combined - all-runs'!$A:$A, A31,'Data Combined - all-runs'!$B:$B, B31,'Data Combined - all-runs'!$C:$C, C31, 'Data Combined - all-runs'!$D:$D, D31, 'Data Combined - all-runs'!$E:$E, E31)</f>
        <v>#DIV/0!</v>
      </c>
      <c r="N31" s="5">
        <f>AVERAGEIFS('Data Combined - all-runs'!$N:$N, 'Data Combined - all-runs'!$A:$A, A31,'Data Combined - all-runs'!$B:$B, B31,'Data Combined - all-runs'!$C:$C, C31, 'Data Combined - all-runs'!$D:$D, D31, 'Data Combined - all-runs'!$E:$E, E31)</f>
        <v>0</v>
      </c>
      <c r="O31" s="5">
        <f>AVERAGEIFS('Data Combined - all-runs'!$O:$O, 'Data Combined - all-runs'!$A:$A, A31,'Data Combined - all-runs'!$B:$B, B31,'Data Combined - all-runs'!$C:$C, C31, 'Data Combined - all-runs'!$D:$D, D31, 'Data Combined - all-runs'!$E:$E, E31)</f>
        <v>500</v>
      </c>
      <c r="P31" s="5">
        <f>AVERAGEIFS('Data Combined - all-runs'!$P:$P, 'Data Combined - all-runs'!$A:$A, A31,'Data Combined - all-runs'!$B:$B, B31,'Data Combined - all-runs'!$C:$C, C31, 'Data Combined - all-runs'!$D:$D, D31, 'Data Combined - all-runs'!$E:$E, E31)</f>
        <v>0</v>
      </c>
      <c r="Q31" s="5">
        <f>AVERAGEIFS('Data Combined - all-runs'!$Q:$Q, 'Data Combined - all-runs'!$A:$A, A31,'Data Combined - all-runs'!$B:$B, B31,'Data Combined - all-runs'!$C:$C, C31, 'Data Combined - all-runs'!$D:$D, D31, 'Data Combined - all-runs'!$E:$E, E31)</f>
        <v>1000</v>
      </c>
      <c r="R31" s="5" t="str">
        <f>AVERAGEIFS('Data Combined - all-runs'!$R:$R, 'Data Combined - all-runs'!$A:$A, A31,'Data Combined - all-runs'!$B:$B, B31,'Data Combined - all-runs'!$C:$C, C31, 'Data Combined - all-runs'!$D:$D, D31, 'Data Combined - all-runs'!$E:$E, E31)</f>
        <v>#DIV/0!</v>
      </c>
      <c r="S31" s="5">
        <f>AVERAGEIFS('Data Combined - all-runs'!$S:$S, 'Data Combined - all-runs'!$A:$A, A31,'Data Combined - all-runs'!$B:$B, B31,'Data Combined - all-runs'!$C:$C, C31, 'Data Combined - all-runs'!$D:$D, D31, 'Data Combined - all-runs'!$E:$E, E31)</f>
        <v>8</v>
      </c>
      <c r="T31" s="5">
        <f>AVERAGEIFS('Data Combined - all-runs'!$T:$T, 'Data Combined - all-runs'!$A:$A, A31,'Data Combined - all-runs'!$B:$B, B31,'Data Combined - all-runs'!$C:$C, C31, 'Data Combined - all-runs'!$D:$D, D31, 'Data Combined - all-runs'!$E:$E, E31)</f>
        <v>0</v>
      </c>
      <c r="U31" s="5" t="b">
        <f t="shared" si="1"/>
        <v>0</v>
      </c>
      <c r="V31" s="5" t="b">
        <f t="shared" si="2"/>
        <v>0</v>
      </c>
      <c r="W31" s="5" t="b">
        <f t="shared" si="3"/>
        <v>1</v>
      </c>
    </row>
    <row r="32">
      <c r="A32" s="2" t="s">
        <v>32</v>
      </c>
      <c r="B32" s="2" t="s">
        <v>22</v>
      </c>
      <c r="C32" s="2" t="s">
        <v>23</v>
      </c>
      <c r="D32" s="2" t="s">
        <v>118</v>
      </c>
      <c r="E32" s="2" t="s">
        <v>25</v>
      </c>
      <c r="H32" s="5">
        <f>AVERAGEIFS('Data Combined - all-runs'!$H:$H, 'Data Combined - all-runs'!$A:$A, A32,'Data Combined - all-runs'!$B:$B, B32,'Data Combined - all-runs'!$C:$C, C32, 'Data Combined - all-runs'!$D:$D, D32, 'Data Combined - all-runs'!$E:$E, E32)</f>
        <v>731</v>
      </c>
      <c r="I32" s="5">
        <f>AVERAGEIFS('Data Combined - all-runs'!$I:$I, 'Data Combined - all-runs'!$A:$A, A32,'Data Combined - all-runs'!$B:$B, B32,'Data Combined - all-runs'!$C:$C, C32, 'Data Combined - all-runs'!$D:$D, D32, 'Data Combined - all-runs'!$E:$E, E32)</f>
        <v>0</v>
      </c>
      <c r="J32" s="5">
        <f>AVERAGEIFS('Data Combined - all-runs'!$J:$J, 'Data Combined - all-runs'!$A:$A, A32,'Data Combined - all-runs'!$B:$B, B32,'Data Combined - all-runs'!$C:$C, C32, 'Data Combined - all-runs'!$D:$D, D32, 'Data Combined - all-runs'!$E:$E, E32)</f>
        <v>0</v>
      </c>
      <c r="K32" s="5">
        <f>AVERAGEIFS('Data Combined - all-runs'!$K:$K, 'Data Combined - all-runs'!$A:$A, A32,'Data Combined - all-runs'!$B:$B, B32,'Data Combined - all-runs'!$C:$C, C32, 'Data Combined - all-runs'!$D:$D, D32, 'Data Combined - all-runs'!$E:$E, E32)</f>
        <v>0.3147023086</v>
      </c>
      <c r="L32" s="5">
        <f>AVERAGEIFS('Data Combined - all-runs'!$L:$L, 'Data Combined - all-runs'!$A:$A, A32,'Data Combined - all-runs'!$B:$B, B32,'Data Combined - all-runs'!$C:$C, C32, 'Data Combined - all-runs'!$D:$D, D32, 'Data Combined - all-runs'!$E:$E, E32)</f>
        <v>1874.594331</v>
      </c>
      <c r="M32" s="5">
        <f>AVERAGEIFS('Data Combined - all-runs'!$M:$M, 'Data Combined - all-runs'!$A:$A, A32,'Data Combined - all-runs'!$B:$B, B32,'Data Combined - all-runs'!$C:$C, C32, 'Data Combined - all-runs'!$D:$D, D32, 'Data Combined - all-runs'!$E:$E, E32)</f>
        <v>59</v>
      </c>
      <c r="N32" s="5">
        <f>AVERAGEIFS('Data Combined - all-runs'!$N:$N, 'Data Combined - all-runs'!$A:$A, A32,'Data Combined - all-runs'!$B:$B, B32,'Data Combined - all-runs'!$C:$C, C32, 'Data Combined - all-runs'!$D:$D, D32, 'Data Combined - all-runs'!$E:$E, E32)</f>
        <v>4</v>
      </c>
      <c r="O32" s="5">
        <f>AVERAGEIFS('Data Combined - all-runs'!$O:$O, 'Data Combined - all-runs'!$A:$A, A32,'Data Combined - all-runs'!$B:$B, B32,'Data Combined - all-runs'!$C:$C, C32, 'Data Combined - all-runs'!$D:$D, D32, 'Data Combined - all-runs'!$E:$E, E32)</f>
        <v>823</v>
      </c>
      <c r="P32" s="5">
        <f>AVERAGEIFS('Data Combined - all-runs'!$P:$P, 'Data Combined - all-runs'!$A:$A, A32,'Data Combined - all-runs'!$B:$B, B32,'Data Combined - all-runs'!$C:$C, C32, 'Data Combined - all-runs'!$D:$D, D32, 'Data Combined - all-runs'!$E:$E, E32)</f>
        <v>4.860267315</v>
      </c>
      <c r="Q32" s="5">
        <f>AVERAGEIFS('Data Combined - all-runs'!$Q:$Q, 'Data Combined - all-runs'!$A:$A, A32,'Data Combined - all-runs'!$B:$B, B32,'Data Combined - all-runs'!$C:$C, C32, 'Data Combined - all-runs'!$D:$D, D32, 'Data Combined - all-runs'!$E:$E, E32)</f>
        <v>888.2138518</v>
      </c>
      <c r="R32" s="5">
        <f>AVERAGEIFS('Data Combined - all-runs'!$R:$R, 'Data Combined - all-runs'!$A:$A, A32,'Data Combined - all-runs'!$B:$B, B32,'Data Combined - all-runs'!$C:$C, C32, 'Data Combined - all-runs'!$D:$D, D32, 'Data Combined - all-runs'!$E:$E, E32)</f>
        <v>182.75</v>
      </c>
      <c r="S32" s="5">
        <f>AVERAGEIFS('Data Combined - all-runs'!$S:$S, 'Data Combined - all-runs'!$A:$A, A32,'Data Combined - all-runs'!$B:$B, B32,'Data Combined - all-runs'!$C:$C, C32, 'Data Combined - all-runs'!$D:$D, D32, 'Data Combined - all-runs'!$E:$E, E32)</f>
        <v>0</v>
      </c>
      <c r="T32" s="5">
        <f>AVERAGEIFS('Data Combined - all-runs'!$T:$T, 'Data Combined - all-runs'!$A:$A, A32,'Data Combined - all-runs'!$B:$B, B32,'Data Combined - all-runs'!$C:$C, C32, 'Data Combined - all-runs'!$D:$D, D32, 'Data Combined - all-runs'!$E:$E, E32)</f>
        <v>0</v>
      </c>
      <c r="U32" s="5" t="b">
        <f t="shared" si="1"/>
        <v>0</v>
      </c>
      <c r="V32" s="5" t="b">
        <f t="shared" si="2"/>
        <v>0</v>
      </c>
      <c r="W32" s="5" t="b">
        <f t="shared" si="3"/>
        <v>1</v>
      </c>
    </row>
    <row r="33">
      <c r="A33" s="2" t="s">
        <v>32</v>
      </c>
      <c r="B33" s="2" t="s">
        <v>22</v>
      </c>
      <c r="C33" s="2" t="s">
        <v>23</v>
      </c>
      <c r="D33" s="2" t="s">
        <v>118</v>
      </c>
      <c r="E33" s="2" t="s">
        <v>39</v>
      </c>
      <c r="H33" s="5">
        <f>AVERAGEIFS('Data Combined - all-runs'!$H:$H, 'Data Combined - all-runs'!$A:$A, A33,'Data Combined - all-runs'!$B:$B, B33,'Data Combined - all-runs'!$C:$C, C33, 'Data Combined - all-runs'!$D:$D, D33, 'Data Combined - all-runs'!$E:$E, E33)</f>
        <v>679</v>
      </c>
      <c r="I33" s="5">
        <f>AVERAGEIFS('Data Combined - all-runs'!$I:$I, 'Data Combined - all-runs'!$A:$A, A33,'Data Combined - all-runs'!$B:$B, B33,'Data Combined - all-runs'!$C:$C, C33, 'Data Combined - all-runs'!$D:$D, D33, 'Data Combined - all-runs'!$E:$E, E33)</f>
        <v>0</v>
      </c>
      <c r="J33" s="5">
        <f>AVERAGEIFS('Data Combined - all-runs'!$J:$J, 'Data Combined - all-runs'!$A:$A, A33,'Data Combined - all-runs'!$B:$B, B33,'Data Combined - all-runs'!$C:$C, C33, 'Data Combined - all-runs'!$D:$D, D33, 'Data Combined - all-runs'!$E:$E, E33)</f>
        <v>0</v>
      </c>
      <c r="K33" s="5">
        <f>AVERAGEIFS('Data Combined - all-runs'!$K:$K, 'Data Combined - all-runs'!$A:$A, A33,'Data Combined - all-runs'!$B:$B, B33,'Data Combined - all-runs'!$C:$C, C33, 'Data Combined - all-runs'!$D:$D, D33, 'Data Combined - all-runs'!$E:$E, E33)</f>
        <v>0.288209607</v>
      </c>
      <c r="L33" s="5">
        <f>AVERAGEIFS('Data Combined - all-runs'!$L:$L, 'Data Combined - all-runs'!$A:$A, A33,'Data Combined - all-runs'!$B:$B, B33,'Data Combined - all-runs'!$C:$C, C33, 'Data Combined - all-runs'!$D:$D, D33, 'Data Combined - all-runs'!$E:$E, E33)</f>
        <v>2413.796509</v>
      </c>
      <c r="M33" s="5">
        <f>AVERAGEIFS('Data Combined - all-runs'!$M:$M, 'Data Combined - all-runs'!$A:$A, A33,'Data Combined - all-runs'!$B:$B, B33,'Data Combined - all-runs'!$C:$C, C33, 'Data Combined - all-runs'!$D:$D, D33, 'Data Combined - all-runs'!$E:$E, E33)</f>
        <v>70</v>
      </c>
      <c r="N33" s="5">
        <f>AVERAGEIFS('Data Combined - all-runs'!$N:$N, 'Data Combined - all-runs'!$A:$A, A33,'Data Combined - all-runs'!$B:$B, B33,'Data Combined - all-runs'!$C:$C, C33, 'Data Combined - all-runs'!$D:$D, D33, 'Data Combined - all-runs'!$E:$E, E33)</f>
        <v>3</v>
      </c>
      <c r="O33" s="5">
        <f>AVERAGEIFS('Data Combined - all-runs'!$O:$O, 'Data Combined - all-runs'!$A:$A, A33,'Data Combined - all-runs'!$B:$B, B33,'Data Combined - all-runs'!$C:$C, C33, 'Data Combined - all-runs'!$D:$D, D33, 'Data Combined - all-runs'!$E:$E, E33)</f>
        <v>916</v>
      </c>
      <c r="P33" s="5">
        <f>AVERAGEIFS('Data Combined - all-runs'!$P:$P, 'Data Combined - all-runs'!$A:$A, A33,'Data Combined - all-runs'!$B:$B, B33,'Data Combined - all-runs'!$C:$C, C33, 'Data Combined - all-runs'!$D:$D, D33, 'Data Combined - all-runs'!$E:$E, E33)</f>
        <v>3.27510917</v>
      </c>
      <c r="Q33" s="5">
        <f>AVERAGEIFS('Data Combined - all-runs'!$Q:$Q, 'Data Combined - all-runs'!$A:$A, A33,'Data Combined - all-runs'!$B:$B, B33,'Data Combined - all-runs'!$C:$C, C33, 'Data Combined - all-runs'!$D:$D, D33, 'Data Combined - all-runs'!$E:$E, E33)</f>
        <v>741.2663755</v>
      </c>
      <c r="R33" s="5">
        <f>AVERAGEIFS('Data Combined - all-runs'!$R:$R, 'Data Combined - all-runs'!$A:$A, A33,'Data Combined - all-runs'!$B:$B, B33,'Data Combined - all-runs'!$C:$C, C33, 'Data Combined - all-runs'!$D:$D, D33, 'Data Combined - all-runs'!$E:$E, E33)</f>
        <v>226.3333333</v>
      </c>
      <c r="S33" s="5">
        <f>AVERAGEIFS('Data Combined - all-runs'!$S:$S, 'Data Combined - all-runs'!$A:$A, A33,'Data Combined - all-runs'!$B:$B, B33,'Data Combined - all-runs'!$C:$C, C33, 'Data Combined - all-runs'!$D:$D, D33, 'Data Combined - all-runs'!$E:$E, E33)</f>
        <v>0</v>
      </c>
      <c r="T33" s="5">
        <f>AVERAGEIFS('Data Combined - all-runs'!$T:$T, 'Data Combined - all-runs'!$A:$A, A33,'Data Combined - all-runs'!$B:$B, B33,'Data Combined - all-runs'!$C:$C, C33, 'Data Combined - all-runs'!$D:$D, D33, 'Data Combined - all-runs'!$E:$E, E33)</f>
        <v>0</v>
      </c>
      <c r="U33" s="5" t="b">
        <f t="shared" si="1"/>
        <v>0</v>
      </c>
      <c r="V33" s="5" t="b">
        <f t="shared" si="2"/>
        <v>0</v>
      </c>
      <c r="W33" s="5" t="b">
        <f t="shared" si="3"/>
        <v>1</v>
      </c>
    </row>
    <row r="34">
      <c r="A34" s="2" t="s">
        <v>32</v>
      </c>
      <c r="B34" s="2" t="s">
        <v>22</v>
      </c>
      <c r="C34" s="2" t="s">
        <v>23</v>
      </c>
      <c r="D34" s="2" t="s">
        <v>118</v>
      </c>
      <c r="E34" s="2" t="s">
        <v>43</v>
      </c>
      <c r="H34" s="5">
        <f>AVERAGEIFS('Data Combined - all-runs'!$H:$H, 'Data Combined - all-runs'!$A:$A, A34,'Data Combined - all-runs'!$B:$B, B34,'Data Combined - all-runs'!$C:$C, C34, 'Data Combined - all-runs'!$D:$D, D34, 'Data Combined - all-runs'!$E:$E, E34)</f>
        <v>634</v>
      </c>
      <c r="I34" s="5">
        <f>AVERAGEIFS('Data Combined - all-runs'!$I:$I, 'Data Combined - all-runs'!$A:$A, A34,'Data Combined - all-runs'!$B:$B, B34,'Data Combined - all-runs'!$C:$C, C34, 'Data Combined - all-runs'!$D:$D, D34, 'Data Combined - all-runs'!$E:$E, E34)</f>
        <v>0</v>
      </c>
      <c r="J34" s="5">
        <f>AVERAGEIFS('Data Combined - all-runs'!$J:$J, 'Data Combined - all-runs'!$A:$A, A34,'Data Combined - all-runs'!$B:$B, B34,'Data Combined - all-runs'!$C:$C, C34, 'Data Combined - all-runs'!$D:$D, D34, 'Data Combined - all-runs'!$E:$E, E34)</f>
        <v>36</v>
      </c>
      <c r="K34" s="5">
        <f>AVERAGEIFS('Data Combined - all-runs'!$K:$K, 'Data Combined - all-runs'!$A:$A, A34,'Data Combined - all-runs'!$B:$B, B34,'Data Combined - all-runs'!$C:$C, C34, 'Data Combined - all-runs'!$D:$D, D34, 'Data Combined - all-runs'!$E:$E, E34)</f>
        <v>0.1009566969</v>
      </c>
      <c r="L34" s="5">
        <f>AVERAGEIFS('Data Combined - all-runs'!$L:$L, 'Data Combined - all-runs'!$A:$A, A34,'Data Combined - all-runs'!$B:$B, B34,'Data Combined - all-runs'!$C:$C, C34, 'Data Combined - all-runs'!$D:$D, D34, 'Data Combined - all-runs'!$E:$E, E34)</f>
        <v>2982.299606</v>
      </c>
      <c r="M34" s="5">
        <f>AVERAGEIFS('Data Combined - all-runs'!$M:$M, 'Data Combined - all-runs'!$A:$A, A34,'Data Combined - all-runs'!$B:$B, B34,'Data Combined - all-runs'!$C:$C, C34, 'Data Combined - all-runs'!$D:$D, D34, 'Data Combined - all-runs'!$E:$E, E34)</f>
        <v>53</v>
      </c>
      <c r="N34" s="5">
        <f>AVERAGEIFS('Data Combined - all-runs'!$N:$N, 'Data Combined - all-runs'!$A:$A, A34,'Data Combined - all-runs'!$B:$B, B34,'Data Combined - all-runs'!$C:$C, C34, 'Data Combined - all-runs'!$D:$D, D34, 'Data Combined - all-runs'!$E:$E, E34)</f>
        <v>10</v>
      </c>
      <c r="O34" s="5">
        <f>AVERAGEIFS('Data Combined - all-runs'!$O:$O, 'Data Combined - all-runs'!$A:$A, A34,'Data Combined - all-runs'!$B:$B, B34,'Data Combined - all-runs'!$C:$C, C34, 'Data Combined - all-runs'!$D:$D, D34, 'Data Combined - all-runs'!$E:$E, E34)</f>
        <v>1324</v>
      </c>
      <c r="P34" s="5">
        <f>AVERAGEIFS('Data Combined - all-runs'!$P:$P, 'Data Combined - all-runs'!$A:$A, A34,'Data Combined - all-runs'!$B:$B, B34,'Data Combined - all-runs'!$C:$C, C34, 'Data Combined - all-runs'!$D:$D, D34, 'Data Combined - all-runs'!$E:$E, E34)</f>
        <v>7.552870091</v>
      </c>
      <c r="Q34" s="5">
        <f>AVERAGEIFS('Data Combined - all-runs'!$Q:$Q, 'Data Combined - all-runs'!$A:$A, A34,'Data Combined - all-runs'!$B:$B, B34,'Data Combined - all-runs'!$C:$C, C34, 'Data Combined - all-runs'!$D:$D, D34, 'Data Combined - all-runs'!$E:$E, E34)</f>
        <v>478.8519637</v>
      </c>
      <c r="R34" s="5">
        <f>AVERAGEIFS('Data Combined - all-runs'!$R:$R, 'Data Combined - all-runs'!$A:$A, A34,'Data Combined - all-runs'!$B:$B, B34,'Data Combined - all-runs'!$C:$C, C34, 'Data Combined - all-runs'!$D:$D, D34, 'Data Combined - all-runs'!$E:$E, E34)</f>
        <v>63.4</v>
      </c>
      <c r="S34" s="5">
        <f>AVERAGEIFS('Data Combined - all-runs'!$S:$S, 'Data Combined - all-runs'!$A:$A, A34,'Data Combined - all-runs'!$B:$B, B34,'Data Combined - all-runs'!$C:$C, C34, 'Data Combined - all-runs'!$D:$D, D34, 'Data Combined - all-runs'!$E:$E, E34)</f>
        <v>0.05678233438</v>
      </c>
      <c r="T34" s="5">
        <f>AVERAGEIFS('Data Combined - all-runs'!$T:$T, 'Data Combined - all-runs'!$A:$A, A34,'Data Combined - all-runs'!$B:$B, B34,'Data Combined - all-runs'!$C:$C, C34, 'Data Combined - all-runs'!$D:$D, D34, 'Data Combined - all-runs'!$E:$E, E34)</f>
        <v>0</v>
      </c>
      <c r="U34" s="5" t="b">
        <f t="shared" si="1"/>
        <v>0</v>
      </c>
      <c r="V34" s="5" t="b">
        <f t="shared" si="2"/>
        <v>0</v>
      </c>
      <c r="W34" s="5" t="b">
        <f t="shared" si="3"/>
        <v>1</v>
      </c>
    </row>
    <row r="35">
      <c r="A35" s="2" t="s">
        <v>32</v>
      </c>
      <c r="B35" s="2" t="s">
        <v>22</v>
      </c>
      <c r="C35" s="2" t="s">
        <v>23</v>
      </c>
      <c r="D35" s="2" t="s">
        <v>118</v>
      </c>
      <c r="E35" s="2" t="s">
        <v>34</v>
      </c>
      <c r="H35" s="5">
        <f>AVERAGEIFS('Data Combined - all-runs'!$H:$H, 'Data Combined - all-runs'!$A:$A, A35,'Data Combined - all-runs'!$B:$B, B35,'Data Combined - all-runs'!$C:$C, C35, 'Data Combined - all-runs'!$D:$D, D35, 'Data Combined - all-runs'!$E:$E, E35)</f>
        <v>2312</v>
      </c>
      <c r="I35" s="5">
        <f>AVERAGEIFS('Data Combined - all-runs'!$I:$I, 'Data Combined - all-runs'!$A:$A, A35,'Data Combined - all-runs'!$B:$B, B35,'Data Combined - all-runs'!$C:$C, C35, 'Data Combined - all-runs'!$D:$D, D35, 'Data Combined - all-runs'!$E:$E, E35)</f>
        <v>0</v>
      </c>
      <c r="J35" s="5">
        <f>AVERAGEIFS('Data Combined - all-runs'!$J:$J, 'Data Combined - all-runs'!$A:$A, A35,'Data Combined - all-runs'!$B:$B, B35,'Data Combined - all-runs'!$C:$C, C35, 'Data Combined - all-runs'!$D:$D, D35, 'Data Combined - all-runs'!$E:$E, E35)</f>
        <v>328</v>
      </c>
      <c r="K35" s="5">
        <f>AVERAGEIFS('Data Combined - all-runs'!$K:$K, 'Data Combined - all-runs'!$A:$A, A35,'Data Combined - all-runs'!$B:$B, B35,'Data Combined - all-runs'!$C:$C, C35, 'Data Combined - all-runs'!$D:$D, D35, 'Data Combined - all-runs'!$E:$E, E35)</f>
        <v>0.2991738788</v>
      </c>
      <c r="L35" s="5">
        <f>AVERAGEIFS('Data Combined - all-runs'!$L:$L, 'Data Combined - all-runs'!$A:$A, A35,'Data Combined - all-runs'!$B:$B, B35,'Data Combined - all-runs'!$C:$C, C35, 'Data Combined - all-runs'!$D:$D, D35, 'Data Combined - all-runs'!$E:$E, E35)</f>
        <v>13314.25686</v>
      </c>
      <c r="M35" s="5">
        <f>AVERAGEIFS('Data Combined - all-runs'!$M:$M, 'Data Combined - all-runs'!$A:$A, A35,'Data Combined - all-runs'!$B:$B, B35,'Data Combined - all-runs'!$C:$C, C35, 'Data Combined - all-runs'!$D:$D, D35, 'Data Combined - all-runs'!$E:$E, E35)</f>
        <v>60</v>
      </c>
      <c r="N35" s="5">
        <f>AVERAGEIFS('Data Combined - all-runs'!$N:$N, 'Data Combined - all-runs'!$A:$A, A35,'Data Combined - all-runs'!$B:$B, B35,'Data Combined - all-runs'!$C:$C, C35, 'Data Combined - all-runs'!$D:$D, D35, 'Data Combined - all-runs'!$E:$E, E35)</f>
        <v>14</v>
      </c>
      <c r="O35" s="5">
        <f>AVERAGEIFS('Data Combined - all-runs'!$O:$O, 'Data Combined - all-runs'!$A:$A, A35,'Data Combined - all-runs'!$B:$B, B35,'Data Combined - all-runs'!$C:$C, C35, 'Data Combined - all-runs'!$D:$D, D35, 'Data Combined - all-runs'!$E:$E, E35)</f>
        <v>2542</v>
      </c>
      <c r="P35" s="5">
        <f>AVERAGEIFS('Data Combined - all-runs'!$P:$P, 'Data Combined - all-runs'!$A:$A, A35,'Data Combined - all-runs'!$B:$B, B35,'Data Combined - all-runs'!$C:$C, C35, 'Data Combined - all-runs'!$D:$D, D35, 'Data Combined - all-runs'!$E:$E, E35)</f>
        <v>5.50747443</v>
      </c>
      <c r="Q35" s="5">
        <f>AVERAGEIFS('Data Combined - all-runs'!$Q:$Q, 'Data Combined - all-runs'!$A:$A, A35,'Data Combined - all-runs'!$B:$B, B35,'Data Combined - all-runs'!$C:$C, C35, 'Data Combined - all-runs'!$D:$D, D35, 'Data Combined - all-runs'!$E:$E, E35)</f>
        <v>909.5200629</v>
      </c>
      <c r="R35" s="5">
        <f>AVERAGEIFS('Data Combined - all-runs'!$R:$R, 'Data Combined - all-runs'!$A:$A, A35,'Data Combined - all-runs'!$B:$B, B35,'Data Combined - all-runs'!$C:$C, C35, 'Data Combined - all-runs'!$D:$D, D35, 'Data Combined - all-runs'!$E:$E, E35)</f>
        <v>165.1428571</v>
      </c>
      <c r="S35" s="5">
        <f>AVERAGEIFS('Data Combined - all-runs'!$S:$S, 'Data Combined - all-runs'!$A:$A, A35,'Data Combined - all-runs'!$B:$B, B35,'Data Combined - all-runs'!$C:$C, C35, 'Data Combined - all-runs'!$D:$D, D35, 'Data Combined - all-runs'!$E:$E, E35)</f>
        <v>0.1418685121</v>
      </c>
      <c r="T35" s="5">
        <f>AVERAGEIFS('Data Combined - all-runs'!$T:$T, 'Data Combined - all-runs'!$A:$A, A35,'Data Combined - all-runs'!$B:$B, B35,'Data Combined - all-runs'!$C:$C, C35, 'Data Combined - all-runs'!$D:$D, D35, 'Data Combined - all-runs'!$E:$E, E35)</f>
        <v>0</v>
      </c>
      <c r="U35" s="5" t="b">
        <f t="shared" si="1"/>
        <v>0</v>
      </c>
      <c r="V35" s="5" t="b">
        <f t="shared" si="2"/>
        <v>0</v>
      </c>
      <c r="W35" s="5" t="b">
        <f t="shared" si="3"/>
        <v>1</v>
      </c>
    </row>
    <row r="36">
      <c r="A36" s="2" t="s">
        <v>32</v>
      </c>
      <c r="B36" s="2" t="s">
        <v>22</v>
      </c>
      <c r="C36" s="2" t="s">
        <v>23</v>
      </c>
      <c r="D36" s="2" t="s">
        <v>118</v>
      </c>
      <c r="E36" s="2" t="s">
        <v>47</v>
      </c>
      <c r="H36" s="5">
        <f>AVERAGEIFS('Data Combined - all-runs'!$H:$H, 'Data Combined - all-runs'!$A:$A, A36,'Data Combined - all-runs'!$B:$B, B36,'Data Combined - all-runs'!$C:$C, C36, 'Data Combined - all-runs'!$D:$D, D36, 'Data Combined - all-runs'!$E:$E, E36)</f>
        <v>500</v>
      </c>
      <c r="I36" s="5">
        <f>AVERAGEIFS('Data Combined - all-runs'!$I:$I, 'Data Combined - all-runs'!$A:$A, A36,'Data Combined - all-runs'!$B:$B, B36,'Data Combined - all-runs'!$C:$C, C36, 'Data Combined - all-runs'!$D:$D, D36, 'Data Combined - all-runs'!$E:$E, E36)</f>
        <v>0</v>
      </c>
      <c r="J36" s="5">
        <f>AVERAGEIFS('Data Combined - all-runs'!$J:$J, 'Data Combined - all-runs'!$A:$A, A36,'Data Combined - all-runs'!$B:$B, B36,'Data Combined - all-runs'!$C:$C, C36, 'Data Combined - all-runs'!$D:$D, D36, 'Data Combined - all-runs'!$E:$E, E36)</f>
        <v>587</v>
      </c>
      <c r="K36" s="5">
        <f>AVERAGEIFS('Data Combined - all-runs'!$K:$K, 'Data Combined - all-runs'!$A:$A, A36,'Data Combined - all-runs'!$B:$B, B36,'Data Combined - all-runs'!$C:$C, C36, 'Data Combined - all-runs'!$D:$D, D36, 'Data Combined - all-runs'!$E:$E, E36)</f>
        <v>0.481</v>
      </c>
      <c r="L36" s="5">
        <f>AVERAGEIFS('Data Combined - all-runs'!$L:$L, 'Data Combined - all-runs'!$A:$A, A36,'Data Combined - all-runs'!$B:$B, B36,'Data Combined - all-runs'!$C:$C, C36, 'Data Combined - all-runs'!$D:$D, D36, 'Data Combined - all-runs'!$E:$E, E36)</f>
        <v>3982.739539</v>
      </c>
      <c r="M36" s="5" t="str">
        <f>AVERAGEIFS('Data Combined - all-runs'!$M:$M, 'Data Combined - all-runs'!$A:$A, A36,'Data Combined - all-runs'!$B:$B, B36,'Data Combined - all-runs'!$C:$C, C36, 'Data Combined - all-runs'!$D:$D, D36, 'Data Combined - all-runs'!$E:$E, E36)</f>
        <v>#DIV/0!</v>
      </c>
      <c r="N36" s="5">
        <f>AVERAGEIFS('Data Combined - all-runs'!$N:$N, 'Data Combined - all-runs'!$A:$A, A36,'Data Combined - all-runs'!$B:$B, B36,'Data Combined - all-runs'!$C:$C, C36, 'Data Combined - all-runs'!$D:$D, D36, 'Data Combined - all-runs'!$E:$E, E36)</f>
        <v>0</v>
      </c>
      <c r="O36" s="5">
        <f>AVERAGEIFS('Data Combined - all-runs'!$O:$O, 'Data Combined - all-runs'!$A:$A, A36,'Data Combined - all-runs'!$B:$B, B36,'Data Combined - all-runs'!$C:$C, C36, 'Data Combined - all-runs'!$D:$D, D36, 'Data Combined - all-runs'!$E:$E, E36)</f>
        <v>500</v>
      </c>
      <c r="P36" s="5">
        <f>AVERAGEIFS('Data Combined - all-runs'!$P:$P, 'Data Combined - all-runs'!$A:$A, A36,'Data Combined - all-runs'!$B:$B, B36,'Data Combined - all-runs'!$C:$C, C36, 'Data Combined - all-runs'!$D:$D, D36, 'Data Combined - all-runs'!$E:$E, E36)</f>
        <v>0</v>
      </c>
      <c r="Q36" s="5">
        <f>AVERAGEIFS('Data Combined - all-runs'!$Q:$Q, 'Data Combined - all-runs'!$A:$A, A36,'Data Combined - all-runs'!$B:$B, B36,'Data Combined - all-runs'!$C:$C, C36, 'Data Combined - all-runs'!$D:$D, D36, 'Data Combined - all-runs'!$E:$E, E36)</f>
        <v>1000</v>
      </c>
      <c r="R36" s="5" t="str">
        <f>AVERAGEIFS('Data Combined - all-runs'!$R:$R, 'Data Combined - all-runs'!$A:$A, A36,'Data Combined - all-runs'!$B:$B, B36,'Data Combined - all-runs'!$C:$C, C36, 'Data Combined - all-runs'!$D:$D, D36, 'Data Combined - all-runs'!$E:$E, E36)</f>
        <v>#DIV/0!</v>
      </c>
      <c r="S36" s="5">
        <f>AVERAGEIFS('Data Combined - all-runs'!$S:$S, 'Data Combined - all-runs'!$A:$A, A36,'Data Combined - all-runs'!$B:$B, B36,'Data Combined - all-runs'!$C:$C, C36, 'Data Combined - all-runs'!$D:$D, D36, 'Data Combined - all-runs'!$E:$E, E36)</f>
        <v>1.174</v>
      </c>
      <c r="T36" s="5">
        <f>AVERAGEIFS('Data Combined - all-runs'!$T:$T, 'Data Combined - all-runs'!$A:$A, A36,'Data Combined - all-runs'!$B:$B, B36,'Data Combined - all-runs'!$C:$C, C36, 'Data Combined - all-runs'!$D:$D, D36, 'Data Combined - all-runs'!$E:$E, E36)</f>
        <v>0</v>
      </c>
      <c r="U36" s="5" t="b">
        <f t="shared" si="1"/>
        <v>0</v>
      </c>
      <c r="V36" s="5" t="b">
        <f t="shared" si="2"/>
        <v>0</v>
      </c>
      <c r="W36" s="5" t="b">
        <f t="shared" si="3"/>
        <v>1</v>
      </c>
    </row>
    <row r="37">
      <c r="A37" s="2" t="s">
        <v>32</v>
      </c>
      <c r="B37" s="2" t="s">
        <v>22</v>
      </c>
      <c r="C37" s="2" t="s">
        <v>23</v>
      </c>
      <c r="D37" s="2" t="s">
        <v>118</v>
      </c>
      <c r="E37" s="2" t="s">
        <v>51</v>
      </c>
      <c r="H37" s="5">
        <f>AVERAGEIFS('Data Combined - all-runs'!$H:$H, 'Data Combined - all-runs'!$A:$A, A37,'Data Combined - all-runs'!$B:$B, B37,'Data Combined - all-runs'!$C:$C, C37, 'Data Combined - all-runs'!$D:$D, D37, 'Data Combined - all-runs'!$E:$E, E37)</f>
        <v>428</v>
      </c>
      <c r="I37" s="5">
        <f>AVERAGEIFS('Data Combined - all-runs'!$I:$I, 'Data Combined - all-runs'!$A:$A, A37,'Data Combined - all-runs'!$B:$B, B37,'Data Combined - all-runs'!$C:$C, C37, 'Data Combined - all-runs'!$D:$D, D37, 'Data Combined - all-runs'!$E:$E, E37)</f>
        <v>0</v>
      </c>
      <c r="J37" s="5">
        <f>AVERAGEIFS('Data Combined - all-runs'!$J:$J, 'Data Combined - all-runs'!$A:$A, A37,'Data Combined - all-runs'!$B:$B, B37,'Data Combined - all-runs'!$C:$C, C37, 'Data Combined - all-runs'!$D:$D, D37, 'Data Combined - all-runs'!$E:$E, E37)</f>
        <v>22</v>
      </c>
      <c r="K37" s="5">
        <f>AVERAGEIFS('Data Combined - all-runs'!$K:$K, 'Data Combined - all-runs'!$A:$A, A37,'Data Combined - all-runs'!$B:$B, B37,'Data Combined - all-runs'!$C:$C, C37, 'Data Combined - all-runs'!$D:$D, D37, 'Data Combined - all-runs'!$E:$E, E37)</f>
        <v>0.06537656904</v>
      </c>
      <c r="L37" s="5">
        <f>AVERAGEIFS('Data Combined - all-runs'!$L:$L, 'Data Combined - all-runs'!$A:$A, A37,'Data Combined - all-runs'!$B:$B, B37,'Data Combined - all-runs'!$C:$C, C37, 'Data Combined - all-runs'!$D:$D, D37, 'Data Combined - all-runs'!$E:$E, E37)</f>
        <v>2339.492805</v>
      </c>
      <c r="M37" s="5">
        <f>AVERAGEIFS('Data Combined - all-runs'!$M:$M, 'Data Combined - all-runs'!$A:$A, A37,'Data Combined - all-runs'!$B:$B, B37,'Data Combined - all-runs'!$C:$C, C37, 'Data Combined - all-runs'!$D:$D, D37, 'Data Combined - all-runs'!$E:$E, E37)</f>
        <v>32</v>
      </c>
      <c r="N37" s="5">
        <f>AVERAGEIFS('Data Combined - all-runs'!$N:$N, 'Data Combined - all-runs'!$A:$A, A37,'Data Combined - all-runs'!$B:$B, B37,'Data Combined - all-runs'!$C:$C, C37, 'Data Combined - all-runs'!$D:$D, D37, 'Data Combined - all-runs'!$E:$E, E37)</f>
        <v>5</v>
      </c>
      <c r="O37" s="5">
        <f>AVERAGEIFS('Data Combined - all-runs'!$O:$O, 'Data Combined - all-runs'!$A:$A, A37,'Data Combined - all-runs'!$B:$B, B37,'Data Combined - all-runs'!$C:$C, C37, 'Data Combined - all-runs'!$D:$D, D37, 'Data Combined - all-runs'!$E:$E, E37)</f>
        <v>956</v>
      </c>
      <c r="P37" s="5">
        <f>AVERAGEIFS('Data Combined - all-runs'!$P:$P, 'Data Combined - all-runs'!$A:$A, A37,'Data Combined - all-runs'!$B:$B, B37,'Data Combined - all-runs'!$C:$C, C37, 'Data Combined - all-runs'!$D:$D, D37, 'Data Combined - all-runs'!$E:$E, E37)</f>
        <v>5.230125523</v>
      </c>
      <c r="Q37" s="5">
        <f>AVERAGEIFS('Data Combined - all-runs'!$Q:$Q, 'Data Combined - all-runs'!$A:$A, A37,'Data Combined - all-runs'!$B:$B, B37,'Data Combined - all-runs'!$C:$C, C37, 'Data Combined - all-runs'!$D:$D, D37, 'Data Combined - all-runs'!$E:$E, E37)</f>
        <v>447.6987448</v>
      </c>
      <c r="R37" s="5">
        <f>AVERAGEIFS('Data Combined - all-runs'!$R:$R, 'Data Combined - all-runs'!$A:$A, A37,'Data Combined - all-runs'!$B:$B, B37,'Data Combined - all-runs'!$C:$C, C37, 'Data Combined - all-runs'!$D:$D, D37, 'Data Combined - all-runs'!$E:$E, E37)</f>
        <v>85.6</v>
      </c>
      <c r="S37" s="5">
        <f>AVERAGEIFS('Data Combined - all-runs'!$S:$S, 'Data Combined - all-runs'!$A:$A, A37,'Data Combined - all-runs'!$B:$B, B37,'Data Combined - all-runs'!$C:$C, C37, 'Data Combined - all-runs'!$D:$D, D37, 'Data Combined - all-runs'!$E:$E, E37)</f>
        <v>0.05140186916</v>
      </c>
      <c r="T37" s="5">
        <f>AVERAGEIFS('Data Combined - all-runs'!$T:$T, 'Data Combined - all-runs'!$A:$A, A37,'Data Combined - all-runs'!$B:$B, B37,'Data Combined - all-runs'!$C:$C, C37, 'Data Combined - all-runs'!$D:$D, D37, 'Data Combined - all-runs'!$E:$E, E37)</f>
        <v>0</v>
      </c>
      <c r="U37" s="5" t="b">
        <f t="shared" si="1"/>
        <v>0</v>
      </c>
      <c r="V37" s="5" t="b">
        <f t="shared" si="2"/>
        <v>0</v>
      </c>
      <c r="W37" s="5" t="b">
        <f t="shared" si="3"/>
        <v>1</v>
      </c>
    </row>
    <row r="38">
      <c r="A38" s="2" t="s">
        <v>32</v>
      </c>
      <c r="B38" s="2" t="s">
        <v>22</v>
      </c>
      <c r="C38" s="2" t="s">
        <v>35</v>
      </c>
      <c r="D38" s="2" t="s">
        <v>24</v>
      </c>
      <c r="E38" s="2" t="s">
        <v>25</v>
      </c>
      <c r="H38" s="5" t="str">
        <f>AVERAGEIFS('Data Combined - all-runs'!$H:$H, 'Data Combined - all-runs'!$A:$A, A38,'Data Combined - all-runs'!$B:$B, B38,'Data Combined - all-runs'!$C:$C, C38, 'Data Combined - all-runs'!$D:$D, D38, 'Data Combined - all-runs'!$E:$E, E38)</f>
        <v>#DIV/0!</v>
      </c>
      <c r="I38" s="5" t="str">
        <f>AVERAGEIFS('Data Combined - all-runs'!$I:$I, 'Data Combined - all-runs'!$A:$A, A38,'Data Combined - all-runs'!$B:$B, B38,'Data Combined - all-runs'!$C:$C, C38, 'Data Combined - all-runs'!$D:$D, D38, 'Data Combined - all-runs'!$E:$E, E38)</f>
        <v>#DIV/0!</v>
      </c>
      <c r="J38" s="5" t="str">
        <f>AVERAGEIFS('Data Combined - all-runs'!$J:$J, 'Data Combined - all-runs'!$A:$A, A38,'Data Combined - all-runs'!$B:$B, B38,'Data Combined - all-runs'!$C:$C, C38, 'Data Combined - all-runs'!$D:$D, D38, 'Data Combined - all-runs'!$E:$E, E38)</f>
        <v>#DIV/0!</v>
      </c>
      <c r="K38" s="5" t="str">
        <f>AVERAGEIFS('Data Combined - all-runs'!$K:$K, 'Data Combined - all-runs'!$A:$A, A38,'Data Combined - all-runs'!$B:$B, B38,'Data Combined - all-runs'!$C:$C, C38, 'Data Combined - all-runs'!$D:$D, D38, 'Data Combined - all-runs'!$E:$E, E38)</f>
        <v>#DIV/0!</v>
      </c>
      <c r="L38" s="5" t="str">
        <f>AVERAGEIFS('Data Combined - all-runs'!$L:$L, 'Data Combined - all-runs'!$A:$A, A38,'Data Combined - all-runs'!$B:$B, B38,'Data Combined - all-runs'!$C:$C, C38, 'Data Combined - all-runs'!$D:$D, D38, 'Data Combined - all-runs'!$E:$E, E38)</f>
        <v>#DIV/0!</v>
      </c>
      <c r="M38" s="5" t="str">
        <f>AVERAGEIFS('Data Combined - all-runs'!$M:$M, 'Data Combined - all-runs'!$A:$A, A38,'Data Combined - all-runs'!$B:$B, B38,'Data Combined - all-runs'!$C:$C, C38, 'Data Combined - all-runs'!$D:$D, D38, 'Data Combined - all-runs'!$E:$E, E38)</f>
        <v>#DIV/0!</v>
      </c>
      <c r="N38" s="5" t="str">
        <f>AVERAGEIFS('Data Combined - all-runs'!$N:$N, 'Data Combined - all-runs'!$A:$A, A38,'Data Combined - all-runs'!$B:$B, B38,'Data Combined - all-runs'!$C:$C, C38, 'Data Combined - all-runs'!$D:$D, D38, 'Data Combined - all-runs'!$E:$E, E38)</f>
        <v>#DIV/0!</v>
      </c>
      <c r="O38" s="5" t="str">
        <f>AVERAGEIFS('Data Combined - all-runs'!$O:$O, 'Data Combined - all-runs'!$A:$A, A38,'Data Combined - all-runs'!$B:$B, B38,'Data Combined - all-runs'!$C:$C, C38, 'Data Combined - all-runs'!$D:$D, D38, 'Data Combined - all-runs'!$E:$E, E38)</f>
        <v>#DIV/0!</v>
      </c>
      <c r="P38" s="5" t="str">
        <f>AVERAGEIFS('Data Combined - all-runs'!$P:$P, 'Data Combined - all-runs'!$A:$A, A38,'Data Combined - all-runs'!$B:$B, B38,'Data Combined - all-runs'!$C:$C, C38, 'Data Combined - all-runs'!$D:$D, D38, 'Data Combined - all-runs'!$E:$E, E38)</f>
        <v>#DIV/0!</v>
      </c>
      <c r="Q38" s="5" t="str">
        <f>AVERAGEIFS('Data Combined - all-runs'!$Q:$Q, 'Data Combined - all-runs'!$A:$A, A38,'Data Combined - all-runs'!$B:$B, B38,'Data Combined - all-runs'!$C:$C, C38, 'Data Combined - all-runs'!$D:$D, D38, 'Data Combined - all-runs'!$E:$E, E38)</f>
        <v>#DIV/0!</v>
      </c>
      <c r="R38" s="5" t="str">
        <f>AVERAGEIFS('Data Combined - all-runs'!$R:$R, 'Data Combined - all-runs'!$A:$A, A38,'Data Combined - all-runs'!$B:$B, B38,'Data Combined - all-runs'!$C:$C, C38, 'Data Combined - all-runs'!$D:$D, D38, 'Data Combined - all-runs'!$E:$E, E38)</f>
        <v>#DIV/0!</v>
      </c>
      <c r="S38" s="5" t="str">
        <f>AVERAGEIFS('Data Combined - all-runs'!$S:$S, 'Data Combined - all-runs'!$A:$A, A38,'Data Combined - all-runs'!$B:$B, B38,'Data Combined - all-runs'!$C:$C, C38, 'Data Combined - all-runs'!$D:$D, D38, 'Data Combined - all-runs'!$E:$E, E38)</f>
        <v>#DIV/0!</v>
      </c>
      <c r="T38" s="5" t="str">
        <f>AVERAGEIFS('Data Combined - all-runs'!$T:$T, 'Data Combined - all-runs'!$A:$A, A38,'Data Combined - all-runs'!$B:$B, B38,'Data Combined - all-runs'!$C:$C, C38, 'Data Combined - all-runs'!$D:$D, D38, 'Data Combined - all-runs'!$E:$E, E38)</f>
        <v>#DIV/0!</v>
      </c>
      <c r="U38" s="5" t="b">
        <f t="shared" si="1"/>
        <v>0</v>
      </c>
      <c r="V38" s="5" t="b">
        <f t="shared" si="2"/>
        <v>0</v>
      </c>
      <c r="W38" s="5" t="b">
        <f t="shared" si="3"/>
        <v>0</v>
      </c>
    </row>
    <row r="39">
      <c r="A39" s="2" t="s">
        <v>32</v>
      </c>
      <c r="B39" s="2" t="s">
        <v>22</v>
      </c>
      <c r="C39" s="2" t="s">
        <v>35</v>
      </c>
      <c r="D39" s="2" t="s">
        <v>24</v>
      </c>
      <c r="E39" s="2" t="s">
        <v>39</v>
      </c>
      <c r="H39" s="5" t="str">
        <f>AVERAGEIFS('Data Combined - all-runs'!$H:$H, 'Data Combined - all-runs'!$A:$A, A39,'Data Combined - all-runs'!$B:$B, B39,'Data Combined - all-runs'!$C:$C, C39, 'Data Combined - all-runs'!$D:$D, D39, 'Data Combined - all-runs'!$E:$E, E39)</f>
        <v>#DIV/0!</v>
      </c>
      <c r="I39" s="5" t="str">
        <f>AVERAGEIFS('Data Combined - all-runs'!$I:$I, 'Data Combined - all-runs'!$A:$A, A39,'Data Combined - all-runs'!$B:$B, B39,'Data Combined - all-runs'!$C:$C, C39, 'Data Combined - all-runs'!$D:$D, D39, 'Data Combined - all-runs'!$E:$E, E39)</f>
        <v>#DIV/0!</v>
      </c>
      <c r="J39" s="5" t="str">
        <f>AVERAGEIFS('Data Combined - all-runs'!$J:$J, 'Data Combined - all-runs'!$A:$A, A39,'Data Combined - all-runs'!$B:$B, B39,'Data Combined - all-runs'!$C:$C, C39, 'Data Combined - all-runs'!$D:$D, D39, 'Data Combined - all-runs'!$E:$E, E39)</f>
        <v>#DIV/0!</v>
      </c>
      <c r="K39" s="5" t="str">
        <f>AVERAGEIFS('Data Combined - all-runs'!$K:$K, 'Data Combined - all-runs'!$A:$A, A39,'Data Combined - all-runs'!$B:$B, B39,'Data Combined - all-runs'!$C:$C, C39, 'Data Combined - all-runs'!$D:$D, D39, 'Data Combined - all-runs'!$E:$E, E39)</f>
        <v>#DIV/0!</v>
      </c>
      <c r="L39" s="5" t="str">
        <f>AVERAGEIFS('Data Combined - all-runs'!$L:$L, 'Data Combined - all-runs'!$A:$A, A39,'Data Combined - all-runs'!$B:$B, B39,'Data Combined - all-runs'!$C:$C, C39, 'Data Combined - all-runs'!$D:$D, D39, 'Data Combined - all-runs'!$E:$E, E39)</f>
        <v>#DIV/0!</v>
      </c>
      <c r="M39" s="5" t="str">
        <f>AVERAGEIFS('Data Combined - all-runs'!$M:$M, 'Data Combined - all-runs'!$A:$A, A39,'Data Combined - all-runs'!$B:$B, B39,'Data Combined - all-runs'!$C:$C, C39, 'Data Combined - all-runs'!$D:$D, D39, 'Data Combined - all-runs'!$E:$E, E39)</f>
        <v>#DIV/0!</v>
      </c>
      <c r="N39" s="5" t="str">
        <f>AVERAGEIFS('Data Combined - all-runs'!$N:$N, 'Data Combined - all-runs'!$A:$A, A39,'Data Combined - all-runs'!$B:$B, B39,'Data Combined - all-runs'!$C:$C, C39, 'Data Combined - all-runs'!$D:$D, D39, 'Data Combined - all-runs'!$E:$E, E39)</f>
        <v>#DIV/0!</v>
      </c>
      <c r="O39" s="5" t="str">
        <f>AVERAGEIFS('Data Combined - all-runs'!$O:$O, 'Data Combined - all-runs'!$A:$A, A39,'Data Combined - all-runs'!$B:$B, B39,'Data Combined - all-runs'!$C:$C, C39, 'Data Combined - all-runs'!$D:$D, D39, 'Data Combined - all-runs'!$E:$E, E39)</f>
        <v>#DIV/0!</v>
      </c>
      <c r="P39" s="5" t="str">
        <f>AVERAGEIFS('Data Combined - all-runs'!$P:$P, 'Data Combined - all-runs'!$A:$A, A39,'Data Combined - all-runs'!$B:$B, B39,'Data Combined - all-runs'!$C:$C, C39, 'Data Combined - all-runs'!$D:$D, D39, 'Data Combined - all-runs'!$E:$E, E39)</f>
        <v>#DIV/0!</v>
      </c>
      <c r="Q39" s="5" t="str">
        <f>AVERAGEIFS('Data Combined - all-runs'!$Q:$Q, 'Data Combined - all-runs'!$A:$A, A39,'Data Combined - all-runs'!$B:$B, B39,'Data Combined - all-runs'!$C:$C, C39, 'Data Combined - all-runs'!$D:$D, D39, 'Data Combined - all-runs'!$E:$E, E39)</f>
        <v>#DIV/0!</v>
      </c>
      <c r="R39" s="5" t="str">
        <f>AVERAGEIFS('Data Combined - all-runs'!$R:$R, 'Data Combined - all-runs'!$A:$A, A39,'Data Combined - all-runs'!$B:$B, B39,'Data Combined - all-runs'!$C:$C, C39, 'Data Combined - all-runs'!$D:$D, D39, 'Data Combined - all-runs'!$E:$E, E39)</f>
        <v>#DIV/0!</v>
      </c>
      <c r="S39" s="5" t="str">
        <f>AVERAGEIFS('Data Combined - all-runs'!$S:$S, 'Data Combined - all-runs'!$A:$A, A39,'Data Combined - all-runs'!$B:$B, B39,'Data Combined - all-runs'!$C:$C, C39, 'Data Combined - all-runs'!$D:$D, D39, 'Data Combined - all-runs'!$E:$E, E39)</f>
        <v>#DIV/0!</v>
      </c>
      <c r="T39" s="5" t="str">
        <f>AVERAGEIFS('Data Combined - all-runs'!$T:$T, 'Data Combined - all-runs'!$A:$A, A39,'Data Combined - all-runs'!$B:$B, B39,'Data Combined - all-runs'!$C:$C, C39, 'Data Combined - all-runs'!$D:$D, D39, 'Data Combined - all-runs'!$E:$E, E39)</f>
        <v>#DIV/0!</v>
      </c>
      <c r="U39" s="5" t="b">
        <f t="shared" si="1"/>
        <v>0</v>
      </c>
      <c r="V39" s="5" t="b">
        <f t="shared" si="2"/>
        <v>0</v>
      </c>
      <c r="W39" s="5" t="b">
        <f t="shared" si="3"/>
        <v>0</v>
      </c>
    </row>
    <row r="40">
      <c r="A40" s="2" t="s">
        <v>32</v>
      </c>
      <c r="B40" s="2" t="s">
        <v>22</v>
      </c>
      <c r="C40" s="2" t="s">
        <v>35</v>
      </c>
      <c r="D40" s="2" t="s">
        <v>24</v>
      </c>
      <c r="E40" s="2" t="s">
        <v>43</v>
      </c>
      <c r="H40" s="5" t="str">
        <f>AVERAGEIFS('Data Combined - all-runs'!$H:$H, 'Data Combined - all-runs'!$A:$A, A40,'Data Combined - all-runs'!$B:$B, B40,'Data Combined - all-runs'!$C:$C, C40, 'Data Combined - all-runs'!$D:$D, D40, 'Data Combined - all-runs'!$E:$E, E40)</f>
        <v>#DIV/0!</v>
      </c>
      <c r="I40" s="5" t="str">
        <f>AVERAGEIFS('Data Combined - all-runs'!$I:$I, 'Data Combined - all-runs'!$A:$A, A40,'Data Combined - all-runs'!$B:$B, B40,'Data Combined - all-runs'!$C:$C, C40, 'Data Combined - all-runs'!$D:$D, D40, 'Data Combined - all-runs'!$E:$E, E40)</f>
        <v>#DIV/0!</v>
      </c>
      <c r="J40" s="5" t="str">
        <f>AVERAGEIFS('Data Combined - all-runs'!$J:$J, 'Data Combined - all-runs'!$A:$A, A40,'Data Combined - all-runs'!$B:$B, B40,'Data Combined - all-runs'!$C:$C, C40, 'Data Combined - all-runs'!$D:$D, D40, 'Data Combined - all-runs'!$E:$E, E40)</f>
        <v>#DIV/0!</v>
      </c>
      <c r="K40" s="5" t="str">
        <f>AVERAGEIFS('Data Combined - all-runs'!$K:$K, 'Data Combined - all-runs'!$A:$A, A40,'Data Combined - all-runs'!$B:$B, B40,'Data Combined - all-runs'!$C:$C, C40, 'Data Combined - all-runs'!$D:$D, D40, 'Data Combined - all-runs'!$E:$E, E40)</f>
        <v>#DIV/0!</v>
      </c>
      <c r="L40" s="5" t="str">
        <f>AVERAGEIFS('Data Combined - all-runs'!$L:$L, 'Data Combined - all-runs'!$A:$A, A40,'Data Combined - all-runs'!$B:$B, B40,'Data Combined - all-runs'!$C:$C, C40, 'Data Combined - all-runs'!$D:$D, D40, 'Data Combined - all-runs'!$E:$E, E40)</f>
        <v>#DIV/0!</v>
      </c>
      <c r="M40" s="5" t="str">
        <f>AVERAGEIFS('Data Combined - all-runs'!$M:$M, 'Data Combined - all-runs'!$A:$A, A40,'Data Combined - all-runs'!$B:$B, B40,'Data Combined - all-runs'!$C:$C, C40, 'Data Combined - all-runs'!$D:$D, D40, 'Data Combined - all-runs'!$E:$E, E40)</f>
        <v>#DIV/0!</v>
      </c>
      <c r="N40" s="5" t="str">
        <f>AVERAGEIFS('Data Combined - all-runs'!$N:$N, 'Data Combined - all-runs'!$A:$A, A40,'Data Combined - all-runs'!$B:$B, B40,'Data Combined - all-runs'!$C:$C, C40, 'Data Combined - all-runs'!$D:$D, D40, 'Data Combined - all-runs'!$E:$E, E40)</f>
        <v>#DIV/0!</v>
      </c>
      <c r="O40" s="5" t="str">
        <f>AVERAGEIFS('Data Combined - all-runs'!$O:$O, 'Data Combined - all-runs'!$A:$A, A40,'Data Combined - all-runs'!$B:$B, B40,'Data Combined - all-runs'!$C:$C, C40, 'Data Combined - all-runs'!$D:$D, D40, 'Data Combined - all-runs'!$E:$E, E40)</f>
        <v>#DIV/0!</v>
      </c>
      <c r="P40" s="5" t="str">
        <f>AVERAGEIFS('Data Combined - all-runs'!$P:$P, 'Data Combined - all-runs'!$A:$A, A40,'Data Combined - all-runs'!$B:$B, B40,'Data Combined - all-runs'!$C:$C, C40, 'Data Combined - all-runs'!$D:$D, D40, 'Data Combined - all-runs'!$E:$E, E40)</f>
        <v>#DIV/0!</v>
      </c>
      <c r="Q40" s="5" t="str">
        <f>AVERAGEIFS('Data Combined - all-runs'!$Q:$Q, 'Data Combined - all-runs'!$A:$A, A40,'Data Combined - all-runs'!$B:$B, B40,'Data Combined - all-runs'!$C:$C, C40, 'Data Combined - all-runs'!$D:$D, D40, 'Data Combined - all-runs'!$E:$E, E40)</f>
        <v>#DIV/0!</v>
      </c>
      <c r="R40" s="5" t="str">
        <f>AVERAGEIFS('Data Combined - all-runs'!$R:$R, 'Data Combined - all-runs'!$A:$A, A40,'Data Combined - all-runs'!$B:$B, B40,'Data Combined - all-runs'!$C:$C, C40, 'Data Combined - all-runs'!$D:$D, D40, 'Data Combined - all-runs'!$E:$E, E40)</f>
        <v>#DIV/0!</v>
      </c>
      <c r="S40" s="5" t="str">
        <f>AVERAGEIFS('Data Combined - all-runs'!$S:$S, 'Data Combined - all-runs'!$A:$A, A40,'Data Combined - all-runs'!$B:$B, B40,'Data Combined - all-runs'!$C:$C, C40, 'Data Combined - all-runs'!$D:$D, D40, 'Data Combined - all-runs'!$E:$E, E40)</f>
        <v>#DIV/0!</v>
      </c>
      <c r="T40" s="5" t="str">
        <f>AVERAGEIFS('Data Combined - all-runs'!$T:$T, 'Data Combined - all-runs'!$A:$A, A40,'Data Combined - all-runs'!$B:$B, B40,'Data Combined - all-runs'!$C:$C, C40, 'Data Combined - all-runs'!$D:$D, D40, 'Data Combined - all-runs'!$E:$E, E40)</f>
        <v>#DIV/0!</v>
      </c>
      <c r="U40" s="5" t="b">
        <f t="shared" si="1"/>
        <v>0</v>
      </c>
      <c r="V40" s="5" t="b">
        <f t="shared" si="2"/>
        <v>0</v>
      </c>
      <c r="W40" s="5" t="b">
        <f t="shared" si="3"/>
        <v>0</v>
      </c>
    </row>
    <row r="41">
      <c r="A41" s="2" t="s">
        <v>32</v>
      </c>
      <c r="B41" s="2" t="s">
        <v>22</v>
      </c>
      <c r="C41" s="2" t="s">
        <v>35</v>
      </c>
      <c r="D41" s="2" t="s">
        <v>24</v>
      </c>
      <c r="E41" s="2" t="s">
        <v>34</v>
      </c>
      <c r="H41" s="5" t="str">
        <f>AVERAGEIFS('Data Combined - all-runs'!$H:$H, 'Data Combined - all-runs'!$A:$A, A41,'Data Combined - all-runs'!$B:$B, B41,'Data Combined - all-runs'!$C:$C, C41, 'Data Combined - all-runs'!$D:$D, D41, 'Data Combined - all-runs'!$E:$E, E41)</f>
        <v>#DIV/0!</v>
      </c>
      <c r="I41" s="5" t="str">
        <f>AVERAGEIFS('Data Combined - all-runs'!$I:$I, 'Data Combined - all-runs'!$A:$A, A41,'Data Combined - all-runs'!$B:$B, B41,'Data Combined - all-runs'!$C:$C, C41, 'Data Combined - all-runs'!$D:$D, D41, 'Data Combined - all-runs'!$E:$E, E41)</f>
        <v>#DIV/0!</v>
      </c>
      <c r="J41" s="5" t="str">
        <f>AVERAGEIFS('Data Combined - all-runs'!$J:$J, 'Data Combined - all-runs'!$A:$A, A41,'Data Combined - all-runs'!$B:$B, B41,'Data Combined - all-runs'!$C:$C, C41, 'Data Combined - all-runs'!$D:$D, D41, 'Data Combined - all-runs'!$E:$E, E41)</f>
        <v>#DIV/0!</v>
      </c>
      <c r="K41" s="5" t="str">
        <f>AVERAGEIFS('Data Combined - all-runs'!$K:$K, 'Data Combined - all-runs'!$A:$A, A41,'Data Combined - all-runs'!$B:$B, B41,'Data Combined - all-runs'!$C:$C, C41, 'Data Combined - all-runs'!$D:$D, D41, 'Data Combined - all-runs'!$E:$E, E41)</f>
        <v>#DIV/0!</v>
      </c>
      <c r="L41" s="5" t="str">
        <f>AVERAGEIFS('Data Combined - all-runs'!$L:$L, 'Data Combined - all-runs'!$A:$A, A41,'Data Combined - all-runs'!$B:$B, B41,'Data Combined - all-runs'!$C:$C, C41, 'Data Combined - all-runs'!$D:$D, D41, 'Data Combined - all-runs'!$E:$E, E41)</f>
        <v>#DIV/0!</v>
      </c>
      <c r="M41" s="5" t="str">
        <f>AVERAGEIFS('Data Combined - all-runs'!$M:$M, 'Data Combined - all-runs'!$A:$A, A41,'Data Combined - all-runs'!$B:$B, B41,'Data Combined - all-runs'!$C:$C, C41, 'Data Combined - all-runs'!$D:$D, D41, 'Data Combined - all-runs'!$E:$E, E41)</f>
        <v>#DIV/0!</v>
      </c>
      <c r="N41" s="5" t="str">
        <f>AVERAGEIFS('Data Combined - all-runs'!$N:$N, 'Data Combined - all-runs'!$A:$A, A41,'Data Combined - all-runs'!$B:$B, B41,'Data Combined - all-runs'!$C:$C, C41, 'Data Combined - all-runs'!$D:$D, D41, 'Data Combined - all-runs'!$E:$E, E41)</f>
        <v>#DIV/0!</v>
      </c>
      <c r="O41" s="5" t="str">
        <f>AVERAGEIFS('Data Combined - all-runs'!$O:$O, 'Data Combined - all-runs'!$A:$A, A41,'Data Combined - all-runs'!$B:$B, B41,'Data Combined - all-runs'!$C:$C, C41, 'Data Combined - all-runs'!$D:$D, D41, 'Data Combined - all-runs'!$E:$E, E41)</f>
        <v>#DIV/0!</v>
      </c>
      <c r="P41" s="5" t="str">
        <f>AVERAGEIFS('Data Combined - all-runs'!$P:$P, 'Data Combined - all-runs'!$A:$A, A41,'Data Combined - all-runs'!$B:$B, B41,'Data Combined - all-runs'!$C:$C, C41, 'Data Combined - all-runs'!$D:$D, D41, 'Data Combined - all-runs'!$E:$E, E41)</f>
        <v>#DIV/0!</v>
      </c>
      <c r="Q41" s="5" t="str">
        <f>AVERAGEIFS('Data Combined - all-runs'!$Q:$Q, 'Data Combined - all-runs'!$A:$A, A41,'Data Combined - all-runs'!$B:$B, B41,'Data Combined - all-runs'!$C:$C, C41, 'Data Combined - all-runs'!$D:$D, D41, 'Data Combined - all-runs'!$E:$E, E41)</f>
        <v>#DIV/0!</v>
      </c>
      <c r="R41" s="5" t="str">
        <f>AVERAGEIFS('Data Combined - all-runs'!$R:$R, 'Data Combined - all-runs'!$A:$A, A41,'Data Combined - all-runs'!$B:$B, B41,'Data Combined - all-runs'!$C:$C, C41, 'Data Combined - all-runs'!$D:$D, D41, 'Data Combined - all-runs'!$E:$E, E41)</f>
        <v>#DIV/0!</v>
      </c>
      <c r="S41" s="5" t="str">
        <f>AVERAGEIFS('Data Combined - all-runs'!$S:$S, 'Data Combined - all-runs'!$A:$A, A41,'Data Combined - all-runs'!$B:$B, B41,'Data Combined - all-runs'!$C:$C, C41, 'Data Combined - all-runs'!$D:$D, D41, 'Data Combined - all-runs'!$E:$E, E41)</f>
        <v>#DIV/0!</v>
      </c>
      <c r="T41" s="5" t="str">
        <f>AVERAGEIFS('Data Combined - all-runs'!$T:$T, 'Data Combined - all-runs'!$A:$A, A41,'Data Combined - all-runs'!$B:$B, B41,'Data Combined - all-runs'!$C:$C, C41, 'Data Combined - all-runs'!$D:$D, D41, 'Data Combined - all-runs'!$E:$E, E41)</f>
        <v>#DIV/0!</v>
      </c>
      <c r="U41" s="5" t="b">
        <f t="shared" si="1"/>
        <v>0</v>
      </c>
      <c r="V41" s="5" t="b">
        <f t="shared" si="2"/>
        <v>0</v>
      </c>
      <c r="W41" s="5" t="b">
        <f t="shared" si="3"/>
        <v>0</v>
      </c>
    </row>
    <row r="42">
      <c r="A42" s="2" t="s">
        <v>32</v>
      </c>
      <c r="B42" s="2" t="s">
        <v>22</v>
      </c>
      <c r="C42" s="2" t="s">
        <v>35</v>
      </c>
      <c r="D42" s="2" t="s">
        <v>24</v>
      </c>
      <c r="E42" s="2" t="s">
        <v>47</v>
      </c>
      <c r="H42" s="5" t="str">
        <f>AVERAGEIFS('Data Combined - all-runs'!$H:$H, 'Data Combined - all-runs'!$A:$A, A42,'Data Combined - all-runs'!$B:$B, B42,'Data Combined - all-runs'!$C:$C, C42, 'Data Combined - all-runs'!$D:$D, D42, 'Data Combined - all-runs'!$E:$E, E42)</f>
        <v>#DIV/0!</v>
      </c>
      <c r="I42" s="5" t="str">
        <f>AVERAGEIFS('Data Combined - all-runs'!$I:$I, 'Data Combined - all-runs'!$A:$A, A42,'Data Combined - all-runs'!$B:$B, B42,'Data Combined - all-runs'!$C:$C, C42, 'Data Combined - all-runs'!$D:$D, D42, 'Data Combined - all-runs'!$E:$E, E42)</f>
        <v>#DIV/0!</v>
      </c>
      <c r="J42" s="5" t="str">
        <f>AVERAGEIFS('Data Combined - all-runs'!$J:$J, 'Data Combined - all-runs'!$A:$A, A42,'Data Combined - all-runs'!$B:$B, B42,'Data Combined - all-runs'!$C:$C, C42, 'Data Combined - all-runs'!$D:$D, D42, 'Data Combined - all-runs'!$E:$E, E42)</f>
        <v>#DIV/0!</v>
      </c>
      <c r="K42" s="5" t="str">
        <f>AVERAGEIFS('Data Combined - all-runs'!$K:$K, 'Data Combined - all-runs'!$A:$A, A42,'Data Combined - all-runs'!$B:$B, B42,'Data Combined - all-runs'!$C:$C, C42, 'Data Combined - all-runs'!$D:$D, D42, 'Data Combined - all-runs'!$E:$E, E42)</f>
        <v>#DIV/0!</v>
      </c>
      <c r="L42" s="5" t="str">
        <f>AVERAGEIFS('Data Combined - all-runs'!$L:$L, 'Data Combined - all-runs'!$A:$A, A42,'Data Combined - all-runs'!$B:$B, B42,'Data Combined - all-runs'!$C:$C, C42, 'Data Combined - all-runs'!$D:$D, D42, 'Data Combined - all-runs'!$E:$E, E42)</f>
        <v>#DIV/0!</v>
      </c>
      <c r="M42" s="5" t="str">
        <f>AVERAGEIFS('Data Combined - all-runs'!$M:$M, 'Data Combined - all-runs'!$A:$A, A42,'Data Combined - all-runs'!$B:$B, B42,'Data Combined - all-runs'!$C:$C, C42, 'Data Combined - all-runs'!$D:$D, D42, 'Data Combined - all-runs'!$E:$E, E42)</f>
        <v>#DIV/0!</v>
      </c>
      <c r="N42" s="5" t="str">
        <f>AVERAGEIFS('Data Combined - all-runs'!$N:$N, 'Data Combined - all-runs'!$A:$A, A42,'Data Combined - all-runs'!$B:$B, B42,'Data Combined - all-runs'!$C:$C, C42, 'Data Combined - all-runs'!$D:$D, D42, 'Data Combined - all-runs'!$E:$E, E42)</f>
        <v>#DIV/0!</v>
      </c>
      <c r="O42" s="5" t="str">
        <f>AVERAGEIFS('Data Combined - all-runs'!$O:$O, 'Data Combined - all-runs'!$A:$A, A42,'Data Combined - all-runs'!$B:$B, B42,'Data Combined - all-runs'!$C:$C, C42, 'Data Combined - all-runs'!$D:$D, D42, 'Data Combined - all-runs'!$E:$E, E42)</f>
        <v>#DIV/0!</v>
      </c>
      <c r="P42" s="5" t="str">
        <f>AVERAGEIFS('Data Combined - all-runs'!$P:$P, 'Data Combined - all-runs'!$A:$A, A42,'Data Combined - all-runs'!$B:$B, B42,'Data Combined - all-runs'!$C:$C, C42, 'Data Combined - all-runs'!$D:$D, D42, 'Data Combined - all-runs'!$E:$E, E42)</f>
        <v>#DIV/0!</v>
      </c>
      <c r="Q42" s="5" t="str">
        <f>AVERAGEIFS('Data Combined - all-runs'!$Q:$Q, 'Data Combined - all-runs'!$A:$A, A42,'Data Combined - all-runs'!$B:$B, B42,'Data Combined - all-runs'!$C:$C, C42, 'Data Combined - all-runs'!$D:$D, D42, 'Data Combined - all-runs'!$E:$E, E42)</f>
        <v>#DIV/0!</v>
      </c>
      <c r="R42" s="5" t="str">
        <f>AVERAGEIFS('Data Combined - all-runs'!$R:$R, 'Data Combined - all-runs'!$A:$A, A42,'Data Combined - all-runs'!$B:$B, B42,'Data Combined - all-runs'!$C:$C, C42, 'Data Combined - all-runs'!$D:$D, D42, 'Data Combined - all-runs'!$E:$E, E42)</f>
        <v>#DIV/0!</v>
      </c>
      <c r="S42" s="5" t="str">
        <f>AVERAGEIFS('Data Combined - all-runs'!$S:$S, 'Data Combined - all-runs'!$A:$A, A42,'Data Combined - all-runs'!$B:$B, B42,'Data Combined - all-runs'!$C:$C, C42, 'Data Combined - all-runs'!$D:$D, D42, 'Data Combined - all-runs'!$E:$E, E42)</f>
        <v>#DIV/0!</v>
      </c>
      <c r="T42" s="5" t="str">
        <f>AVERAGEIFS('Data Combined - all-runs'!$T:$T, 'Data Combined - all-runs'!$A:$A, A42,'Data Combined - all-runs'!$B:$B, B42,'Data Combined - all-runs'!$C:$C, C42, 'Data Combined - all-runs'!$D:$D, D42, 'Data Combined - all-runs'!$E:$E, E42)</f>
        <v>#DIV/0!</v>
      </c>
      <c r="U42" s="5" t="b">
        <f t="shared" si="1"/>
        <v>0</v>
      </c>
      <c r="V42" s="5" t="b">
        <f t="shared" si="2"/>
        <v>0</v>
      </c>
      <c r="W42" s="5" t="b">
        <f t="shared" si="3"/>
        <v>0</v>
      </c>
    </row>
    <row r="43">
      <c r="A43" s="2" t="s">
        <v>32</v>
      </c>
      <c r="B43" s="2" t="s">
        <v>22</v>
      </c>
      <c r="C43" s="2" t="s">
        <v>35</v>
      </c>
      <c r="D43" s="2" t="s">
        <v>24</v>
      </c>
      <c r="E43" s="2" t="s">
        <v>51</v>
      </c>
      <c r="H43" s="5" t="str">
        <f>AVERAGEIFS('Data Combined - all-runs'!$H:$H, 'Data Combined - all-runs'!$A:$A, A43,'Data Combined - all-runs'!$B:$B, B43,'Data Combined - all-runs'!$C:$C, C43, 'Data Combined - all-runs'!$D:$D, D43, 'Data Combined - all-runs'!$E:$E, E43)</f>
        <v>#DIV/0!</v>
      </c>
      <c r="I43" s="5" t="str">
        <f>AVERAGEIFS('Data Combined - all-runs'!$I:$I, 'Data Combined - all-runs'!$A:$A, A43,'Data Combined - all-runs'!$B:$B, B43,'Data Combined - all-runs'!$C:$C, C43, 'Data Combined - all-runs'!$D:$D, D43, 'Data Combined - all-runs'!$E:$E, E43)</f>
        <v>#DIV/0!</v>
      </c>
      <c r="J43" s="5" t="str">
        <f>AVERAGEIFS('Data Combined - all-runs'!$J:$J, 'Data Combined - all-runs'!$A:$A, A43,'Data Combined - all-runs'!$B:$B, B43,'Data Combined - all-runs'!$C:$C, C43, 'Data Combined - all-runs'!$D:$D, D43, 'Data Combined - all-runs'!$E:$E, E43)</f>
        <v>#DIV/0!</v>
      </c>
      <c r="K43" s="5" t="str">
        <f>AVERAGEIFS('Data Combined - all-runs'!$K:$K, 'Data Combined - all-runs'!$A:$A, A43,'Data Combined - all-runs'!$B:$B, B43,'Data Combined - all-runs'!$C:$C, C43, 'Data Combined - all-runs'!$D:$D, D43, 'Data Combined - all-runs'!$E:$E, E43)</f>
        <v>#DIV/0!</v>
      </c>
      <c r="L43" s="5" t="str">
        <f>AVERAGEIFS('Data Combined - all-runs'!$L:$L, 'Data Combined - all-runs'!$A:$A, A43,'Data Combined - all-runs'!$B:$B, B43,'Data Combined - all-runs'!$C:$C, C43, 'Data Combined - all-runs'!$D:$D, D43, 'Data Combined - all-runs'!$E:$E, E43)</f>
        <v>#DIV/0!</v>
      </c>
      <c r="M43" s="5" t="str">
        <f>AVERAGEIFS('Data Combined - all-runs'!$M:$M, 'Data Combined - all-runs'!$A:$A, A43,'Data Combined - all-runs'!$B:$B, B43,'Data Combined - all-runs'!$C:$C, C43, 'Data Combined - all-runs'!$D:$D, D43, 'Data Combined - all-runs'!$E:$E, E43)</f>
        <v>#DIV/0!</v>
      </c>
      <c r="N43" s="5" t="str">
        <f>AVERAGEIFS('Data Combined - all-runs'!$N:$N, 'Data Combined - all-runs'!$A:$A, A43,'Data Combined - all-runs'!$B:$B, B43,'Data Combined - all-runs'!$C:$C, C43, 'Data Combined - all-runs'!$D:$D, D43, 'Data Combined - all-runs'!$E:$E, E43)</f>
        <v>#DIV/0!</v>
      </c>
      <c r="O43" s="5" t="str">
        <f>AVERAGEIFS('Data Combined - all-runs'!$O:$O, 'Data Combined - all-runs'!$A:$A, A43,'Data Combined - all-runs'!$B:$B, B43,'Data Combined - all-runs'!$C:$C, C43, 'Data Combined - all-runs'!$D:$D, D43, 'Data Combined - all-runs'!$E:$E, E43)</f>
        <v>#DIV/0!</v>
      </c>
      <c r="P43" s="5" t="str">
        <f>AVERAGEIFS('Data Combined - all-runs'!$P:$P, 'Data Combined - all-runs'!$A:$A, A43,'Data Combined - all-runs'!$B:$B, B43,'Data Combined - all-runs'!$C:$C, C43, 'Data Combined - all-runs'!$D:$D, D43, 'Data Combined - all-runs'!$E:$E, E43)</f>
        <v>#DIV/0!</v>
      </c>
      <c r="Q43" s="5" t="str">
        <f>AVERAGEIFS('Data Combined - all-runs'!$Q:$Q, 'Data Combined - all-runs'!$A:$A, A43,'Data Combined - all-runs'!$B:$B, B43,'Data Combined - all-runs'!$C:$C, C43, 'Data Combined - all-runs'!$D:$D, D43, 'Data Combined - all-runs'!$E:$E, E43)</f>
        <v>#DIV/0!</v>
      </c>
      <c r="R43" s="5" t="str">
        <f>AVERAGEIFS('Data Combined - all-runs'!$R:$R, 'Data Combined - all-runs'!$A:$A, A43,'Data Combined - all-runs'!$B:$B, B43,'Data Combined - all-runs'!$C:$C, C43, 'Data Combined - all-runs'!$D:$D, D43, 'Data Combined - all-runs'!$E:$E, E43)</f>
        <v>#DIV/0!</v>
      </c>
      <c r="S43" s="5" t="str">
        <f>AVERAGEIFS('Data Combined - all-runs'!$S:$S, 'Data Combined - all-runs'!$A:$A, A43,'Data Combined - all-runs'!$B:$B, B43,'Data Combined - all-runs'!$C:$C, C43, 'Data Combined - all-runs'!$D:$D, D43, 'Data Combined - all-runs'!$E:$E, E43)</f>
        <v>#DIV/0!</v>
      </c>
      <c r="T43" s="5" t="str">
        <f>AVERAGEIFS('Data Combined - all-runs'!$T:$T, 'Data Combined - all-runs'!$A:$A, A43,'Data Combined - all-runs'!$B:$B, B43,'Data Combined - all-runs'!$C:$C, C43, 'Data Combined - all-runs'!$D:$D, D43, 'Data Combined - all-runs'!$E:$E, E43)</f>
        <v>#DIV/0!</v>
      </c>
      <c r="U43" s="5" t="b">
        <f t="shared" si="1"/>
        <v>0</v>
      </c>
      <c r="V43" s="5" t="b">
        <f t="shared" si="2"/>
        <v>0</v>
      </c>
      <c r="W43" s="5" t="b">
        <f t="shared" si="3"/>
        <v>0</v>
      </c>
    </row>
    <row r="44">
      <c r="A44" s="2" t="s">
        <v>32</v>
      </c>
      <c r="B44" s="2" t="s">
        <v>22</v>
      </c>
      <c r="C44" s="2" t="s">
        <v>35</v>
      </c>
      <c r="D44" s="2" t="s">
        <v>54</v>
      </c>
      <c r="E44" s="2" t="s">
        <v>25</v>
      </c>
      <c r="H44" s="5" t="str">
        <f>AVERAGEIFS('Data Combined - all-runs'!$H:$H, 'Data Combined - all-runs'!$A:$A, A44,'Data Combined - all-runs'!$B:$B, B44,'Data Combined - all-runs'!$C:$C, C44, 'Data Combined - all-runs'!$D:$D, D44, 'Data Combined - all-runs'!$E:$E, E44)</f>
        <v>#DIV/0!</v>
      </c>
      <c r="I44" s="5" t="str">
        <f>AVERAGEIFS('Data Combined - all-runs'!$I:$I, 'Data Combined - all-runs'!$A:$A, A44,'Data Combined - all-runs'!$B:$B, B44,'Data Combined - all-runs'!$C:$C, C44, 'Data Combined - all-runs'!$D:$D, D44, 'Data Combined - all-runs'!$E:$E, E44)</f>
        <v>#DIV/0!</v>
      </c>
      <c r="J44" s="5" t="str">
        <f>AVERAGEIFS('Data Combined - all-runs'!$J:$J, 'Data Combined - all-runs'!$A:$A, A44,'Data Combined - all-runs'!$B:$B, B44,'Data Combined - all-runs'!$C:$C, C44, 'Data Combined - all-runs'!$D:$D, D44, 'Data Combined - all-runs'!$E:$E, E44)</f>
        <v>#DIV/0!</v>
      </c>
      <c r="K44" s="5" t="str">
        <f>AVERAGEIFS('Data Combined - all-runs'!$K:$K, 'Data Combined - all-runs'!$A:$A, A44,'Data Combined - all-runs'!$B:$B, B44,'Data Combined - all-runs'!$C:$C, C44, 'Data Combined - all-runs'!$D:$D, D44, 'Data Combined - all-runs'!$E:$E, E44)</f>
        <v>#DIV/0!</v>
      </c>
      <c r="L44" s="5" t="str">
        <f>AVERAGEIFS('Data Combined - all-runs'!$L:$L, 'Data Combined - all-runs'!$A:$A, A44,'Data Combined - all-runs'!$B:$B, B44,'Data Combined - all-runs'!$C:$C, C44, 'Data Combined - all-runs'!$D:$D, D44, 'Data Combined - all-runs'!$E:$E, E44)</f>
        <v>#DIV/0!</v>
      </c>
      <c r="M44" s="5" t="str">
        <f>AVERAGEIFS('Data Combined - all-runs'!$M:$M, 'Data Combined - all-runs'!$A:$A, A44,'Data Combined - all-runs'!$B:$B, B44,'Data Combined - all-runs'!$C:$C, C44, 'Data Combined - all-runs'!$D:$D, D44, 'Data Combined - all-runs'!$E:$E, E44)</f>
        <v>#DIV/0!</v>
      </c>
      <c r="N44" s="5" t="str">
        <f>AVERAGEIFS('Data Combined - all-runs'!$N:$N, 'Data Combined - all-runs'!$A:$A, A44,'Data Combined - all-runs'!$B:$B, B44,'Data Combined - all-runs'!$C:$C, C44, 'Data Combined - all-runs'!$D:$D, D44, 'Data Combined - all-runs'!$E:$E, E44)</f>
        <v>#DIV/0!</v>
      </c>
      <c r="O44" s="5" t="str">
        <f>AVERAGEIFS('Data Combined - all-runs'!$O:$O, 'Data Combined - all-runs'!$A:$A, A44,'Data Combined - all-runs'!$B:$B, B44,'Data Combined - all-runs'!$C:$C, C44, 'Data Combined - all-runs'!$D:$D, D44, 'Data Combined - all-runs'!$E:$E, E44)</f>
        <v>#DIV/0!</v>
      </c>
      <c r="P44" s="5" t="str">
        <f>AVERAGEIFS('Data Combined - all-runs'!$P:$P, 'Data Combined - all-runs'!$A:$A, A44,'Data Combined - all-runs'!$B:$B, B44,'Data Combined - all-runs'!$C:$C, C44, 'Data Combined - all-runs'!$D:$D, D44, 'Data Combined - all-runs'!$E:$E, E44)</f>
        <v>#DIV/0!</v>
      </c>
      <c r="Q44" s="5" t="str">
        <f>AVERAGEIFS('Data Combined - all-runs'!$Q:$Q, 'Data Combined - all-runs'!$A:$A, A44,'Data Combined - all-runs'!$B:$B, B44,'Data Combined - all-runs'!$C:$C, C44, 'Data Combined - all-runs'!$D:$D, D44, 'Data Combined - all-runs'!$E:$E, E44)</f>
        <v>#DIV/0!</v>
      </c>
      <c r="R44" s="5" t="str">
        <f>AVERAGEIFS('Data Combined - all-runs'!$R:$R, 'Data Combined - all-runs'!$A:$A, A44,'Data Combined - all-runs'!$B:$B, B44,'Data Combined - all-runs'!$C:$C, C44, 'Data Combined - all-runs'!$D:$D, D44, 'Data Combined - all-runs'!$E:$E, E44)</f>
        <v>#DIV/0!</v>
      </c>
      <c r="S44" s="5" t="str">
        <f>AVERAGEIFS('Data Combined - all-runs'!$S:$S, 'Data Combined - all-runs'!$A:$A, A44,'Data Combined - all-runs'!$B:$B, B44,'Data Combined - all-runs'!$C:$C, C44, 'Data Combined - all-runs'!$D:$D, D44, 'Data Combined - all-runs'!$E:$E, E44)</f>
        <v>#DIV/0!</v>
      </c>
      <c r="T44" s="5" t="str">
        <f>AVERAGEIFS('Data Combined - all-runs'!$T:$T, 'Data Combined - all-runs'!$A:$A, A44,'Data Combined - all-runs'!$B:$B, B44,'Data Combined - all-runs'!$C:$C, C44, 'Data Combined - all-runs'!$D:$D, D44, 'Data Combined - all-runs'!$E:$E, E44)</f>
        <v>#DIV/0!</v>
      </c>
      <c r="U44" s="5" t="b">
        <f t="shared" si="1"/>
        <v>0</v>
      </c>
      <c r="V44" s="5" t="b">
        <f t="shared" si="2"/>
        <v>0</v>
      </c>
      <c r="W44" s="5" t="b">
        <f t="shared" si="3"/>
        <v>0</v>
      </c>
    </row>
    <row r="45">
      <c r="A45" s="2" t="s">
        <v>32</v>
      </c>
      <c r="B45" s="2" t="s">
        <v>22</v>
      </c>
      <c r="C45" s="2" t="s">
        <v>35</v>
      </c>
      <c r="D45" s="2" t="s">
        <v>54</v>
      </c>
      <c r="E45" s="2" t="s">
        <v>39</v>
      </c>
      <c r="H45" s="5" t="str">
        <f>AVERAGEIFS('Data Combined - all-runs'!$H:$H, 'Data Combined - all-runs'!$A:$A, A45,'Data Combined - all-runs'!$B:$B, B45,'Data Combined - all-runs'!$C:$C, C45, 'Data Combined - all-runs'!$D:$D, D45, 'Data Combined - all-runs'!$E:$E, E45)</f>
        <v>#DIV/0!</v>
      </c>
      <c r="I45" s="5" t="str">
        <f>AVERAGEIFS('Data Combined - all-runs'!$I:$I, 'Data Combined - all-runs'!$A:$A, A45,'Data Combined - all-runs'!$B:$B, B45,'Data Combined - all-runs'!$C:$C, C45, 'Data Combined - all-runs'!$D:$D, D45, 'Data Combined - all-runs'!$E:$E, E45)</f>
        <v>#DIV/0!</v>
      </c>
      <c r="J45" s="5" t="str">
        <f>AVERAGEIFS('Data Combined - all-runs'!$J:$J, 'Data Combined - all-runs'!$A:$A, A45,'Data Combined - all-runs'!$B:$B, B45,'Data Combined - all-runs'!$C:$C, C45, 'Data Combined - all-runs'!$D:$D, D45, 'Data Combined - all-runs'!$E:$E, E45)</f>
        <v>#DIV/0!</v>
      </c>
      <c r="K45" s="5" t="str">
        <f>AVERAGEIFS('Data Combined - all-runs'!$K:$K, 'Data Combined - all-runs'!$A:$A, A45,'Data Combined - all-runs'!$B:$B, B45,'Data Combined - all-runs'!$C:$C, C45, 'Data Combined - all-runs'!$D:$D, D45, 'Data Combined - all-runs'!$E:$E, E45)</f>
        <v>#DIV/0!</v>
      </c>
      <c r="L45" s="5" t="str">
        <f>AVERAGEIFS('Data Combined - all-runs'!$L:$L, 'Data Combined - all-runs'!$A:$A, A45,'Data Combined - all-runs'!$B:$B, B45,'Data Combined - all-runs'!$C:$C, C45, 'Data Combined - all-runs'!$D:$D, D45, 'Data Combined - all-runs'!$E:$E, E45)</f>
        <v>#DIV/0!</v>
      </c>
      <c r="M45" s="5" t="str">
        <f>AVERAGEIFS('Data Combined - all-runs'!$M:$M, 'Data Combined - all-runs'!$A:$A, A45,'Data Combined - all-runs'!$B:$B, B45,'Data Combined - all-runs'!$C:$C, C45, 'Data Combined - all-runs'!$D:$D, D45, 'Data Combined - all-runs'!$E:$E, E45)</f>
        <v>#DIV/0!</v>
      </c>
      <c r="N45" s="5" t="str">
        <f>AVERAGEIFS('Data Combined - all-runs'!$N:$N, 'Data Combined - all-runs'!$A:$A, A45,'Data Combined - all-runs'!$B:$B, B45,'Data Combined - all-runs'!$C:$C, C45, 'Data Combined - all-runs'!$D:$D, D45, 'Data Combined - all-runs'!$E:$E, E45)</f>
        <v>#DIV/0!</v>
      </c>
      <c r="O45" s="5" t="str">
        <f>AVERAGEIFS('Data Combined - all-runs'!$O:$O, 'Data Combined - all-runs'!$A:$A, A45,'Data Combined - all-runs'!$B:$B, B45,'Data Combined - all-runs'!$C:$C, C45, 'Data Combined - all-runs'!$D:$D, D45, 'Data Combined - all-runs'!$E:$E, E45)</f>
        <v>#DIV/0!</v>
      </c>
      <c r="P45" s="5" t="str">
        <f>AVERAGEIFS('Data Combined - all-runs'!$P:$P, 'Data Combined - all-runs'!$A:$A, A45,'Data Combined - all-runs'!$B:$B, B45,'Data Combined - all-runs'!$C:$C, C45, 'Data Combined - all-runs'!$D:$D, D45, 'Data Combined - all-runs'!$E:$E, E45)</f>
        <v>#DIV/0!</v>
      </c>
      <c r="Q45" s="5" t="str">
        <f>AVERAGEIFS('Data Combined - all-runs'!$Q:$Q, 'Data Combined - all-runs'!$A:$A, A45,'Data Combined - all-runs'!$B:$B, B45,'Data Combined - all-runs'!$C:$C, C45, 'Data Combined - all-runs'!$D:$D, D45, 'Data Combined - all-runs'!$E:$E, E45)</f>
        <v>#DIV/0!</v>
      </c>
      <c r="R45" s="5" t="str">
        <f>AVERAGEIFS('Data Combined - all-runs'!$R:$R, 'Data Combined - all-runs'!$A:$A, A45,'Data Combined - all-runs'!$B:$B, B45,'Data Combined - all-runs'!$C:$C, C45, 'Data Combined - all-runs'!$D:$D, D45, 'Data Combined - all-runs'!$E:$E, E45)</f>
        <v>#DIV/0!</v>
      </c>
      <c r="S45" s="5" t="str">
        <f>AVERAGEIFS('Data Combined - all-runs'!$S:$S, 'Data Combined - all-runs'!$A:$A, A45,'Data Combined - all-runs'!$B:$B, B45,'Data Combined - all-runs'!$C:$C, C45, 'Data Combined - all-runs'!$D:$D, D45, 'Data Combined - all-runs'!$E:$E, E45)</f>
        <v>#DIV/0!</v>
      </c>
      <c r="T45" s="5" t="str">
        <f>AVERAGEIFS('Data Combined - all-runs'!$T:$T, 'Data Combined - all-runs'!$A:$A, A45,'Data Combined - all-runs'!$B:$B, B45,'Data Combined - all-runs'!$C:$C, C45, 'Data Combined - all-runs'!$D:$D, D45, 'Data Combined - all-runs'!$E:$E, E45)</f>
        <v>#DIV/0!</v>
      </c>
      <c r="U45" s="5" t="b">
        <f t="shared" si="1"/>
        <v>0</v>
      </c>
      <c r="V45" s="5" t="b">
        <f t="shared" si="2"/>
        <v>0</v>
      </c>
      <c r="W45" s="5" t="b">
        <f t="shared" si="3"/>
        <v>0</v>
      </c>
    </row>
    <row r="46">
      <c r="A46" s="2" t="s">
        <v>32</v>
      </c>
      <c r="B46" s="2" t="s">
        <v>22</v>
      </c>
      <c r="C46" s="2" t="s">
        <v>35</v>
      </c>
      <c r="D46" s="2" t="s">
        <v>54</v>
      </c>
      <c r="E46" s="2" t="s">
        <v>43</v>
      </c>
      <c r="H46" s="5" t="str">
        <f>AVERAGEIFS('Data Combined - all-runs'!$H:$H, 'Data Combined - all-runs'!$A:$A, A46,'Data Combined - all-runs'!$B:$B, B46,'Data Combined - all-runs'!$C:$C, C46, 'Data Combined - all-runs'!$D:$D, D46, 'Data Combined - all-runs'!$E:$E, E46)</f>
        <v>#DIV/0!</v>
      </c>
      <c r="I46" s="5" t="str">
        <f>AVERAGEIFS('Data Combined - all-runs'!$I:$I, 'Data Combined - all-runs'!$A:$A, A46,'Data Combined - all-runs'!$B:$B, B46,'Data Combined - all-runs'!$C:$C, C46, 'Data Combined - all-runs'!$D:$D, D46, 'Data Combined - all-runs'!$E:$E, E46)</f>
        <v>#DIV/0!</v>
      </c>
      <c r="J46" s="5" t="str">
        <f>AVERAGEIFS('Data Combined - all-runs'!$J:$J, 'Data Combined - all-runs'!$A:$A, A46,'Data Combined - all-runs'!$B:$B, B46,'Data Combined - all-runs'!$C:$C, C46, 'Data Combined - all-runs'!$D:$D, D46, 'Data Combined - all-runs'!$E:$E, E46)</f>
        <v>#DIV/0!</v>
      </c>
      <c r="K46" s="5" t="str">
        <f>AVERAGEIFS('Data Combined - all-runs'!$K:$K, 'Data Combined - all-runs'!$A:$A, A46,'Data Combined - all-runs'!$B:$B, B46,'Data Combined - all-runs'!$C:$C, C46, 'Data Combined - all-runs'!$D:$D, D46, 'Data Combined - all-runs'!$E:$E, E46)</f>
        <v>#DIV/0!</v>
      </c>
      <c r="L46" s="5" t="str">
        <f>AVERAGEIFS('Data Combined - all-runs'!$L:$L, 'Data Combined - all-runs'!$A:$A, A46,'Data Combined - all-runs'!$B:$B, B46,'Data Combined - all-runs'!$C:$C, C46, 'Data Combined - all-runs'!$D:$D, D46, 'Data Combined - all-runs'!$E:$E, E46)</f>
        <v>#DIV/0!</v>
      </c>
      <c r="M46" s="5" t="str">
        <f>AVERAGEIFS('Data Combined - all-runs'!$M:$M, 'Data Combined - all-runs'!$A:$A, A46,'Data Combined - all-runs'!$B:$B, B46,'Data Combined - all-runs'!$C:$C, C46, 'Data Combined - all-runs'!$D:$D, D46, 'Data Combined - all-runs'!$E:$E, E46)</f>
        <v>#DIV/0!</v>
      </c>
      <c r="N46" s="5" t="str">
        <f>AVERAGEIFS('Data Combined - all-runs'!$N:$N, 'Data Combined - all-runs'!$A:$A, A46,'Data Combined - all-runs'!$B:$B, B46,'Data Combined - all-runs'!$C:$C, C46, 'Data Combined - all-runs'!$D:$D, D46, 'Data Combined - all-runs'!$E:$E, E46)</f>
        <v>#DIV/0!</v>
      </c>
      <c r="O46" s="5" t="str">
        <f>AVERAGEIFS('Data Combined - all-runs'!$O:$O, 'Data Combined - all-runs'!$A:$A, A46,'Data Combined - all-runs'!$B:$B, B46,'Data Combined - all-runs'!$C:$C, C46, 'Data Combined - all-runs'!$D:$D, D46, 'Data Combined - all-runs'!$E:$E, E46)</f>
        <v>#DIV/0!</v>
      </c>
      <c r="P46" s="5" t="str">
        <f>AVERAGEIFS('Data Combined - all-runs'!$P:$P, 'Data Combined - all-runs'!$A:$A, A46,'Data Combined - all-runs'!$B:$B, B46,'Data Combined - all-runs'!$C:$C, C46, 'Data Combined - all-runs'!$D:$D, D46, 'Data Combined - all-runs'!$E:$E, E46)</f>
        <v>#DIV/0!</v>
      </c>
      <c r="Q46" s="5" t="str">
        <f>AVERAGEIFS('Data Combined - all-runs'!$Q:$Q, 'Data Combined - all-runs'!$A:$A, A46,'Data Combined - all-runs'!$B:$B, B46,'Data Combined - all-runs'!$C:$C, C46, 'Data Combined - all-runs'!$D:$D, D46, 'Data Combined - all-runs'!$E:$E, E46)</f>
        <v>#DIV/0!</v>
      </c>
      <c r="R46" s="5" t="str">
        <f>AVERAGEIFS('Data Combined - all-runs'!$R:$R, 'Data Combined - all-runs'!$A:$A, A46,'Data Combined - all-runs'!$B:$B, B46,'Data Combined - all-runs'!$C:$C, C46, 'Data Combined - all-runs'!$D:$D, D46, 'Data Combined - all-runs'!$E:$E, E46)</f>
        <v>#DIV/0!</v>
      </c>
      <c r="S46" s="5" t="str">
        <f>AVERAGEIFS('Data Combined - all-runs'!$S:$S, 'Data Combined - all-runs'!$A:$A, A46,'Data Combined - all-runs'!$B:$B, B46,'Data Combined - all-runs'!$C:$C, C46, 'Data Combined - all-runs'!$D:$D, D46, 'Data Combined - all-runs'!$E:$E, E46)</f>
        <v>#DIV/0!</v>
      </c>
      <c r="T46" s="5" t="str">
        <f>AVERAGEIFS('Data Combined - all-runs'!$T:$T, 'Data Combined - all-runs'!$A:$A, A46,'Data Combined - all-runs'!$B:$B, B46,'Data Combined - all-runs'!$C:$C, C46, 'Data Combined - all-runs'!$D:$D, D46, 'Data Combined - all-runs'!$E:$E, E46)</f>
        <v>#DIV/0!</v>
      </c>
      <c r="U46" s="5" t="b">
        <f t="shared" si="1"/>
        <v>0</v>
      </c>
      <c r="V46" s="5" t="b">
        <f t="shared" si="2"/>
        <v>0</v>
      </c>
      <c r="W46" s="5" t="b">
        <f t="shared" si="3"/>
        <v>0</v>
      </c>
    </row>
    <row r="47">
      <c r="A47" s="2" t="s">
        <v>32</v>
      </c>
      <c r="B47" s="2" t="s">
        <v>22</v>
      </c>
      <c r="C47" s="2" t="s">
        <v>35</v>
      </c>
      <c r="D47" s="2" t="s">
        <v>54</v>
      </c>
      <c r="E47" s="2" t="s">
        <v>34</v>
      </c>
      <c r="H47" s="5" t="str">
        <f>AVERAGEIFS('Data Combined - all-runs'!$H:$H, 'Data Combined - all-runs'!$A:$A, A47,'Data Combined - all-runs'!$B:$B, B47,'Data Combined - all-runs'!$C:$C, C47, 'Data Combined - all-runs'!$D:$D, D47, 'Data Combined - all-runs'!$E:$E, E47)</f>
        <v>#DIV/0!</v>
      </c>
      <c r="I47" s="5" t="str">
        <f>AVERAGEIFS('Data Combined - all-runs'!$I:$I, 'Data Combined - all-runs'!$A:$A, A47,'Data Combined - all-runs'!$B:$B, B47,'Data Combined - all-runs'!$C:$C, C47, 'Data Combined - all-runs'!$D:$D, D47, 'Data Combined - all-runs'!$E:$E, E47)</f>
        <v>#DIV/0!</v>
      </c>
      <c r="J47" s="5" t="str">
        <f>AVERAGEIFS('Data Combined - all-runs'!$J:$J, 'Data Combined - all-runs'!$A:$A, A47,'Data Combined - all-runs'!$B:$B, B47,'Data Combined - all-runs'!$C:$C, C47, 'Data Combined - all-runs'!$D:$D, D47, 'Data Combined - all-runs'!$E:$E, E47)</f>
        <v>#DIV/0!</v>
      </c>
      <c r="K47" s="5" t="str">
        <f>AVERAGEIFS('Data Combined - all-runs'!$K:$K, 'Data Combined - all-runs'!$A:$A, A47,'Data Combined - all-runs'!$B:$B, B47,'Data Combined - all-runs'!$C:$C, C47, 'Data Combined - all-runs'!$D:$D, D47, 'Data Combined - all-runs'!$E:$E, E47)</f>
        <v>#DIV/0!</v>
      </c>
      <c r="L47" s="5" t="str">
        <f>AVERAGEIFS('Data Combined - all-runs'!$L:$L, 'Data Combined - all-runs'!$A:$A, A47,'Data Combined - all-runs'!$B:$B, B47,'Data Combined - all-runs'!$C:$C, C47, 'Data Combined - all-runs'!$D:$D, D47, 'Data Combined - all-runs'!$E:$E, E47)</f>
        <v>#DIV/0!</v>
      </c>
      <c r="M47" s="5" t="str">
        <f>AVERAGEIFS('Data Combined - all-runs'!$M:$M, 'Data Combined - all-runs'!$A:$A, A47,'Data Combined - all-runs'!$B:$B, B47,'Data Combined - all-runs'!$C:$C, C47, 'Data Combined - all-runs'!$D:$D, D47, 'Data Combined - all-runs'!$E:$E, E47)</f>
        <v>#DIV/0!</v>
      </c>
      <c r="N47" s="5" t="str">
        <f>AVERAGEIFS('Data Combined - all-runs'!$N:$N, 'Data Combined - all-runs'!$A:$A, A47,'Data Combined - all-runs'!$B:$B, B47,'Data Combined - all-runs'!$C:$C, C47, 'Data Combined - all-runs'!$D:$D, D47, 'Data Combined - all-runs'!$E:$E, E47)</f>
        <v>#DIV/0!</v>
      </c>
      <c r="O47" s="5" t="str">
        <f>AVERAGEIFS('Data Combined - all-runs'!$O:$O, 'Data Combined - all-runs'!$A:$A, A47,'Data Combined - all-runs'!$B:$B, B47,'Data Combined - all-runs'!$C:$C, C47, 'Data Combined - all-runs'!$D:$D, D47, 'Data Combined - all-runs'!$E:$E, E47)</f>
        <v>#DIV/0!</v>
      </c>
      <c r="P47" s="5" t="str">
        <f>AVERAGEIFS('Data Combined - all-runs'!$P:$P, 'Data Combined - all-runs'!$A:$A, A47,'Data Combined - all-runs'!$B:$B, B47,'Data Combined - all-runs'!$C:$C, C47, 'Data Combined - all-runs'!$D:$D, D47, 'Data Combined - all-runs'!$E:$E, E47)</f>
        <v>#DIV/0!</v>
      </c>
      <c r="Q47" s="5" t="str">
        <f>AVERAGEIFS('Data Combined - all-runs'!$Q:$Q, 'Data Combined - all-runs'!$A:$A, A47,'Data Combined - all-runs'!$B:$B, B47,'Data Combined - all-runs'!$C:$C, C47, 'Data Combined - all-runs'!$D:$D, D47, 'Data Combined - all-runs'!$E:$E, E47)</f>
        <v>#DIV/0!</v>
      </c>
      <c r="R47" s="5" t="str">
        <f>AVERAGEIFS('Data Combined - all-runs'!$R:$R, 'Data Combined - all-runs'!$A:$A, A47,'Data Combined - all-runs'!$B:$B, B47,'Data Combined - all-runs'!$C:$C, C47, 'Data Combined - all-runs'!$D:$D, D47, 'Data Combined - all-runs'!$E:$E, E47)</f>
        <v>#DIV/0!</v>
      </c>
      <c r="S47" s="5" t="str">
        <f>AVERAGEIFS('Data Combined - all-runs'!$S:$S, 'Data Combined - all-runs'!$A:$A, A47,'Data Combined - all-runs'!$B:$B, B47,'Data Combined - all-runs'!$C:$C, C47, 'Data Combined - all-runs'!$D:$D, D47, 'Data Combined - all-runs'!$E:$E, E47)</f>
        <v>#DIV/0!</v>
      </c>
      <c r="T47" s="5" t="str">
        <f>AVERAGEIFS('Data Combined - all-runs'!$T:$T, 'Data Combined - all-runs'!$A:$A, A47,'Data Combined - all-runs'!$B:$B, B47,'Data Combined - all-runs'!$C:$C, C47, 'Data Combined - all-runs'!$D:$D, D47, 'Data Combined - all-runs'!$E:$E, E47)</f>
        <v>#DIV/0!</v>
      </c>
      <c r="U47" s="5" t="b">
        <f t="shared" si="1"/>
        <v>0</v>
      </c>
      <c r="V47" s="5" t="b">
        <f t="shared" si="2"/>
        <v>0</v>
      </c>
      <c r="W47" s="5" t="b">
        <f t="shared" si="3"/>
        <v>0</v>
      </c>
    </row>
    <row r="48">
      <c r="A48" s="2" t="s">
        <v>32</v>
      </c>
      <c r="B48" s="2" t="s">
        <v>22</v>
      </c>
      <c r="C48" s="2" t="s">
        <v>35</v>
      </c>
      <c r="D48" s="2" t="s">
        <v>54</v>
      </c>
      <c r="E48" s="2" t="s">
        <v>47</v>
      </c>
      <c r="H48" s="5" t="str">
        <f>AVERAGEIFS('Data Combined - all-runs'!$H:$H, 'Data Combined - all-runs'!$A:$A, A48,'Data Combined - all-runs'!$B:$B, B48,'Data Combined - all-runs'!$C:$C, C48, 'Data Combined - all-runs'!$D:$D, D48, 'Data Combined - all-runs'!$E:$E, E48)</f>
        <v>#DIV/0!</v>
      </c>
      <c r="I48" s="5" t="str">
        <f>AVERAGEIFS('Data Combined - all-runs'!$I:$I, 'Data Combined - all-runs'!$A:$A, A48,'Data Combined - all-runs'!$B:$B, B48,'Data Combined - all-runs'!$C:$C, C48, 'Data Combined - all-runs'!$D:$D, D48, 'Data Combined - all-runs'!$E:$E, E48)</f>
        <v>#DIV/0!</v>
      </c>
      <c r="J48" s="5" t="str">
        <f>AVERAGEIFS('Data Combined - all-runs'!$J:$J, 'Data Combined - all-runs'!$A:$A, A48,'Data Combined - all-runs'!$B:$B, B48,'Data Combined - all-runs'!$C:$C, C48, 'Data Combined - all-runs'!$D:$D, D48, 'Data Combined - all-runs'!$E:$E, E48)</f>
        <v>#DIV/0!</v>
      </c>
      <c r="K48" s="5" t="str">
        <f>AVERAGEIFS('Data Combined - all-runs'!$K:$K, 'Data Combined - all-runs'!$A:$A, A48,'Data Combined - all-runs'!$B:$B, B48,'Data Combined - all-runs'!$C:$C, C48, 'Data Combined - all-runs'!$D:$D, D48, 'Data Combined - all-runs'!$E:$E, E48)</f>
        <v>#DIV/0!</v>
      </c>
      <c r="L48" s="5" t="str">
        <f>AVERAGEIFS('Data Combined - all-runs'!$L:$L, 'Data Combined - all-runs'!$A:$A, A48,'Data Combined - all-runs'!$B:$B, B48,'Data Combined - all-runs'!$C:$C, C48, 'Data Combined - all-runs'!$D:$D, D48, 'Data Combined - all-runs'!$E:$E, E48)</f>
        <v>#DIV/0!</v>
      </c>
      <c r="M48" s="5" t="str">
        <f>AVERAGEIFS('Data Combined - all-runs'!$M:$M, 'Data Combined - all-runs'!$A:$A, A48,'Data Combined - all-runs'!$B:$B, B48,'Data Combined - all-runs'!$C:$C, C48, 'Data Combined - all-runs'!$D:$D, D48, 'Data Combined - all-runs'!$E:$E, E48)</f>
        <v>#DIV/0!</v>
      </c>
      <c r="N48" s="5" t="str">
        <f>AVERAGEIFS('Data Combined - all-runs'!$N:$N, 'Data Combined - all-runs'!$A:$A, A48,'Data Combined - all-runs'!$B:$B, B48,'Data Combined - all-runs'!$C:$C, C48, 'Data Combined - all-runs'!$D:$D, D48, 'Data Combined - all-runs'!$E:$E, E48)</f>
        <v>#DIV/0!</v>
      </c>
      <c r="O48" s="5" t="str">
        <f>AVERAGEIFS('Data Combined - all-runs'!$O:$O, 'Data Combined - all-runs'!$A:$A, A48,'Data Combined - all-runs'!$B:$B, B48,'Data Combined - all-runs'!$C:$C, C48, 'Data Combined - all-runs'!$D:$D, D48, 'Data Combined - all-runs'!$E:$E, E48)</f>
        <v>#DIV/0!</v>
      </c>
      <c r="P48" s="5" t="str">
        <f>AVERAGEIFS('Data Combined - all-runs'!$P:$P, 'Data Combined - all-runs'!$A:$A, A48,'Data Combined - all-runs'!$B:$B, B48,'Data Combined - all-runs'!$C:$C, C48, 'Data Combined - all-runs'!$D:$D, D48, 'Data Combined - all-runs'!$E:$E, E48)</f>
        <v>#DIV/0!</v>
      </c>
      <c r="Q48" s="5" t="str">
        <f>AVERAGEIFS('Data Combined - all-runs'!$Q:$Q, 'Data Combined - all-runs'!$A:$A, A48,'Data Combined - all-runs'!$B:$B, B48,'Data Combined - all-runs'!$C:$C, C48, 'Data Combined - all-runs'!$D:$D, D48, 'Data Combined - all-runs'!$E:$E, E48)</f>
        <v>#DIV/0!</v>
      </c>
      <c r="R48" s="5" t="str">
        <f>AVERAGEIFS('Data Combined - all-runs'!$R:$R, 'Data Combined - all-runs'!$A:$A, A48,'Data Combined - all-runs'!$B:$B, B48,'Data Combined - all-runs'!$C:$C, C48, 'Data Combined - all-runs'!$D:$D, D48, 'Data Combined - all-runs'!$E:$E, E48)</f>
        <v>#DIV/0!</v>
      </c>
      <c r="S48" s="5" t="str">
        <f>AVERAGEIFS('Data Combined - all-runs'!$S:$S, 'Data Combined - all-runs'!$A:$A, A48,'Data Combined - all-runs'!$B:$B, B48,'Data Combined - all-runs'!$C:$C, C48, 'Data Combined - all-runs'!$D:$D, D48, 'Data Combined - all-runs'!$E:$E, E48)</f>
        <v>#DIV/0!</v>
      </c>
      <c r="T48" s="5" t="str">
        <f>AVERAGEIFS('Data Combined - all-runs'!$T:$T, 'Data Combined - all-runs'!$A:$A, A48,'Data Combined - all-runs'!$B:$B, B48,'Data Combined - all-runs'!$C:$C, C48, 'Data Combined - all-runs'!$D:$D, D48, 'Data Combined - all-runs'!$E:$E, E48)</f>
        <v>#DIV/0!</v>
      </c>
      <c r="U48" s="5" t="b">
        <f t="shared" si="1"/>
        <v>0</v>
      </c>
      <c r="V48" s="5" t="b">
        <f t="shared" si="2"/>
        <v>0</v>
      </c>
      <c r="W48" s="5" t="b">
        <f t="shared" si="3"/>
        <v>0</v>
      </c>
    </row>
    <row r="49">
      <c r="A49" s="2" t="s">
        <v>32</v>
      </c>
      <c r="B49" s="2" t="s">
        <v>22</v>
      </c>
      <c r="C49" s="2" t="s">
        <v>35</v>
      </c>
      <c r="D49" s="2" t="s">
        <v>54</v>
      </c>
      <c r="E49" s="2" t="s">
        <v>51</v>
      </c>
      <c r="H49" s="5" t="str">
        <f>AVERAGEIFS('Data Combined - all-runs'!$H:$H, 'Data Combined - all-runs'!$A:$A, A49,'Data Combined - all-runs'!$B:$B, B49,'Data Combined - all-runs'!$C:$C, C49, 'Data Combined - all-runs'!$D:$D, D49, 'Data Combined - all-runs'!$E:$E, E49)</f>
        <v>#DIV/0!</v>
      </c>
      <c r="I49" s="5" t="str">
        <f>AVERAGEIFS('Data Combined - all-runs'!$I:$I, 'Data Combined - all-runs'!$A:$A, A49,'Data Combined - all-runs'!$B:$B, B49,'Data Combined - all-runs'!$C:$C, C49, 'Data Combined - all-runs'!$D:$D, D49, 'Data Combined - all-runs'!$E:$E, E49)</f>
        <v>#DIV/0!</v>
      </c>
      <c r="J49" s="5" t="str">
        <f>AVERAGEIFS('Data Combined - all-runs'!$J:$J, 'Data Combined - all-runs'!$A:$A, A49,'Data Combined - all-runs'!$B:$B, B49,'Data Combined - all-runs'!$C:$C, C49, 'Data Combined - all-runs'!$D:$D, D49, 'Data Combined - all-runs'!$E:$E, E49)</f>
        <v>#DIV/0!</v>
      </c>
      <c r="K49" s="5" t="str">
        <f>AVERAGEIFS('Data Combined - all-runs'!$K:$K, 'Data Combined - all-runs'!$A:$A, A49,'Data Combined - all-runs'!$B:$B, B49,'Data Combined - all-runs'!$C:$C, C49, 'Data Combined - all-runs'!$D:$D, D49, 'Data Combined - all-runs'!$E:$E, E49)</f>
        <v>#DIV/0!</v>
      </c>
      <c r="L49" s="5" t="str">
        <f>AVERAGEIFS('Data Combined - all-runs'!$L:$L, 'Data Combined - all-runs'!$A:$A, A49,'Data Combined - all-runs'!$B:$B, B49,'Data Combined - all-runs'!$C:$C, C49, 'Data Combined - all-runs'!$D:$D, D49, 'Data Combined - all-runs'!$E:$E, E49)</f>
        <v>#DIV/0!</v>
      </c>
      <c r="M49" s="5" t="str">
        <f>AVERAGEIFS('Data Combined - all-runs'!$M:$M, 'Data Combined - all-runs'!$A:$A, A49,'Data Combined - all-runs'!$B:$B, B49,'Data Combined - all-runs'!$C:$C, C49, 'Data Combined - all-runs'!$D:$D, D49, 'Data Combined - all-runs'!$E:$E, E49)</f>
        <v>#DIV/0!</v>
      </c>
      <c r="N49" s="5" t="str">
        <f>AVERAGEIFS('Data Combined - all-runs'!$N:$N, 'Data Combined - all-runs'!$A:$A, A49,'Data Combined - all-runs'!$B:$B, B49,'Data Combined - all-runs'!$C:$C, C49, 'Data Combined - all-runs'!$D:$D, D49, 'Data Combined - all-runs'!$E:$E, E49)</f>
        <v>#DIV/0!</v>
      </c>
      <c r="O49" s="5" t="str">
        <f>AVERAGEIFS('Data Combined - all-runs'!$O:$O, 'Data Combined - all-runs'!$A:$A, A49,'Data Combined - all-runs'!$B:$B, B49,'Data Combined - all-runs'!$C:$C, C49, 'Data Combined - all-runs'!$D:$D, D49, 'Data Combined - all-runs'!$E:$E, E49)</f>
        <v>#DIV/0!</v>
      </c>
      <c r="P49" s="5" t="str">
        <f>AVERAGEIFS('Data Combined - all-runs'!$P:$P, 'Data Combined - all-runs'!$A:$A, A49,'Data Combined - all-runs'!$B:$B, B49,'Data Combined - all-runs'!$C:$C, C49, 'Data Combined - all-runs'!$D:$D, D49, 'Data Combined - all-runs'!$E:$E, E49)</f>
        <v>#DIV/0!</v>
      </c>
      <c r="Q49" s="5" t="str">
        <f>AVERAGEIFS('Data Combined - all-runs'!$Q:$Q, 'Data Combined - all-runs'!$A:$A, A49,'Data Combined - all-runs'!$B:$B, B49,'Data Combined - all-runs'!$C:$C, C49, 'Data Combined - all-runs'!$D:$D, D49, 'Data Combined - all-runs'!$E:$E, E49)</f>
        <v>#DIV/0!</v>
      </c>
      <c r="R49" s="5" t="str">
        <f>AVERAGEIFS('Data Combined - all-runs'!$R:$R, 'Data Combined - all-runs'!$A:$A, A49,'Data Combined - all-runs'!$B:$B, B49,'Data Combined - all-runs'!$C:$C, C49, 'Data Combined - all-runs'!$D:$D, D49, 'Data Combined - all-runs'!$E:$E, E49)</f>
        <v>#DIV/0!</v>
      </c>
      <c r="S49" s="5" t="str">
        <f>AVERAGEIFS('Data Combined - all-runs'!$S:$S, 'Data Combined - all-runs'!$A:$A, A49,'Data Combined - all-runs'!$B:$B, B49,'Data Combined - all-runs'!$C:$C, C49, 'Data Combined - all-runs'!$D:$D, D49, 'Data Combined - all-runs'!$E:$E, E49)</f>
        <v>#DIV/0!</v>
      </c>
      <c r="T49" s="5" t="str">
        <f>AVERAGEIFS('Data Combined - all-runs'!$T:$T, 'Data Combined - all-runs'!$A:$A, A49,'Data Combined - all-runs'!$B:$B, B49,'Data Combined - all-runs'!$C:$C, C49, 'Data Combined - all-runs'!$D:$D, D49, 'Data Combined - all-runs'!$E:$E, E49)</f>
        <v>#DIV/0!</v>
      </c>
      <c r="U49" s="5" t="b">
        <f t="shared" si="1"/>
        <v>0</v>
      </c>
      <c r="V49" s="5" t="b">
        <f t="shared" si="2"/>
        <v>0</v>
      </c>
      <c r="W49" s="5" t="b">
        <f t="shared" si="3"/>
        <v>0</v>
      </c>
    </row>
    <row r="50">
      <c r="A50" s="2" t="s">
        <v>32</v>
      </c>
      <c r="B50" s="2" t="s">
        <v>22</v>
      </c>
      <c r="C50" s="2" t="s">
        <v>35</v>
      </c>
      <c r="D50" s="2" t="s">
        <v>72</v>
      </c>
      <c r="E50" s="2" t="s">
        <v>25</v>
      </c>
      <c r="H50" s="5" t="str">
        <f>AVERAGEIFS('Data Combined - all-runs'!$H:$H, 'Data Combined - all-runs'!$A:$A, A50,'Data Combined - all-runs'!$B:$B, B50,'Data Combined - all-runs'!$C:$C, C50, 'Data Combined - all-runs'!$D:$D, D50, 'Data Combined - all-runs'!$E:$E, E50)</f>
        <v>#DIV/0!</v>
      </c>
      <c r="I50" s="5" t="str">
        <f>AVERAGEIFS('Data Combined - all-runs'!$I:$I, 'Data Combined - all-runs'!$A:$A, A50,'Data Combined - all-runs'!$B:$B, B50,'Data Combined - all-runs'!$C:$C, C50, 'Data Combined - all-runs'!$D:$D, D50, 'Data Combined - all-runs'!$E:$E, E50)</f>
        <v>#DIV/0!</v>
      </c>
      <c r="J50" s="5" t="str">
        <f>AVERAGEIFS('Data Combined - all-runs'!$J:$J, 'Data Combined - all-runs'!$A:$A, A50,'Data Combined - all-runs'!$B:$B, B50,'Data Combined - all-runs'!$C:$C, C50, 'Data Combined - all-runs'!$D:$D, D50, 'Data Combined - all-runs'!$E:$E, E50)</f>
        <v>#DIV/0!</v>
      </c>
      <c r="K50" s="5" t="str">
        <f>AVERAGEIFS('Data Combined - all-runs'!$K:$K, 'Data Combined - all-runs'!$A:$A, A50,'Data Combined - all-runs'!$B:$B, B50,'Data Combined - all-runs'!$C:$C, C50, 'Data Combined - all-runs'!$D:$D, D50, 'Data Combined - all-runs'!$E:$E, E50)</f>
        <v>#DIV/0!</v>
      </c>
      <c r="L50" s="5" t="str">
        <f>AVERAGEIFS('Data Combined - all-runs'!$L:$L, 'Data Combined - all-runs'!$A:$A, A50,'Data Combined - all-runs'!$B:$B, B50,'Data Combined - all-runs'!$C:$C, C50, 'Data Combined - all-runs'!$D:$D, D50, 'Data Combined - all-runs'!$E:$E, E50)</f>
        <v>#DIV/0!</v>
      </c>
      <c r="M50" s="5" t="str">
        <f>AVERAGEIFS('Data Combined - all-runs'!$M:$M, 'Data Combined - all-runs'!$A:$A, A50,'Data Combined - all-runs'!$B:$B, B50,'Data Combined - all-runs'!$C:$C, C50, 'Data Combined - all-runs'!$D:$D, D50, 'Data Combined - all-runs'!$E:$E, E50)</f>
        <v>#DIV/0!</v>
      </c>
      <c r="N50" s="5" t="str">
        <f>AVERAGEIFS('Data Combined - all-runs'!$N:$N, 'Data Combined - all-runs'!$A:$A, A50,'Data Combined - all-runs'!$B:$B, B50,'Data Combined - all-runs'!$C:$C, C50, 'Data Combined - all-runs'!$D:$D, D50, 'Data Combined - all-runs'!$E:$E, E50)</f>
        <v>#DIV/0!</v>
      </c>
      <c r="O50" s="5" t="str">
        <f>AVERAGEIFS('Data Combined - all-runs'!$O:$O, 'Data Combined - all-runs'!$A:$A, A50,'Data Combined - all-runs'!$B:$B, B50,'Data Combined - all-runs'!$C:$C, C50, 'Data Combined - all-runs'!$D:$D, D50, 'Data Combined - all-runs'!$E:$E, E50)</f>
        <v>#DIV/0!</v>
      </c>
      <c r="P50" s="5" t="str">
        <f>AVERAGEIFS('Data Combined - all-runs'!$P:$P, 'Data Combined - all-runs'!$A:$A, A50,'Data Combined - all-runs'!$B:$B, B50,'Data Combined - all-runs'!$C:$C, C50, 'Data Combined - all-runs'!$D:$D, D50, 'Data Combined - all-runs'!$E:$E, E50)</f>
        <v>#DIV/0!</v>
      </c>
      <c r="Q50" s="5" t="str">
        <f>AVERAGEIFS('Data Combined - all-runs'!$Q:$Q, 'Data Combined - all-runs'!$A:$A, A50,'Data Combined - all-runs'!$B:$B, B50,'Data Combined - all-runs'!$C:$C, C50, 'Data Combined - all-runs'!$D:$D, D50, 'Data Combined - all-runs'!$E:$E, E50)</f>
        <v>#DIV/0!</v>
      </c>
      <c r="R50" s="5" t="str">
        <f>AVERAGEIFS('Data Combined - all-runs'!$R:$R, 'Data Combined - all-runs'!$A:$A, A50,'Data Combined - all-runs'!$B:$B, B50,'Data Combined - all-runs'!$C:$C, C50, 'Data Combined - all-runs'!$D:$D, D50, 'Data Combined - all-runs'!$E:$E, E50)</f>
        <v>#DIV/0!</v>
      </c>
      <c r="S50" s="5" t="str">
        <f>AVERAGEIFS('Data Combined - all-runs'!$S:$S, 'Data Combined - all-runs'!$A:$A, A50,'Data Combined - all-runs'!$B:$B, B50,'Data Combined - all-runs'!$C:$C, C50, 'Data Combined - all-runs'!$D:$D, D50, 'Data Combined - all-runs'!$E:$E, E50)</f>
        <v>#DIV/0!</v>
      </c>
      <c r="T50" s="5" t="str">
        <f>AVERAGEIFS('Data Combined - all-runs'!$T:$T, 'Data Combined - all-runs'!$A:$A, A50,'Data Combined - all-runs'!$B:$B, B50,'Data Combined - all-runs'!$C:$C, C50, 'Data Combined - all-runs'!$D:$D, D50, 'Data Combined - all-runs'!$E:$E, E50)</f>
        <v>#DIV/0!</v>
      </c>
      <c r="U50" s="5" t="b">
        <f t="shared" si="1"/>
        <v>0</v>
      </c>
      <c r="V50" s="5" t="b">
        <f t="shared" si="2"/>
        <v>0</v>
      </c>
      <c r="W50" s="5" t="b">
        <f t="shared" si="3"/>
        <v>0</v>
      </c>
    </row>
    <row r="51">
      <c r="A51" s="2" t="s">
        <v>32</v>
      </c>
      <c r="B51" s="2" t="s">
        <v>22</v>
      </c>
      <c r="C51" s="2" t="s">
        <v>35</v>
      </c>
      <c r="D51" s="2" t="s">
        <v>72</v>
      </c>
      <c r="E51" s="2" t="s">
        <v>39</v>
      </c>
      <c r="H51" s="5" t="str">
        <f>AVERAGEIFS('Data Combined - all-runs'!$H:$H, 'Data Combined - all-runs'!$A:$A, A51,'Data Combined - all-runs'!$B:$B, B51,'Data Combined - all-runs'!$C:$C, C51, 'Data Combined - all-runs'!$D:$D, D51, 'Data Combined - all-runs'!$E:$E, E51)</f>
        <v>#DIV/0!</v>
      </c>
      <c r="I51" s="5" t="str">
        <f>AVERAGEIFS('Data Combined - all-runs'!$I:$I, 'Data Combined - all-runs'!$A:$A, A51,'Data Combined - all-runs'!$B:$B, B51,'Data Combined - all-runs'!$C:$C, C51, 'Data Combined - all-runs'!$D:$D, D51, 'Data Combined - all-runs'!$E:$E, E51)</f>
        <v>#DIV/0!</v>
      </c>
      <c r="J51" s="5" t="str">
        <f>AVERAGEIFS('Data Combined - all-runs'!$J:$J, 'Data Combined - all-runs'!$A:$A, A51,'Data Combined - all-runs'!$B:$B, B51,'Data Combined - all-runs'!$C:$C, C51, 'Data Combined - all-runs'!$D:$D, D51, 'Data Combined - all-runs'!$E:$E, E51)</f>
        <v>#DIV/0!</v>
      </c>
      <c r="K51" s="5" t="str">
        <f>AVERAGEIFS('Data Combined - all-runs'!$K:$K, 'Data Combined - all-runs'!$A:$A, A51,'Data Combined - all-runs'!$B:$B, B51,'Data Combined - all-runs'!$C:$C, C51, 'Data Combined - all-runs'!$D:$D, D51, 'Data Combined - all-runs'!$E:$E, E51)</f>
        <v>#DIV/0!</v>
      </c>
      <c r="L51" s="5" t="str">
        <f>AVERAGEIFS('Data Combined - all-runs'!$L:$L, 'Data Combined - all-runs'!$A:$A, A51,'Data Combined - all-runs'!$B:$B, B51,'Data Combined - all-runs'!$C:$C, C51, 'Data Combined - all-runs'!$D:$D, D51, 'Data Combined - all-runs'!$E:$E, E51)</f>
        <v>#DIV/0!</v>
      </c>
      <c r="M51" s="5" t="str">
        <f>AVERAGEIFS('Data Combined - all-runs'!$M:$M, 'Data Combined - all-runs'!$A:$A, A51,'Data Combined - all-runs'!$B:$B, B51,'Data Combined - all-runs'!$C:$C, C51, 'Data Combined - all-runs'!$D:$D, D51, 'Data Combined - all-runs'!$E:$E, E51)</f>
        <v>#DIV/0!</v>
      </c>
      <c r="N51" s="5" t="str">
        <f>AVERAGEIFS('Data Combined - all-runs'!$N:$N, 'Data Combined - all-runs'!$A:$A, A51,'Data Combined - all-runs'!$B:$B, B51,'Data Combined - all-runs'!$C:$C, C51, 'Data Combined - all-runs'!$D:$D, D51, 'Data Combined - all-runs'!$E:$E, E51)</f>
        <v>#DIV/0!</v>
      </c>
      <c r="O51" s="5" t="str">
        <f>AVERAGEIFS('Data Combined - all-runs'!$O:$O, 'Data Combined - all-runs'!$A:$A, A51,'Data Combined - all-runs'!$B:$B, B51,'Data Combined - all-runs'!$C:$C, C51, 'Data Combined - all-runs'!$D:$D, D51, 'Data Combined - all-runs'!$E:$E, E51)</f>
        <v>#DIV/0!</v>
      </c>
      <c r="P51" s="5" t="str">
        <f>AVERAGEIFS('Data Combined - all-runs'!$P:$P, 'Data Combined - all-runs'!$A:$A, A51,'Data Combined - all-runs'!$B:$B, B51,'Data Combined - all-runs'!$C:$C, C51, 'Data Combined - all-runs'!$D:$D, D51, 'Data Combined - all-runs'!$E:$E, E51)</f>
        <v>#DIV/0!</v>
      </c>
      <c r="Q51" s="5" t="str">
        <f>AVERAGEIFS('Data Combined - all-runs'!$Q:$Q, 'Data Combined - all-runs'!$A:$A, A51,'Data Combined - all-runs'!$B:$B, B51,'Data Combined - all-runs'!$C:$C, C51, 'Data Combined - all-runs'!$D:$D, D51, 'Data Combined - all-runs'!$E:$E, E51)</f>
        <v>#DIV/0!</v>
      </c>
      <c r="R51" s="5" t="str">
        <f>AVERAGEIFS('Data Combined - all-runs'!$R:$R, 'Data Combined - all-runs'!$A:$A, A51,'Data Combined - all-runs'!$B:$B, B51,'Data Combined - all-runs'!$C:$C, C51, 'Data Combined - all-runs'!$D:$D, D51, 'Data Combined - all-runs'!$E:$E, E51)</f>
        <v>#DIV/0!</v>
      </c>
      <c r="S51" s="5" t="str">
        <f>AVERAGEIFS('Data Combined - all-runs'!$S:$S, 'Data Combined - all-runs'!$A:$A, A51,'Data Combined - all-runs'!$B:$B, B51,'Data Combined - all-runs'!$C:$C, C51, 'Data Combined - all-runs'!$D:$D, D51, 'Data Combined - all-runs'!$E:$E, E51)</f>
        <v>#DIV/0!</v>
      </c>
      <c r="T51" s="5" t="str">
        <f>AVERAGEIFS('Data Combined - all-runs'!$T:$T, 'Data Combined - all-runs'!$A:$A, A51,'Data Combined - all-runs'!$B:$B, B51,'Data Combined - all-runs'!$C:$C, C51, 'Data Combined - all-runs'!$D:$D, D51, 'Data Combined - all-runs'!$E:$E, E51)</f>
        <v>#DIV/0!</v>
      </c>
      <c r="U51" s="5" t="b">
        <f t="shared" si="1"/>
        <v>0</v>
      </c>
      <c r="V51" s="5" t="b">
        <f t="shared" si="2"/>
        <v>0</v>
      </c>
      <c r="W51" s="5" t="b">
        <f t="shared" si="3"/>
        <v>0</v>
      </c>
    </row>
    <row r="52">
      <c r="A52" s="2" t="s">
        <v>32</v>
      </c>
      <c r="B52" s="2" t="s">
        <v>22</v>
      </c>
      <c r="C52" s="2" t="s">
        <v>35</v>
      </c>
      <c r="D52" s="2" t="s">
        <v>72</v>
      </c>
      <c r="E52" s="2" t="s">
        <v>43</v>
      </c>
      <c r="H52" s="5" t="str">
        <f>AVERAGEIFS('Data Combined - all-runs'!$H:$H, 'Data Combined - all-runs'!$A:$A, A52,'Data Combined - all-runs'!$B:$B, B52,'Data Combined - all-runs'!$C:$C, C52, 'Data Combined - all-runs'!$D:$D, D52, 'Data Combined - all-runs'!$E:$E, E52)</f>
        <v>#DIV/0!</v>
      </c>
      <c r="I52" s="5" t="str">
        <f>AVERAGEIFS('Data Combined - all-runs'!$I:$I, 'Data Combined - all-runs'!$A:$A, A52,'Data Combined - all-runs'!$B:$B, B52,'Data Combined - all-runs'!$C:$C, C52, 'Data Combined - all-runs'!$D:$D, D52, 'Data Combined - all-runs'!$E:$E, E52)</f>
        <v>#DIV/0!</v>
      </c>
      <c r="J52" s="5" t="str">
        <f>AVERAGEIFS('Data Combined - all-runs'!$J:$J, 'Data Combined - all-runs'!$A:$A, A52,'Data Combined - all-runs'!$B:$B, B52,'Data Combined - all-runs'!$C:$C, C52, 'Data Combined - all-runs'!$D:$D, D52, 'Data Combined - all-runs'!$E:$E, E52)</f>
        <v>#DIV/0!</v>
      </c>
      <c r="K52" s="5" t="str">
        <f>AVERAGEIFS('Data Combined - all-runs'!$K:$K, 'Data Combined - all-runs'!$A:$A, A52,'Data Combined - all-runs'!$B:$B, B52,'Data Combined - all-runs'!$C:$C, C52, 'Data Combined - all-runs'!$D:$D, D52, 'Data Combined - all-runs'!$E:$E, E52)</f>
        <v>#DIV/0!</v>
      </c>
      <c r="L52" s="5" t="str">
        <f>AVERAGEIFS('Data Combined - all-runs'!$L:$L, 'Data Combined - all-runs'!$A:$A, A52,'Data Combined - all-runs'!$B:$B, B52,'Data Combined - all-runs'!$C:$C, C52, 'Data Combined - all-runs'!$D:$D, D52, 'Data Combined - all-runs'!$E:$E, E52)</f>
        <v>#DIV/0!</v>
      </c>
      <c r="M52" s="5" t="str">
        <f>AVERAGEIFS('Data Combined - all-runs'!$M:$M, 'Data Combined - all-runs'!$A:$A, A52,'Data Combined - all-runs'!$B:$B, B52,'Data Combined - all-runs'!$C:$C, C52, 'Data Combined - all-runs'!$D:$D, D52, 'Data Combined - all-runs'!$E:$E, E52)</f>
        <v>#DIV/0!</v>
      </c>
      <c r="N52" s="5" t="str">
        <f>AVERAGEIFS('Data Combined - all-runs'!$N:$N, 'Data Combined - all-runs'!$A:$A, A52,'Data Combined - all-runs'!$B:$B, B52,'Data Combined - all-runs'!$C:$C, C52, 'Data Combined - all-runs'!$D:$D, D52, 'Data Combined - all-runs'!$E:$E, E52)</f>
        <v>#DIV/0!</v>
      </c>
      <c r="O52" s="5" t="str">
        <f>AVERAGEIFS('Data Combined - all-runs'!$O:$O, 'Data Combined - all-runs'!$A:$A, A52,'Data Combined - all-runs'!$B:$B, B52,'Data Combined - all-runs'!$C:$C, C52, 'Data Combined - all-runs'!$D:$D, D52, 'Data Combined - all-runs'!$E:$E, E52)</f>
        <v>#DIV/0!</v>
      </c>
      <c r="P52" s="5" t="str">
        <f>AVERAGEIFS('Data Combined - all-runs'!$P:$P, 'Data Combined - all-runs'!$A:$A, A52,'Data Combined - all-runs'!$B:$B, B52,'Data Combined - all-runs'!$C:$C, C52, 'Data Combined - all-runs'!$D:$D, D52, 'Data Combined - all-runs'!$E:$E, E52)</f>
        <v>#DIV/0!</v>
      </c>
      <c r="Q52" s="5" t="str">
        <f>AVERAGEIFS('Data Combined - all-runs'!$Q:$Q, 'Data Combined - all-runs'!$A:$A, A52,'Data Combined - all-runs'!$B:$B, B52,'Data Combined - all-runs'!$C:$C, C52, 'Data Combined - all-runs'!$D:$D, D52, 'Data Combined - all-runs'!$E:$E, E52)</f>
        <v>#DIV/0!</v>
      </c>
      <c r="R52" s="5" t="str">
        <f>AVERAGEIFS('Data Combined - all-runs'!$R:$R, 'Data Combined - all-runs'!$A:$A, A52,'Data Combined - all-runs'!$B:$B, B52,'Data Combined - all-runs'!$C:$C, C52, 'Data Combined - all-runs'!$D:$D, D52, 'Data Combined - all-runs'!$E:$E, E52)</f>
        <v>#DIV/0!</v>
      </c>
      <c r="S52" s="5" t="str">
        <f>AVERAGEIFS('Data Combined - all-runs'!$S:$S, 'Data Combined - all-runs'!$A:$A, A52,'Data Combined - all-runs'!$B:$B, B52,'Data Combined - all-runs'!$C:$C, C52, 'Data Combined - all-runs'!$D:$D, D52, 'Data Combined - all-runs'!$E:$E, E52)</f>
        <v>#DIV/0!</v>
      </c>
      <c r="T52" s="5" t="str">
        <f>AVERAGEIFS('Data Combined - all-runs'!$T:$T, 'Data Combined - all-runs'!$A:$A, A52,'Data Combined - all-runs'!$B:$B, B52,'Data Combined - all-runs'!$C:$C, C52, 'Data Combined - all-runs'!$D:$D, D52, 'Data Combined - all-runs'!$E:$E, E52)</f>
        <v>#DIV/0!</v>
      </c>
      <c r="U52" s="5" t="b">
        <f t="shared" si="1"/>
        <v>0</v>
      </c>
      <c r="V52" s="5" t="b">
        <f t="shared" si="2"/>
        <v>0</v>
      </c>
      <c r="W52" s="5" t="b">
        <f t="shared" si="3"/>
        <v>0</v>
      </c>
    </row>
    <row r="53">
      <c r="A53" s="2" t="s">
        <v>32</v>
      </c>
      <c r="B53" s="2" t="s">
        <v>22</v>
      </c>
      <c r="C53" s="2" t="s">
        <v>35</v>
      </c>
      <c r="D53" s="2" t="s">
        <v>72</v>
      </c>
      <c r="E53" s="2" t="s">
        <v>34</v>
      </c>
      <c r="H53" s="5" t="str">
        <f>AVERAGEIFS('Data Combined - all-runs'!$H:$H, 'Data Combined - all-runs'!$A:$A, A53,'Data Combined - all-runs'!$B:$B, B53,'Data Combined - all-runs'!$C:$C, C53, 'Data Combined - all-runs'!$D:$D, D53, 'Data Combined - all-runs'!$E:$E, E53)</f>
        <v>#DIV/0!</v>
      </c>
      <c r="I53" s="5" t="str">
        <f>AVERAGEIFS('Data Combined - all-runs'!$I:$I, 'Data Combined - all-runs'!$A:$A, A53,'Data Combined - all-runs'!$B:$B, B53,'Data Combined - all-runs'!$C:$C, C53, 'Data Combined - all-runs'!$D:$D, D53, 'Data Combined - all-runs'!$E:$E, E53)</f>
        <v>#DIV/0!</v>
      </c>
      <c r="J53" s="5" t="str">
        <f>AVERAGEIFS('Data Combined - all-runs'!$J:$J, 'Data Combined - all-runs'!$A:$A, A53,'Data Combined - all-runs'!$B:$B, B53,'Data Combined - all-runs'!$C:$C, C53, 'Data Combined - all-runs'!$D:$D, D53, 'Data Combined - all-runs'!$E:$E, E53)</f>
        <v>#DIV/0!</v>
      </c>
      <c r="K53" s="5" t="str">
        <f>AVERAGEIFS('Data Combined - all-runs'!$K:$K, 'Data Combined - all-runs'!$A:$A, A53,'Data Combined - all-runs'!$B:$B, B53,'Data Combined - all-runs'!$C:$C, C53, 'Data Combined - all-runs'!$D:$D, D53, 'Data Combined - all-runs'!$E:$E, E53)</f>
        <v>#DIV/0!</v>
      </c>
      <c r="L53" s="5" t="str">
        <f>AVERAGEIFS('Data Combined - all-runs'!$L:$L, 'Data Combined - all-runs'!$A:$A, A53,'Data Combined - all-runs'!$B:$B, B53,'Data Combined - all-runs'!$C:$C, C53, 'Data Combined - all-runs'!$D:$D, D53, 'Data Combined - all-runs'!$E:$E, E53)</f>
        <v>#DIV/0!</v>
      </c>
      <c r="M53" s="5" t="str">
        <f>AVERAGEIFS('Data Combined - all-runs'!$M:$M, 'Data Combined - all-runs'!$A:$A, A53,'Data Combined - all-runs'!$B:$B, B53,'Data Combined - all-runs'!$C:$C, C53, 'Data Combined - all-runs'!$D:$D, D53, 'Data Combined - all-runs'!$E:$E, E53)</f>
        <v>#DIV/0!</v>
      </c>
      <c r="N53" s="5" t="str">
        <f>AVERAGEIFS('Data Combined - all-runs'!$N:$N, 'Data Combined - all-runs'!$A:$A, A53,'Data Combined - all-runs'!$B:$B, B53,'Data Combined - all-runs'!$C:$C, C53, 'Data Combined - all-runs'!$D:$D, D53, 'Data Combined - all-runs'!$E:$E, E53)</f>
        <v>#DIV/0!</v>
      </c>
      <c r="O53" s="5" t="str">
        <f>AVERAGEIFS('Data Combined - all-runs'!$O:$O, 'Data Combined - all-runs'!$A:$A, A53,'Data Combined - all-runs'!$B:$B, B53,'Data Combined - all-runs'!$C:$C, C53, 'Data Combined - all-runs'!$D:$D, D53, 'Data Combined - all-runs'!$E:$E, E53)</f>
        <v>#DIV/0!</v>
      </c>
      <c r="P53" s="5" t="str">
        <f>AVERAGEIFS('Data Combined - all-runs'!$P:$P, 'Data Combined - all-runs'!$A:$A, A53,'Data Combined - all-runs'!$B:$B, B53,'Data Combined - all-runs'!$C:$C, C53, 'Data Combined - all-runs'!$D:$D, D53, 'Data Combined - all-runs'!$E:$E, E53)</f>
        <v>#DIV/0!</v>
      </c>
      <c r="Q53" s="5" t="str">
        <f>AVERAGEIFS('Data Combined - all-runs'!$Q:$Q, 'Data Combined - all-runs'!$A:$A, A53,'Data Combined - all-runs'!$B:$B, B53,'Data Combined - all-runs'!$C:$C, C53, 'Data Combined - all-runs'!$D:$D, D53, 'Data Combined - all-runs'!$E:$E, E53)</f>
        <v>#DIV/0!</v>
      </c>
      <c r="R53" s="5" t="str">
        <f>AVERAGEIFS('Data Combined - all-runs'!$R:$R, 'Data Combined - all-runs'!$A:$A, A53,'Data Combined - all-runs'!$B:$B, B53,'Data Combined - all-runs'!$C:$C, C53, 'Data Combined - all-runs'!$D:$D, D53, 'Data Combined - all-runs'!$E:$E, E53)</f>
        <v>#DIV/0!</v>
      </c>
      <c r="S53" s="5" t="str">
        <f>AVERAGEIFS('Data Combined - all-runs'!$S:$S, 'Data Combined - all-runs'!$A:$A, A53,'Data Combined - all-runs'!$B:$B, B53,'Data Combined - all-runs'!$C:$C, C53, 'Data Combined - all-runs'!$D:$D, D53, 'Data Combined - all-runs'!$E:$E, E53)</f>
        <v>#DIV/0!</v>
      </c>
      <c r="T53" s="5" t="str">
        <f>AVERAGEIFS('Data Combined - all-runs'!$T:$T, 'Data Combined - all-runs'!$A:$A, A53,'Data Combined - all-runs'!$B:$B, B53,'Data Combined - all-runs'!$C:$C, C53, 'Data Combined - all-runs'!$D:$D, D53, 'Data Combined - all-runs'!$E:$E, E53)</f>
        <v>#DIV/0!</v>
      </c>
      <c r="U53" s="5" t="b">
        <f t="shared" si="1"/>
        <v>0</v>
      </c>
      <c r="V53" s="5" t="b">
        <f t="shared" si="2"/>
        <v>0</v>
      </c>
      <c r="W53" s="5" t="b">
        <f t="shared" si="3"/>
        <v>0</v>
      </c>
    </row>
    <row r="54">
      <c r="A54" s="2" t="s">
        <v>32</v>
      </c>
      <c r="B54" s="2" t="s">
        <v>22</v>
      </c>
      <c r="C54" s="2" t="s">
        <v>35</v>
      </c>
      <c r="D54" s="2" t="s">
        <v>72</v>
      </c>
      <c r="E54" s="2" t="s">
        <v>47</v>
      </c>
      <c r="H54" s="5" t="str">
        <f>AVERAGEIFS('Data Combined - all-runs'!$H:$H, 'Data Combined - all-runs'!$A:$A, A54,'Data Combined - all-runs'!$B:$B, B54,'Data Combined - all-runs'!$C:$C, C54, 'Data Combined - all-runs'!$D:$D, D54, 'Data Combined - all-runs'!$E:$E, E54)</f>
        <v>#DIV/0!</v>
      </c>
      <c r="I54" s="5" t="str">
        <f>AVERAGEIFS('Data Combined - all-runs'!$I:$I, 'Data Combined - all-runs'!$A:$A, A54,'Data Combined - all-runs'!$B:$B, B54,'Data Combined - all-runs'!$C:$C, C54, 'Data Combined - all-runs'!$D:$D, D54, 'Data Combined - all-runs'!$E:$E, E54)</f>
        <v>#DIV/0!</v>
      </c>
      <c r="J54" s="5" t="str">
        <f>AVERAGEIFS('Data Combined - all-runs'!$J:$J, 'Data Combined - all-runs'!$A:$A, A54,'Data Combined - all-runs'!$B:$B, B54,'Data Combined - all-runs'!$C:$C, C54, 'Data Combined - all-runs'!$D:$D, D54, 'Data Combined - all-runs'!$E:$E, E54)</f>
        <v>#DIV/0!</v>
      </c>
      <c r="K54" s="5" t="str">
        <f>AVERAGEIFS('Data Combined - all-runs'!$K:$K, 'Data Combined - all-runs'!$A:$A, A54,'Data Combined - all-runs'!$B:$B, B54,'Data Combined - all-runs'!$C:$C, C54, 'Data Combined - all-runs'!$D:$D, D54, 'Data Combined - all-runs'!$E:$E, E54)</f>
        <v>#DIV/0!</v>
      </c>
      <c r="L54" s="5" t="str">
        <f>AVERAGEIFS('Data Combined - all-runs'!$L:$L, 'Data Combined - all-runs'!$A:$A, A54,'Data Combined - all-runs'!$B:$B, B54,'Data Combined - all-runs'!$C:$C, C54, 'Data Combined - all-runs'!$D:$D, D54, 'Data Combined - all-runs'!$E:$E, E54)</f>
        <v>#DIV/0!</v>
      </c>
      <c r="M54" s="5" t="str">
        <f>AVERAGEIFS('Data Combined - all-runs'!$M:$M, 'Data Combined - all-runs'!$A:$A, A54,'Data Combined - all-runs'!$B:$B, B54,'Data Combined - all-runs'!$C:$C, C54, 'Data Combined - all-runs'!$D:$D, D54, 'Data Combined - all-runs'!$E:$E, E54)</f>
        <v>#DIV/0!</v>
      </c>
      <c r="N54" s="5" t="str">
        <f>AVERAGEIFS('Data Combined - all-runs'!$N:$N, 'Data Combined - all-runs'!$A:$A, A54,'Data Combined - all-runs'!$B:$B, B54,'Data Combined - all-runs'!$C:$C, C54, 'Data Combined - all-runs'!$D:$D, D54, 'Data Combined - all-runs'!$E:$E, E54)</f>
        <v>#DIV/0!</v>
      </c>
      <c r="O54" s="5" t="str">
        <f>AVERAGEIFS('Data Combined - all-runs'!$O:$O, 'Data Combined - all-runs'!$A:$A, A54,'Data Combined - all-runs'!$B:$B, B54,'Data Combined - all-runs'!$C:$C, C54, 'Data Combined - all-runs'!$D:$D, D54, 'Data Combined - all-runs'!$E:$E, E54)</f>
        <v>#DIV/0!</v>
      </c>
      <c r="P54" s="5" t="str">
        <f>AVERAGEIFS('Data Combined - all-runs'!$P:$P, 'Data Combined - all-runs'!$A:$A, A54,'Data Combined - all-runs'!$B:$B, B54,'Data Combined - all-runs'!$C:$C, C54, 'Data Combined - all-runs'!$D:$D, D54, 'Data Combined - all-runs'!$E:$E, E54)</f>
        <v>#DIV/0!</v>
      </c>
      <c r="Q54" s="5" t="str">
        <f>AVERAGEIFS('Data Combined - all-runs'!$Q:$Q, 'Data Combined - all-runs'!$A:$A, A54,'Data Combined - all-runs'!$B:$B, B54,'Data Combined - all-runs'!$C:$C, C54, 'Data Combined - all-runs'!$D:$D, D54, 'Data Combined - all-runs'!$E:$E, E54)</f>
        <v>#DIV/0!</v>
      </c>
      <c r="R54" s="5" t="str">
        <f>AVERAGEIFS('Data Combined - all-runs'!$R:$R, 'Data Combined - all-runs'!$A:$A, A54,'Data Combined - all-runs'!$B:$B, B54,'Data Combined - all-runs'!$C:$C, C54, 'Data Combined - all-runs'!$D:$D, D54, 'Data Combined - all-runs'!$E:$E, E54)</f>
        <v>#DIV/0!</v>
      </c>
      <c r="S54" s="5" t="str">
        <f>AVERAGEIFS('Data Combined - all-runs'!$S:$S, 'Data Combined - all-runs'!$A:$A, A54,'Data Combined - all-runs'!$B:$B, B54,'Data Combined - all-runs'!$C:$C, C54, 'Data Combined - all-runs'!$D:$D, D54, 'Data Combined - all-runs'!$E:$E, E54)</f>
        <v>#DIV/0!</v>
      </c>
      <c r="T54" s="5" t="str">
        <f>AVERAGEIFS('Data Combined - all-runs'!$T:$T, 'Data Combined - all-runs'!$A:$A, A54,'Data Combined - all-runs'!$B:$B, B54,'Data Combined - all-runs'!$C:$C, C54, 'Data Combined - all-runs'!$D:$D, D54, 'Data Combined - all-runs'!$E:$E, E54)</f>
        <v>#DIV/0!</v>
      </c>
      <c r="U54" s="5" t="b">
        <f t="shared" si="1"/>
        <v>0</v>
      </c>
      <c r="V54" s="5" t="b">
        <f t="shared" si="2"/>
        <v>0</v>
      </c>
      <c r="W54" s="5" t="b">
        <f t="shared" si="3"/>
        <v>0</v>
      </c>
    </row>
    <row r="55">
      <c r="A55" s="2" t="s">
        <v>32</v>
      </c>
      <c r="B55" s="2" t="s">
        <v>22</v>
      </c>
      <c r="C55" s="2" t="s">
        <v>35</v>
      </c>
      <c r="D55" s="2" t="s">
        <v>72</v>
      </c>
      <c r="E55" s="2" t="s">
        <v>51</v>
      </c>
      <c r="H55" s="5" t="str">
        <f>AVERAGEIFS('Data Combined - all-runs'!$H:$H, 'Data Combined - all-runs'!$A:$A, A55,'Data Combined - all-runs'!$B:$B, B55,'Data Combined - all-runs'!$C:$C, C55, 'Data Combined - all-runs'!$D:$D, D55, 'Data Combined - all-runs'!$E:$E, E55)</f>
        <v>#DIV/0!</v>
      </c>
      <c r="I55" s="5" t="str">
        <f>AVERAGEIFS('Data Combined - all-runs'!$I:$I, 'Data Combined - all-runs'!$A:$A, A55,'Data Combined - all-runs'!$B:$B, B55,'Data Combined - all-runs'!$C:$C, C55, 'Data Combined - all-runs'!$D:$D, D55, 'Data Combined - all-runs'!$E:$E, E55)</f>
        <v>#DIV/0!</v>
      </c>
      <c r="J55" s="5" t="str">
        <f>AVERAGEIFS('Data Combined - all-runs'!$J:$J, 'Data Combined - all-runs'!$A:$A, A55,'Data Combined - all-runs'!$B:$B, B55,'Data Combined - all-runs'!$C:$C, C55, 'Data Combined - all-runs'!$D:$D, D55, 'Data Combined - all-runs'!$E:$E, E55)</f>
        <v>#DIV/0!</v>
      </c>
      <c r="K55" s="5" t="str">
        <f>AVERAGEIFS('Data Combined - all-runs'!$K:$K, 'Data Combined - all-runs'!$A:$A, A55,'Data Combined - all-runs'!$B:$B, B55,'Data Combined - all-runs'!$C:$C, C55, 'Data Combined - all-runs'!$D:$D, D55, 'Data Combined - all-runs'!$E:$E, E55)</f>
        <v>#DIV/0!</v>
      </c>
      <c r="L55" s="5" t="str">
        <f>AVERAGEIFS('Data Combined - all-runs'!$L:$L, 'Data Combined - all-runs'!$A:$A, A55,'Data Combined - all-runs'!$B:$B, B55,'Data Combined - all-runs'!$C:$C, C55, 'Data Combined - all-runs'!$D:$D, D55, 'Data Combined - all-runs'!$E:$E, E55)</f>
        <v>#DIV/0!</v>
      </c>
      <c r="M55" s="5" t="str">
        <f>AVERAGEIFS('Data Combined - all-runs'!$M:$M, 'Data Combined - all-runs'!$A:$A, A55,'Data Combined - all-runs'!$B:$B, B55,'Data Combined - all-runs'!$C:$C, C55, 'Data Combined - all-runs'!$D:$D, D55, 'Data Combined - all-runs'!$E:$E, E55)</f>
        <v>#DIV/0!</v>
      </c>
      <c r="N55" s="5" t="str">
        <f>AVERAGEIFS('Data Combined - all-runs'!$N:$N, 'Data Combined - all-runs'!$A:$A, A55,'Data Combined - all-runs'!$B:$B, B55,'Data Combined - all-runs'!$C:$C, C55, 'Data Combined - all-runs'!$D:$D, D55, 'Data Combined - all-runs'!$E:$E, E55)</f>
        <v>#DIV/0!</v>
      </c>
      <c r="O55" s="5" t="str">
        <f>AVERAGEIFS('Data Combined - all-runs'!$O:$O, 'Data Combined - all-runs'!$A:$A, A55,'Data Combined - all-runs'!$B:$B, B55,'Data Combined - all-runs'!$C:$C, C55, 'Data Combined - all-runs'!$D:$D, D55, 'Data Combined - all-runs'!$E:$E, E55)</f>
        <v>#DIV/0!</v>
      </c>
      <c r="P55" s="5" t="str">
        <f>AVERAGEIFS('Data Combined - all-runs'!$P:$P, 'Data Combined - all-runs'!$A:$A, A55,'Data Combined - all-runs'!$B:$B, B55,'Data Combined - all-runs'!$C:$C, C55, 'Data Combined - all-runs'!$D:$D, D55, 'Data Combined - all-runs'!$E:$E, E55)</f>
        <v>#DIV/0!</v>
      </c>
      <c r="Q55" s="5" t="str">
        <f>AVERAGEIFS('Data Combined - all-runs'!$Q:$Q, 'Data Combined - all-runs'!$A:$A, A55,'Data Combined - all-runs'!$B:$B, B55,'Data Combined - all-runs'!$C:$C, C55, 'Data Combined - all-runs'!$D:$D, D55, 'Data Combined - all-runs'!$E:$E, E55)</f>
        <v>#DIV/0!</v>
      </c>
      <c r="R55" s="5" t="str">
        <f>AVERAGEIFS('Data Combined - all-runs'!$R:$R, 'Data Combined - all-runs'!$A:$A, A55,'Data Combined - all-runs'!$B:$B, B55,'Data Combined - all-runs'!$C:$C, C55, 'Data Combined - all-runs'!$D:$D, D55, 'Data Combined - all-runs'!$E:$E, E55)</f>
        <v>#DIV/0!</v>
      </c>
      <c r="S55" s="5" t="str">
        <f>AVERAGEIFS('Data Combined - all-runs'!$S:$S, 'Data Combined - all-runs'!$A:$A, A55,'Data Combined - all-runs'!$B:$B, B55,'Data Combined - all-runs'!$C:$C, C55, 'Data Combined - all-runs'!$D:$D, D55, 'Data Combined - all-runs'!$E:$E, E55)</f>
        <v>#DIV/0!</v>
      </c>
      <c r="T55" s="5" t="str">
        <f>AVERAGEIFS('Data Combined - all-runs'!$T:$T, 'Data Combined - all-runs'!$A:$A, A55,'Data Combined - all-runs'!$B:$B, B55,'Data Combined - all-runs'!$C:$C, C55, 'Data Combined - all-runs'!$D:$D, D55, 'Data Combined - all-runs'!$E:$E, E55)</f>
        <v>#DIV/0!</v>
      </c>
      <c r="U55" s="5" t="b">
        <f t="shared" si="1"/>
        <v>0</v>
      </c>
      <c r="V55" s="5" t="b">
        <f t="shared" si="2"/>
        <v>0</v>
      </c>
      <c r="W55" s="5" t="b">
        <f t="shared" si="3"/>
        <v>0</v>
      </c>
    </row>
    <row r="56">
      <c r="A56" s="2" t="s">
        <v>32</v>
      </c>
      <c r="B56" s="2" t="s">
        <v>22</v>
      </c>
      <c r="C56" s="2" t="s">
        <v>35</v>
      </c>
      <c r="D56" s="2" t="s">
        <v>64</v>
      </c>
      <c r="E56" s="2" t="s">
        <v>25</v>
      </c>
      <c r="H56" s="5" t="str">
        <f>AVERAGEIFS('Data Combined - all-runs'!$H:$H, 'Data Combined - all-runs'!$A:$A, A56,'Data Combined - all-runs'!$B:$B, B56,'Data Combined - all-runs'!$C:$C, C56, 'Data Combined - all-runs'!$D:$D, D56, 'Data Combined - all-runs'!$E:$E, E56)</f>
        <v>#DIV/0!</v>
      </c>
      <c r="I56" s="5" t="str">
        <f>AVERAGEIFS('Data Combined - all-runs'!$I:$I, 'Data Combined - all-runs'!$A:$A, A56,'Data Combined - all-runs'!$B:$B, B56,'Data Combined - all-runs'!$C:$C, C56, 'Data Combined - all-runs'!$D:$D, D56, 'Data Combined - all-runs'!$E:$E, E56)</f>
        <v>#DIV/0!</v>
      </c>
      <c r="J56" s="5" t="str">
        <f>AVERAGEIFS('Data Combined - all-runs'!$J:$J, 'Data Combined - all-runs'!$A:$A, A56,'Data Combined - all-runs'!$B:$B, B56,'Data Combined - all-runs'!$C:$C, C56, 'Data Combined - all-runs'!$D:$D, D56, 'Data Combined - all-runs'!$E:$E, E56)</f>
        <v>#DIV/0!</v>
      </c>
      <c r="K56" s="5" t="str">
        <f>AVERAGEIFS('Data Combined - all-runs'!$K:$K, 'Data Combined - all-runs'!$A:$A, A56,'Data Combined - all-runs'!$B:$B, B56,'Data Combined - all-runs'!$C:$C, C56, 'Data Combined - all-runs'!$D:$D, D56, 'Data Combined - all-runs'!$E:$E, E56)</f>
        <v>#DIV/0!</v>
      </c>
      <c r="L56" s="5" t="str">
        <f>AVERAGEIFS('Data Combined - all-runs'!$L:$L, 'Data Combined - all-runs'!$A:$A, A56,'Data Combined - all-runs'!$B:$B, B56,'Data Combined - all-runs'!$C:$C, C56, 'Data Combined - all-runs'!$D:$D, D56, 'Data Combined - all-runs'!$E:$E, E56)</f>
        <v>#DIV/0!</v>
      </c>
      <c r="M56" s="5" t="str">
        <f>AVERAGEIFS('Data Combined - all-runs'!$M:$M, 'Data Combined - all-runs'!$A:$A, A56,'Data Combined - all-runs'!$B:$B, B56,'Data Combined - all-runs'!$C:$C, C56, 'Data Combined - all-runs'!$D:$D, D56, 'Data Combined - all-runs'!$E:$E, E56)</f>
        <v>#DIV/0!</v>
      </c>
      <c r="N56" s="5" t="str">
        <f>AVERAGEIFS('Data Combined - all-runs'!$N:$N, 'Data Combined - all-runs'!$A:$A, A56,'Data Combined - all-runs'!$B:$B, B56,'Data Combined - all-runs'!$C:$C, C56, 'Data Combined - all-runs'!$D:$D, D56, 'Data Combined - all-runs'!$E:$E, E56)</f>
        <v>#DIV/0!</v>
      </c>
      <c r="O56" s="5" t="str">
        <f>AVERAGEIFS('Data Combined - all-runs'!$O:$O, 'Data Combined - all-runs'!$A:$A, A56,'Data Combined - all-runs'!$B:$B, B56,'Data Combined - all-runs'!$C:$C, C56, 'Data Combined - all-runs'!$D:$D, D56, 'Data Combined - all-runs'!$E:$E, E56)</f>
        <v>#DIV/0!</v>
      </c>
      <c r="P56" s="5" t="str">
        <f>AVERAGEIFS('Data Combined - all-runs'!$P:$P, 'Data Combined - all-runs'!$A:$A, A56,'Data Combined - all-runs'!$B:$B, B56,'Data Combined - all-runs'!$C:$C, C56, 'Data Combined - all-runs'!$D:$D, D56, 'Data Combined - all-runs'!$E:$E, E56)</f>
        <v>#DIV/0!</v>
      </c>
      <c r="Q56" s="5" t="str">
        <f>AVERAGEIFS('Data Combined - all-runs'!$Q:$Q, 'Data Combined - all-runs'!$A:$A, A56,'Data Combined - all-runs'!$B:$B, B56,'Data Combined - all-runs'!$C:$C, C56, 'Data Combined - all-runs'!$D:$D, D56, 'Data Combined - all-runs'!$E:$E, E56)</f>
        <v>#DIV/0!</v>
      </c>
      <c r="R56" s="5" t="str">
        <f>AVERAGEIFS('Data Combined - all-runs'!$R:$R, 'Data Combined - all-runs'!$A:$A, A56,'Data Combined - all-runs'!$B:$B, B56,'Data Combined - all-runs'!$C:$C, C56, 'Data Combined - all-runs'!$D:$D, D56, 'Data Combined - all-runs'!$E:$E, E56)</f>
        <v>#DIV/0!</v>
      </c>
      <c r="S56" s="5" t="str">
        <f>AVERAGEIFS('Data Combined - all-runs'!$S:$S, 'Data Combined - all-runs'!$A:$A, A56,'Data Combined - all-runs'!$B:$B, B56,'Data Combined - all-runs'!$C:$C, C56, 'Data Combined - all-runs'!$D:$D, D56, 'Data Combined - all-runs'!$E:$E, E56)</f>
        <v>#DIV/0!</v>
      </c>
      <c r="T56" s="5" t="str">
        <f>AVERAGEIFS('Data Combined - all-runs'!$T:$T, 'Data Combined - all-runs'!$A:$A, A56,'Data Combined - all-runs'!$B:$B, B56,'Data Combined - all-runs'!$C:$C, C56, 'Data Combined - all-runs'!$D:$D, D56, 'Data Combined - all-runs'!$E:$E, E56)</f>
        <v>#DIV/0!</v>
      </c>
      <c r="U56" s="5" t="b">
        <f t="shared" si="1"/>
        <v>0</v>
      </c>
      <c r="V56" s="5" t="b">
        <f t="shared" si="2"/>
        <v>0</v>
      </c>
      <c r="W56" s="5" t="b">
        <f t="shared" si="3"/>
        <v>0</v>
      </c>
    </row>
    <row r="57">
      <c r="A57" s="2" t="s">
        <v>32</v>
      </c>
      <c r="B57" s="2" t="s">
        <v>22</v>
      </c>
      <c r="C57" s="2" t="s">
        <v>35</v>
      </c>
      <c r="D57" s="2" t="s">
        <v>64</v>
      </c>
      <c r="E57" s="2" t="s">
        <v>39</v>
      </c>
      <c r="H57" s="5" t="str">
        <f>AVERAGEIFS('Data Combined - all-runs'!$H:$H, 'Data Combined - all-runs'!$A:$A, A57,'Data Combined - all-runs'!$B:$B, B57,'Data Combined - all-runs'!$C:$C, C57, 'Data Combined - all-runs'!$D:$D, D57, 'Data Combined - all-runs'!$E:$E, E57)</f>
        <v>#DIV/0!</v>
      </c>
      <c r="I57" s="5" t="str">
        <f>AVERAGEIFS('Data Combined - all-runs'!$I:$I, 'Data Combined - all-runs'!$A:$A, A57,'Data Combined - all-runs'!$B:$B, B57,'Data Combined - all-runs'!$C:$C, C57, 'Data Combined - all-runs'!$D:$D, D57, 'Data Combined - all-runs'!$E:$E, E57)</f>
        <v>#DIV/0!</v>
      </c>
      <c r="J57" s="5" t="str">
        <f>AVERAGEIFS('Data Combined - all-runs'!$J:$J, 'Data Combined - all-runs'!$A:$A, A57,'Data Combined - all-runs'!$B:$B, B57,'Data Combined - all-runs'!$C:$C, C57, 'Data Combined - all-runs'!$D:$D, D57, 'Data Combined - all-runs'!$E:$E, E57)</f>
        <v>#DIV/0!</v>
      </c>
      <c r="K57" s="5" t="str">
        <f>AVERAGEIFS('Data Combined - all-runs'!$K:$K, 'Data Combined - all-runs'!$A:$A, A57,'Data Combined - all-runs'!$B:$B, B57,'Data Combined - all-runs'!$C:$C, C57, 'Data Combined - all-runs'!$D:$D, D57, 'Data Combined - all-runs'!$E:$E, E57)</f>
        <v>#DIV/0!</v>
      </c>
      <c r="L57" s="5" t="str">
        <f>AVERAGEIFS('Data Combined - all-runs'!$L:$L, 'Data Combined - all-runs'!$A:$A, A57,'Data Combined - all-runs'!$B:$B, B57,'Data Combined - all-runs'!$C:$C, C57, 'Data Combined - all-runs'!$D:$D, D57, 'Data Combined - all-runs'!$E:$E, E57)</f>
        <v>#DIV/0!</v>
      </c>
      <c r="M57" s="5" t="str">
        <f>AVERAGEIFS('Data Combined - all-runs'!$M:$M, 'Data Combined - all-runs'!$A:$A, A57,'Data Combined - all-runs'!$B:$B, B57,'Data Combined - all-runs'!$C:$C, C57, 'Data Combined - all-runs'!$D:$D, D57, 'Data Combined - all-runs'!$E:$E, E57)</f>
        <v>#DIV/0!</v>
      </c>
      <c r="N57" s="5" t="str">
        <f>AVERAGEIFS('Data Combined - all-runs'!$N:$N, 'Data Combined - all-runs'!$A:$A, A57,'Data Combined - all-runs'!$B:$B, B57,'Data Combined - all-runs'!$C:$C, C57, 'Data Combined - all-runs'!$D:$D, D57, 'Data Combined - all-runs'!$E:$E, E57)</f>
        <v>#DIV/0!</v>
      </c>
      <c r="O57" s="5" t="str">
        <f>AVERAGEIFS('Data Combined - all-runs'!$O:$O, 'Data Combined - all-runs'!$A:$A, A57,'Data Combined - all-runs'!$B:$B, B57,'Data Combined - all-runs'!$C:$C, C57, 'Data Combined - all-runs'!$D:$D, D57, 'Data Combined - all-runs'!$E:$E, E57)</f>
        <v>#DIV/0!</v>
      </c>
      <c r="P57" s="5" t="str">
        <f>AVERAGEIFS('Data Combined - all-runs'!$P:$P, 'Data Combined - all-runs'!$A:$A, A57,'Data Combined - all-runs'!$B:$B, B57,'Data Combined - all-runs'!$C:$C, C57, 'Data Combined - all-runs'!$D:$D, D57, 'Data Combined - all-runs'!$E:$E, E57)</f>
        <v>#DIV/0!</v>
      </c>
      <c r="Q57" s="5" t="str">
        <f>AVERAGEIFS('Data Combined - all-runs'!$Q:$Q, 'Data Combined - all-runs'!$A:$A, A57,'Data Combined - all-runs'!$B:$B, B57,'Data Combined - all-runs'!$C:$C, C57, 'Data Combined - all-runs'!$D:$D, D57, 'Data Combined - all-runs'!$E:$E, E57)</f>
        <v>#DIV/0!</v>
      </c>
      <c r="R57" s="5" t="str">
        <f>AVERAGEIFS('Data Combined - all-runs'!$R:$R, 'Data Combined - all-runs'!$A:$A, A57,'Data Combined - all-runs'!$B:$B, B57,'Data Combined - all-runs'!$C:$C, C57, 'Data Combined - all-runs'!$D:$D, D57, 'Data Combined - all-runs'!$E:$E, E57)</f>
        <v>#DIV/0!</v>
      </c>
      <c r="S57" s="5" t="str">
        <f>AVERAGEIFS('Data Combined - all-runs'!$S:$S, 'Data Combined - all-runs'!$A:$A, A57,'Data Combined - all-runs'!$B:$B, B57,'Data Combined - all-runs'!$C:$C, C57, 'Data Combined - all-runs'!$D:$D, D57, 'Data Combined - all-runs'!$E:$E, E57)</f>
        <v>#DIV/0!</v>
      </c>
      <c r="T57" s="5" t="str">
        <f>AVERAGEIFS('Data Combined - all-runs'!$T:$T, 'Data Combined - all-runs'!$A:$A, A57,'Data Combined - all-runs'!$B:$B, B57,'Data Combined - all-runs'!$C:$C, C57, 'Data Combined - all-runs'!$D:$D, D57, 'Data Combined - all-runs'!$E:$E, E57)</f>
        <v>#DIV/0!</v>
      </c>
      <c r="U57" s="5" t="b">
        <f t="shared" si="1"/>
        <v>0</v>
      </c>
      <c r="V57" s="5" t="b">
        <f t="shared" si="2"/>
        <v>0</v>
      </c>
      <c r="W57" s="5" t="b">
        <f t="shared" si="3"/>
        <v>0</v>
      </c>
    </row>
    <row r="58">
      <c r="A58" s="2" t="s">
        <v>32</v>
      </c>
      <c r="B58" s="2" t="s">
        <v>22</v>
      </c>
      <c r="C58" s="2" t="s">
        <v>35</v>
      </c>
      <c r="D58" s="2" t="s">
        <v>64</v>
      </c>
      <c r="E58" s="2" t="s">
        <v>43</v>
      </c>
      <c r="H58" s="5" t="str">
        <f>AVERAGEIFS('Data Combined - all-runs'!$H:$H, 'Data Combined - all-runs'!$A:$A, A58,'Data Combined - all-runs'!$B:$B, B58,'Data Combined - all-runs'!$C:$C, C58, 'Data Combined - all-runs'!$D:$D, D58, 'Data Combined - all-runs'!$E:$E, E58)</f>
        <v>#DIV/0!</v>
      </c>
      <c r="I58" s="5" t="str">
        <f>AVERAGEIFS('Data Combined - all-runs'!$I:$I, 'Data Combined - all-runs'!$A:$A, A58,'Data Combined - all-runs'!$B:$B, B58,'Data Combined - all-runs'!$C:$C, C58, 'Data Combined - all-runs'!$D:$D, D58, 'Data Combined - all-runs'!$E:$E, E58)</f>
        <v>#DIV/0!</v>
      </c>
      <c r="J58" s="5" t="str">
        <f>AVERAGEIFS('Data Combined - all-runs'!$J:$J, 'Data Combined - all-runs'!$A:$A, A58,'Data Combined - all-runs'!$B:$B, B58,'Data Combined - all-runs'!$C:$C, C58, 'Data Combined - all-runs'!$D:$D, D58, 'Data Combined - all-runs'!$E:$E, E58)</f>
        <v>#DIV/0!</v>
      </c>
      <c r="K58" s="5" t="str">
        <f>AVERAGEIFS('Data Combined - all-runs'!$K:$K, 'Data Combined - all-runs'!$A:$A, A58,'Data Combined - all-runs'!$B:$B, B58,'Data Combined - all-runs'!$C:$C, C58, 'Data Combined - all-runs'!$D:$D, D58, 'Data Combined - all-runs'!$E:$E, E58)</f>
        <v>#DIV/0!</v>
      </c>
      <c r="L58" s="5" t="str">
        <f>AVERAGEIFS('Data Combined - all-runs'!$L:$L, 'Data Combined - all-runs'!$A:$A, A58,'Data Combined - all-runs'!$B:$B, B58,'Data Combined - all-runs'!$C:$C, C58, 'Data Combined - all-runs'!$D:$D, D58, 'Data Combined - all-runs'!$E:$E, E58)</f>
        <v>#DIV/0!</v>
      </c>
      <c r="M58" s="5" t="str">
        <f>AVERAGEIFS('Data Combined - all-runs'!$M:$M, 'Data Combined - all-runs'!$A:$A, A58,'Data Combined - all-runs'!$B:$B, B58,'Data Combined - all-runs'!$C:$C, C58, 'Data Combined - all-runs'!$D:$D, D58, 'Data Combined - all-runs'!$E:$E, E58)</f>
        <v>#DIV/0!</v>
      </c>
      <c r="N58" s="5" t="str">
        <f>AVERAGEIFS('Data Combined - all-runs'!$N:$N, 'Data Combined - all-runs'!$A:$A, A58,'Data Combined - all-runs'!$B:$B, B58,'Data Combined - all-runs'!$C:$C, C58, 'Data Combined - all-runs'!$D:$D, D58, 'Data Combined - all-runs'!$E:$E, E58)</f>
        <v>#DIV/0!</v>
      </c>
      <c r="O58" s="5" t="str">
        <f>AVERAGEIFS('Data Combined - all-runs'!$O:$O, 'Data Combined - all-runs'!$A:$A, A58,'Data Combined - all-runs'!$B:$B, B58,'Data Combined - all-runs'!$C:$C, C58, 'Data Combined - all-runs'!$D:$D, D58, 'Data Combined - all-runs'!$E:$E, E58)</f>
        <v>#DIV/0!</v>
      </c>
      <c r="P58" s="5" t="str">
        <f>AVERAGEIFS('Data Combined - all-runs'!$P:$P, 'Data Combined - all-runs'!$A:$A, A58,'Data Combined - all-runs'!$B:$B, B58,'Data Combined - all-runs'!$C:$C, C58, 'Data Combined - all-runs'!$D:$D, D58, 'Data Combined - all-runs'!$E:$E, E58)</f>
        <v>#DIV/0!</v>
      </c>
      <c r="Q58" s="5" t="str">
        <f>AVERAGEIFS('Data Combined - all-runs'!$Q:$Q, 'Data Combined - all-runs'!$A:$A, A58,'Data Combined - all-runs'!$B:$B, B58,'Data Combined - all-runs'!$C:$C, C58, 'Data Combined - all-runs'!$D:$D, D58, 'Data Combined - all-runs'!$E:$E, E58)</f>
        <v>#DIV/0!</v>
      </c>
      <c r="R58" s="5" t="str">
        <f>AVERAGEIFS('Data Combined - all-runs'!$R:$R, 'Data Combined - all-runs'!$A:$A, A58,'Data Combined - all-runs'!$B:$B, B58,'Data Combined - all-runs'!$C:$C, C58, 'Data Combined - all-runs'!$D:$D, D58, 'Data Combined - all-runs'!$E:$E, E58)</f>
        <v>#DIV/0!</v>
      </c>
      <c r="S58" s="5" t="str">
        <f>AVERAGEIFS('Data Combined - all-runs'!$S:$S, 'Data Combined - all-runs'!$A:$A, A58,'Data Combined - all-runs'!$B:$B, B58,'Data Combined - all-runs'!$C:$C, C58, 'Data Combined - all-runs'!$D:$D, D58, 'Data Combined - all-runs'!$E:$E, E58)</f>
        <v>#DIV/0!</v>
      </c>
      <c r="T58" s="5" t="str">
        <f>AVERAGEIFS('Data Combined - all-runs'!$T:$T, 'Data Combined - all-runs'!$A:$A, A58,'Data Combined - all-runs'!$B:$B, B58,'Data Combined - all-runs'!$C:$C, C58, 'Data Combined - all-runs'!$D:$D, D58, 'Data Combined - all-runs'!$E:$E, E58)</f>
        <v>#DIV/0!</v>
      </c>
      <c r="U58" s="5" t="b">
        <f t="shared" si="1"/>
        <v>0</v>
      </c>
      <c r="V58" s="5" t="b">
        <f t="shared" si="2"/>
        <v>0</v>
      </c>
      <c r="W58" s="5" t="b">
        <f t="shared" si="3"/>
        <v>0</v>
      </c>
    </row>
    <row r="59">
      <c r="A59" s="2" t="s">
        <v>32</v>
      </c>
      <c r="B59" s="2" t="s">
        <v>22</v>
      </c>
      <c r="C59" s="2" t="s">
        <v>35</v>
      </c>
      <c r="D59" s="2" t="s">
        <v>64</v>
      </c>
      <c r="E59" s="2" t="s">
        <v>34</v>
      </c>
      <c r="H59" s="5" t="str">
        <f>AVERAGEIFS('Data Combined - all-runs'!$H:$H, 'Data Combined - all-runs'!$A:$A, A59,'Data Combined - all-runs'!$B:$B, B59,'Data Combined - all-runs'!$C:$C, C59, 'Data Combined - all-runs'!$D:$D, D59, 'Data Combined - all-runs'!$E:$E, E59)</f>
        <v>#DIV/0!</v>
      </c>
      <c r="I59" s="5" t="str">
        <f>AVERAGEIFS('Data Combined - all-runs'!$I:$I, 'Data Combined - all-runs'!$A:$A, A59,'Data Combined - all-runs'!$B:$B, B59,'Data Combined - all-runs'!$C:$C, C59, 'Data Combined - all-runs'!$D:$D, D59, 'Data Combined - all-runs'!$E:$E, E59)</f>
        <v>#DIV/0!</v>
      </c>
      <c r="J59" s="5" t="str">
        <f>AVERAGEIFS('Data Combined - all-runs'!$J:$J, 'Data Combined - all-runs'!$A:$A, A59,'Data Combined - all-runs'!$B:$B, B59,'Data Combined - all-runs'!$C:$C, C59, 'Data Combined - all-runs'!$D:$D, D59, 'Data Combined - all-runs'!$E:$E, E59)</f>
        <v>#DIV/0!</v>
      </c>
      <c r="K59" s="5" t="str">
        <f>AVERAGEIFS('Data Combined - all-runs'!$K:$K, 'Data Combined - all-runs'!$A:$A, A59,'Data Combined - all-runs'!$B:$B, B59,'Data Combined - all-runs'!$C:$C, C59, 'Data Combined - all-runs'!$D:$D, D59, 'Data Combined - all-runs'!$E:$E, E59)</f>
        <v>#DIV/0!</v>
      </c>
      <c r="L59" s="5" t="str">
        <f>AVERAGEIFS('Data Combined - all-runs'!$L:$L, 'Data Combined - all-runs'!$A:$A, A59,'Data Combined - all-runs'!$B:$B, B59,'Data Combined - all-runs'!$C:$C, C59, 'Data Combined - all-runs'!$D:$D, D59, 'Data Combined - all-runs'!$E:$E, E59)</f>
        <v>#DIV/0!</v>
      </c>
      <c r="M59" s="5" t="str">
        <f>AVERAGEIFS('Data Combined - all-runs'!$M:$M, 'Data Combined - all-runs'!$A:$A, A59,'Data Combined - all-runs'!$B:$B, B59,'Data Combined - all-runs'!$C:$C, C59, 'Data Combined - all-runs'!$D:$D, D59, 'Data Combined - all-runs'!$E:$E, E59)</f>
        <v>#DIV/0!</v>
      </c>
      <c r="N59" s="5" t="str">
        <f>AVERAGEIFS('Data Combined - all-runs'!$N:$N, 'Data Combined - all-runs'!$A:$A, A59,'Data Combined - all-runs'!$B:$B, B59,'Data Combined - all-runs'!$C:$C, C59, 'Data Combined - all-runs'!$D:$D, D59, 'Data Combined - all-runs'!$E:$E, E59)</f>
        <v>#DIV/0!</v>
      </c>
      <c r="O59" s="5" t="str">
        <f>AVERAGEIFS('Data Combined - all-runs'!$O:$O, 'Data Combined - all-runs'!$A:$A, A59,'Data Combined - all-runs'!$B:$B, B59,'Data Combined - all-runs'!$C:$C, C59, 'Data Combined - all-runs'!$D:$D, D59, 'Data Combined - all-runs'!$E:$E, E59)</f>
        <v>#DIV/0!</v>
      </c>
      <c r="P59" s="5" t="str">
        <f>AVERAGEIFS('Data Combined - all-runs'!$P:$P, 'Data Combined - all-runs'!$A:$A, A59,'Data Combined - all-runs'!$B:$B, B59,'Data Combined - all-runs'!$C:$C, C59, 'Data Combined - all-runs'!$D:$D, D59, 'Data Combined - all-runs'!$E:$E, E59)</f>
        <v>#DIV/0!</v>
      </c>
      <c r="Q59" s="5" t="str">
        <f>AVERAGEIFS('Data Combined - all-runs'!$Q:$Q, 'Data Combined - all-runs'!$A:$A, A59,'Data Combined - all-runs'!$B:$B, B59,'Data Combined - all-runs'!$C:$C, C59, 'Data Combined - all-runs'!$D:$D, D59, 'Data Combined - all-runs'!$E:$E, E59)</f>
        <v>#DIV/0!</v>
      </c>
      <c r="R59" s="5" t="str">
        <f>AVERAGEIFS('Data Combined - all-runs'!$R:$R, 'Data Combined - all-runs'!$A:$A, A59,'Data Combined - all-runs'!$B:$B, B59,'Data Combined - all-runs'!$C:$C, C59, 'Data Combined - all-runs'!$D:$D, D59, 'Data Combined - all-runs'!$E:$E, E59)</f>
        <v>#DIV/0!</v>
      </c>
      <c r="S59" s="5" t="str">
        <f>AVERAGEIFS('Data Combined - all-runs'!$S:$S, 'Data Combined - all-runs'!$A:$A, A59,'Data Combined - all-runs'!$B:$B, B59,'Data Combined - all-runs'!$C:$C, C59, 'Data Combined - all-runs'!$D:$D, D59, 'Data Combined - all-runs'!$E:$E, E59)</f>
        <v>#DIV/0!</v>
      </c>
      <c r="T59" s="5" t="str">
        <f>AVERAGEIFS('Data Combined - all-runs'!$T:$T, 'Data Combined - all-runs'!$A:$A, A59,'Data Combined - all-runs'!$B:$B, B59,'Data Combined - all-runs'!$C:$C, C59, 'Data Combined - all-runs'!$D:$D, D59, 'Data Combined - all-runs'!$E:$E, E59)</f>
        <v>#DIV/0!</v>
      </c>
      <c r="U59" s="5" t="b">
        <f t="shared" si="1"/>
        <v>0</v>
      </c>
      <c r="V59" s="5" t="b">
        <f t="shared" si="2"/>
        <v>0</v>
      </c>
      <c r="W59" s="5" t="b">
        <f t="shared" si="3"/>
        <v>0</v>
      </c>
    </row>
    <row r="60">
      <c r="A60" s="2" t="s">
        <v>32</v>
      </c>
      <c r="B60" s="2" t="s">
        <v>22</v>
      </c>
      <c r="C60" s="2" t="s">
        <v>35</v>
      </c>
      <c r="D60" s="2" t="s">
        <v>64</v>
      </c>
      <c r="E60" s="2" t="s">
        <v>47</v>
      </c>
      <c r="H60" s="5" t="str">
        <f>AVERAGEIFS('Data Combined - all-runs'!$H:$H, 'Data Combined - all-runs'!$A:$A, A60,'Data Combined - all-runs'!$B:$B, B60,'Data Combined - all-runs'!$C:$C, C60, 'Data Combined - all-runs'!$D:$D, D60, 'Data Combined - all-runs'!$E:$E, E60)</f>
        <v>#DIV/0!</v>
      </c>
      <c r="I60" s="5" t="str">
        <f>AVERAGEIFS('Data Combined - all-runs'!$I:$I, 'Data Combined - all-runs'!$A:$A, A60,'Data Combined - all-runs'!$B:$B, B60,'Data Combined - all-runs'!$C:$C, C60, 'Data Combined - all-runs'!$D:$D, D60, 'Data Combined - all-runs'!$E:$E, E60)</f>
        <v>#DIV/0!</v>
      </c>
      <c r="J60" s="5" t="str">
        <f>AVERAGEIFS('Data Combined - all-runs'!$J:$J, 'Data Combined - all-runs'!$A:$A, A60,'Data Combined - all-runs'!$B:$B, B60,'Data Combined - all-runs'!$C:$C, C60, 'Data Combined - all-runs'!$D:$D, D60, 'Data Combined - all-runs'!$E:$E, E60)</f>
        <v>#DIV/0!</v>
      </c>
      <c r="K60" s="5" t="str">
        <f>AVERAGEIFS('Data Combined - all-runs'!$K:$K, 'Data Combined - all-runs'!$A:$A, A60,'Data Combined - all-runs'!$B:$B, B60,'Data Combined - all-runs'!$C:$C, C60, 'Data Combined - all-runs'!$D:$D, D60, 'Data Combined - all-runs'!$E:$E, E60)</f>
        <v>#DIV/0!</v>
      </c>
      <c r="L60" s="5" t="str">
        <f>AVERAGEIFS('Data Combined - all-runs'!$L:$L, 'Data Combined - all-runs'!$A:$A, A60,'Data Combined - all-runs'!$B:$B, B60,'Data Combined - all-runs'!$C:$C, C60, 'Data Combined - all-runs'!$D:$D, D60, 'Data Combined - all-runs'!$E:$E, E60)</f>
        <v>#DIV/0!</v>
      </c>
      <c r="M60" s="5" t="str">
        <f>AVERAGEIFS('Data Combined - all-runs'!$M:$M, 'Data Combined - all-runs'!$A:$A, A60,'Data Combined - all-runs'!$B:$B, B60,'Data Combined - all-runs'!$C:$C, C60, 'Data Combined - all-runs'!$D:$D, D60, 'Data Combined - all-runs'!$E:$E, E60)</f>
        <v>#DIV/0!</v>
      </c>
      <c r="N60" s="5" t="str">
        <f>AVERAGEIFS('Data Combined - all-runs'!$N:$N, 'Data Combined - all-runs'!$A:$A, A60,'Data Combined - all-runs'!$B:$B, B60,'Data Combined - all-runs'!$C:$C, C60, 'Data Combined - all-runs'!$D:$D, D60, 'Data Combined - all-runs'!$E:$E, E60)</f>
        <v>#DIV/0!</v>
      </c>
      <c r="O60" s="5" t="str">
        <f>AVERAGEIFS('Data Combined - all-runs'!$O:$O, 'Data Combined - all-runs'!$A:$A, A60,'Data Combined - all-runs'!$B:$B, B60,'Data Combined - all-runs'!$C:$C, C60, 'Data Combined - all-runs'!$D:$D, D60, 'Data Combined - all-runs'!$E:$E, E60)</f>
        <v>#DIV/0!</v>
      </c>
      <c r="P60" s="5" t="str">
        <f>AVERAGEIFS('Data Combined - all-runs'!$P:$P, 'Data Combined - all-runs'!$A:$A, A60,'Data Combined - all-runs'!$B:$B, B60,'Data Combined - all-runs'!$C:$C, C60, 'Data Combined - all-runs'!$D:$D, D60, 'Data Combined - all-runs'!$E:$E, E60)</f>
        <v>#DIV/0!</v>
      </c>
      <c r="Q60" s="5" t="str">
        <f>AVERAGEIFS('Data Combined - all-runs'!$Q:$Q, 'Data Combined - all-runs'!$A:$A, A60,'Data Combined - all-runs'!$B:$B, B60,'Data Combined - all-runs'!$C:$C, C60, 'Data Combined - all-runs'!$D:$D, D60, 'Data Combined - all-runs'!$E:$E, E60)</f>
        <v>#DIV/0!</v>
      </c>
      <c r="R60" s="5" t="str">
        <f>AVERAGEIFS('Data Combined - all-runs'!$R:$R, 'Data Combined - all-runs'!$A:$A, A60,'Data Combined - all-runs'!$B:$B, B60,'Data Combined - all-runs'!$C:$C, C60, 'Data Combined - all-runs'!$D:$D, D60, 'Data Combined - all-runs'!$E:$E, E60)</f>
        <v>#DIV/0!</v>
      </c>
      <c r="S60" s="5" t="str">
        <f>AVERAGEIFS('Data Combined - all-runs'!$S:$S, 'Data Combined - all-runs'!$A:$A, A60,'Data Combined - all-runs'!$B:$B, B60,'Data Combined - all-runs'!$C:$C, C60, 'Data Combined - all-runs'!$D:$D, D60, 'Data Combined - all-runs'!$E:$E, E60)</f>
        <v>#DIV/0!</v>
      </c>
      <c r="T60" s="5" t="str">
        <f>AVERAGEIFS('Data Combined - all-runs'!$T:$T, 'Data Combined - all-runs'!$A:$A, A60,'Data Combined - all-runs'!$B:$B, B60,'Data Combined - all-runs'!$C:$C, C60, 'Data Combined - all-runs'!$D:$D, D60, 'Data Combined - all-runs'!$E:$E, E60)</f>
        <v>#DIV/0!</v>
      </c>
      <c r="U60" s="5" t="b">
        <f t="shared" si="1"/>
        <v>0</v>
      </c>
      <c r="V60" s="5" t="b">
        <f t="shared" si="2"/>
        <v>0</v>
      </c>
      <c r="W60" s="5" t="b">
        <f t="shared" si="3"/>
        <v>0</v>
      </c>
    </row>
    <row r="61">
      <c r="A61" s="2" t="s">
        <v>32</v>
      </c>
      <c r="B61" s="2" t="s">
        <v>22</v>
      </c>
      <c r="C61" s="2" t="s">
        <v>35</v>
      </c>
      <c r="D61" s="2" t="s">
        <v>64</v>
      </c>
      <c r="E61" s="2" t="s">
        <v>51</v>
      </c>
      <c r="H61" s="5" t="str">
        <f>AVERAGEIFS('Data Combined - all-runs'!$H:$H, 'Data Combined - all-runs'!$A:$A, A61,'Data Combined - all-runs'!$B:$B, B61,'Data Combined - all-runs'!$C:$C, C61, 'Data Combined - all-runs'!$D:$D, D61, 'Data Combined - all-runs'!$E:$E, E61)</f>
        <v>#DIV/0!</v>
      </c>
      <c r="I61" s="5" t="str">
        <f>AVERAGEIFS('Data Combined - all-runs'!$I:$I, 'Data Combined - all-runs'!$A:$A, A61,'Data Combined - all-runs'!$B:$B, B61,'Data Combined - all-runs'!$C:$C, C61, 'Data Combined - all-runs'!$D:$D, D61, 'Data Combined - all-runs'!$E:$E, E61)</f>
        <v>#DIV/0!</v>
      </c>
      <c r="J61" s="5" t="str">
        <f>AVERAGEIFS('Data Combined - all-runs'!$J:$J, 'Data Combined - all-runs'!$A:$A, A61,'Data Combined - all-runs'!$B:$B, B61,'Data Combined - all-runs'!$C:$C, C61, 'Data Combined - all-runs'!$D:$D, D61, 'Data Combined - all-runs'!$E:$E, E61)</f>
        <v>#DIV/0!</v>
      </c>
      <c r="K61" s="5" t="str">
        <f>AVERAGEIFS('Data Combined - all-runs'!$K:$K, 'Data Combined - all-runs'!$A:$A, A61,'Data Combined - all-runs'!$B:$B, B61,'Data Combined - all-runs'!$C:$C, C61, 'Data Combined - all-runs'!$D:$D, D61, 'Data Combined - all-runs'!$E:$E, E61)</f>
        <v>#DIV/0!</v>
      </c>
      <c r="L61" s="5" t="str">
        <f>AVERAGEIFS('Data Combined - all-runs'!$L:$L, 'Data Combined - all-runs'!$A:$A, A61,'Data Combined - all-runs'!$B:$B, B61,'Data Combined - all-runs'!$C:$C, C61, 'Data Combined - all-runs'!$D:$D, D61, 'Data Combined - all-runs'!$E:$E, E61)</f>
        <v>#DIV/0!</v>
      </c>
      <c r="M61" s="5" t="str">
        <f>AVERAGEIFS('Data Combined - all-runs'!$M:$M, 'Data Combined - all-runs'!$A:$A, A61,'Data Combined - all-runs'!$B:$B, B61,'Data Combined - all-runs'!$C:$C, C61, 'Data Combined - all-runs'!$D:$D, D61, 'Data Combined - all-runs'!$E:$E, E61)</f>
        <v>#DIV/0!</v>
      </c>
      <c r="N61" s="5" t="str">
        <f>AVERAGEIFS('Data Combined - all-runs'!$N:$N, 'Data Combined - all-runs'!$A:$A, A61,'Data Combined - all-runs'!$B:$B, B61,'Data Combined - all-runs'!$C:$C, C61, 'Data Combined - all-runs'!$D:$D, D61, 'Data Combined - all-runs'!$E:$E, E61)</f>
        <v>#DIV/0!</v>
      </c>
      <c r="O61" s="5" t="str">
        <f>AVERAGEIFS('Data Combined - all-runs'!$O:$O, 'Data Combined - all-runs'!$A:$A, A61,'Data Combined - all-runs'!$B:$B, B61,'Data Combined - all-runs'!$C:$C, C61, 'Data Combined - all-runs'!$D:$D, D61, 'Data Combined - all-runs'!$E:$E, E61)</f>
        <v>#DIV/0!</v>
      </c>
      <c r="P61" s="5" t="str">
        <f>AVERAGEIFS('Data Combined - all-runs'!$P:$P, 'Data Combined - all-runs'!$A:$A, A61,'Data Combined - all-runs'!$B:$B, B61,'Data Combined - all-runs'!$C:$C, C61, 'Data Combined - all-runs'!$D:$D, D61, 'Data Combined - all-runs'!$E:$E, E61)</f>
        <v>#DIV/0!</v>
      </c>
      <c r="Q61" s="5" t="str">
        <f>AVERAGEIFS('Data Combined - all-runs'!$Q:$Q, 'Data Combined - all-runs'!$A:$A, A61,'Data Combined - all-runs'!$B:$B, B61,'Data Combined - all-runs'!$C:$C, C61, 'Data Combined - all-runs'!$D:$D, D61, 'Data Combined - all-runs'!$E:$E, E61)</f>
        <v>#DIV/0!</v>
      </c>
      <c r="R61" s="5" t="str">
        <f>AVERAGEIFS('Data Combined - all-runs'!$R:$R, 'Data Combined - all-runs'!$A:$A, A61,'Data Combined - all-runs'!$B:$B, B61,'Data Combined - all-runs'!$C:$C, C61, 'Data Combined - all-runs'!$D:$D, D61, 'Data Combined - all-runs'!$E:$E, E61)</f>
        <v>#DIV/0!</v>
      </c>
      <c r="S61" s="5" t="str">
        <f>AVERAGEIFS('Data Combined - all-runs'!$S:$S, 'Data Combined - all-runs'!$A:$A, A61,'Data Combined - all-runs'!$B:$B, B61,'Data Combined - all-runs'!$C:$C, C61, 'Data Combined - all-runs'!$D:$D, D61, 'Data Combined - all-runs'!$E:$E, E61)</f>
        <v>#DIV/0!</v>
      </c>
      <c r="T61" s="5" t="str">
        <f>AVERAGEIFS('Data Combined - all-runs'!$T:$T, 'Data Combined - all-runs'!$A:$A, A61,'Data Combined - all-runs'!$B:$B, B61,'Data Combined - all-runs'!$C:$C, C61, 'Data Combined - all-runs'!$D:$D, D61, 'Data Combined - all-runs'!$E:$E, E61)</f>
        <v>#DIV/0!</v>
      </c>
      <c r="U61" s="5" t="b">
        <f t="shared" si="1"/>
        <v>0</v>
      </c>
      <c r="V61" s="5" t="b">
        <f t="shared" si="2"/>
        <v>0</v>
      </c>
      <c r="W61" s="5" t="b">
        <f t="shared" si="3"/>
        <v>0</v>
      </c>
    </row>
    <row r="62">
      <c r="A62" s="2" t="s">
        <v>32</v>
      </c>
      <c r="B62" s="2" t="s">
        <v>22</v>
      </c>
      <c r="C62" s="2" t="s">
        <v>35</v>
      </c>
      <c r="D62" s="2" t="s">
        <v>102</v>
      </c>
      <c r="E62" s="2" t="s">
        <v>25</v>
      </c>
      <c r="H62" s="5" t="str">
        <f>AVERAGEIFS('Data Combined - all-runs'!$H:$H, 'Data Combined - all-runs'!$A:$A, A62,'Data Combined - all-runs'!$B:$B, B62,'Data Combined - all-runs'!$C:$C, C62, 'Data Combined - all-runs'!$D:$D, D62, 'Data Combined - all-runs'!$E:$E, E62)</f>
        <v>#DIV/0!</v>
      </c>
      <c r="I62" s="5" t="str">
        <f>AVERAGEIFS('Data Combined - all-runs'!$I:$I, 'Data Combined - all-runs'!$A:$A, A62,'Data Combined - all-runs'!$B:$B, B62,'Data Combined - all-runs'!$C:$C, C62, 'Data Combined - all-runs'!$D:$D, D62, 'Data Combined - all-runs'!$E:$E, E62)</f>
        <v>#DIV/0!</v>
      </c>
      <c r="J62" s="5" t="str">
        <f>AVERAGEIFS('Data Combined - all-runs'!$J:$J, 'Data Combined - all-runs'!$A:$A, A62,'Data Combined - all-runs'!$B:$B, B62,'Data Combined - all-runs'!$C:$C, C62, 'Data Combined - all-runs'!$D:$D, D62, 'Data Combined - all-runs'!$E:$E, E62)</f>
        <v>#DIV/0!</v>
      </c>
      <c r="K62" s="5" t="str">
        <f>AVERAGEIFS('Data Combined - all-runs'!$K:$K, 'Data Combined - all-runs'!$A:$A, A62,'Data Combined - all-runs'!$B:$B, B62,'Data Combined - all-runs'!$C:$C, C62, 'Data Combined - all-runs'!$D:$D, D62, 'Data Combined - all-runs'!$E:$E, E62)</f>
        <v>#DIV/0!</v>
      </c>
      <c r="L62" s="5" t="str">
        <f>AVERAGEIFS('Data Combined - all-runs'!$L:$L, 'Data Combined - all-runs'!$A:$A, A62,'Data Combined - all-runs'!$B:$B, B62,'Data Combined - all-runs'!$C:$C, C62, 'Data Combined - all-runs'!$D:$D, D62, 'Data Combined - all-runs'!$E:$E, E62)</f>
        <v>#DIV/0!</v>
      </c>
      <c r="M62" s="5" t="str">
        <f>AVERAGEIFS('Data Combined - all-runs'!$M:$M, 'Data Combined - all-runs'!$A:$A, A62,'Data Combined - all-runs'!$B:$B, B62,'Data Combined - all-runs'!$C:$C, C62, 'Data Combined - all-runs'!$D:$D, D62, 'Data Combined - all-runs'!$E:$E, E62)</f>
        <v>#DIV/0!</v>
      </c>
      <c r="N62" s="5" t="str">
        <f>AVERAGEIFS('Data Combined - all-runs'!$N:$N, 'Data Combined - all-runs'!$A:$A, A62,'Data Combined - all-runs'!$B:$B, B62,'Data Combined - all-runs'!$C:$C, C62, 'Data Combined - all-runs'!$D:$D, D62, 'Data Combined - all-runs'!$E:$E, E62)</f>
        <v>#DIV/0!</v>
      </c>
      <c r="O62" s="5" t="str">
        <f>AVERAGEIFS('Data Combined - all-runs'!$O:$O, 'Data Combined - all-runs'!$A:$A, A62,'Data Combined - all-runs'!$B:$B, B62,'Data Combined - all-runs'!$C:$C, C62, 'Data Combined - all-runs'!$D:$D, D62, 'Data Combined - all-runs'!$E:$E, E62)</f>
        <v>#DIV/0!</v>
      </c>
      <c r="P62" s="5" t="str">
        <f>AVERAGEIFS('Data Combined - all-runs'!$P:$P, 'Data Combined - all-runs'!$A:$A, A62,'Data Combined - all-runs'!$B:$B, B62,'Data Combined - all-runs'!$C:$C, C62, 'Data Combined - all-runs'!$D:$D, D62, 'Data Combined - all-runs'!$E:$E, E62)</f>
        <v>#DIV/0!</v>
      </c>
      <c r="Q62" s="5" t="str">
        <f>AVERAGEIFS('Data Combined - all-runs'!$Q:$Q, 'Data Combined - all-runs'!$A:$A, A62,'Data Combined - all-runs'!$B:$B, B62,'Data Combined - all-runs'!$C:$C, C62, 'Data Combined - all-runs'!$D:$D, D62, 'Data Combined - all-runs'!$E:$E, E62)</f>
        <v>#DIV/0!</v>
      </c>
      <c r="R62" s="5" t="str">
        <f>AVERAGEIFS('Data Combined - all-runs'!$R:$R, 'Data Combined - all-runs'!$A:$A, A62,'Data Combined - all-runs'!$B:$B, B62,'Data Combined - all-runs'!$C:$C, C62, 'Data Combined - all-runs'!$D:$D, D62, 'Data Combined - all-runs'!$E:$E, E62)</f>
        <v>#DIV/0!</v>
      </c>
      <c r="S62" s="5" t="str">
        <f>AVERAGEIFS('Data Combined - all-runs'!$S:$S, 'Data Combined - all-runs'!$A:$A, A62,'Data Combined - all-runs'!$B:$B, B62,'Data Combined - all-runs'!$C:$C, C62, 'Data Combined - all-runs'!$D:$D, D62, 'Data Combined - all-runs'!$E:$E, E62)</f>
        <v>#DIV/0!</v>
      </c>
      <c r="T62" s="5" t="str">
        <f>AVERAGEIFS('Data Combined - all-runs'!$T:$T, 'Data Combined - all-runs'!$A:$A, A62,'Data Combined - all-runs'!$B:$B, B62,'Data Combined - all-runs'!$C:$C, C62, 'Data Combined - all-runs'!$D:$D, D62, 'Data Combined - all-runs'!$E:$E, E62)</f>
        <v>#DIV/0!</v>
      </c>
      <c r="U62" s="5" t="b">
        <f t="shared" si="1"/>
        <v>0</v>
      </c>
      <c r="V62" s="5" t="b">
        <f t="shared" si="2"/>
        <v>0</v>
      </c>
      <c r="W62" s="5" t="b">
        <f t="shared" si="3"/>
        <v>0</v>
      </c>
    </row>
    <row r="63">
      <c r="A63" s="2" t="s">
        <v>32</v>
      </c>
      <c r="B63" s="2" t="s">
        <v>22</v>
      </c>
      <c r="C63" s="2" t="s">
        <v>35</v>
      </c>
      <c r="D63" s="2" t="s">
        <v>102</v>
      </c>
      <c r="E63" s="2" t="s">
        <v>39</v>
      </c>
      <c r="H63" s="5" t="str">
        <f>AVERAGEIFS('Data Combined - all-runs'!$H:$H, 'Data Combined - all-runs'!$A:$A, A63,'Data Combined - all-runs'!$B:$B, B63,'Data Combined - all-runs'!$C:$C, C63, 'Data Combined - all-runs'!$D:$D, D63, 'Data Combined - all-runs'!$E:$E, E63)</f>
        <v>#DIV/0!</v>
      </c>
      <c r="I63" s="5" t="str">
        <f>AVERAGEIFS('Data Combined - all-runs'!$I:$I, 'Data Combined - all-runs'!$A:$A, A63,'Data Combined - all-runs'!$B:$B, B63,'Data Combined - all-runs'!$C:$C, C63, 'Data Combined - all-runs'!$D:$D, D63, 'Data Combined - all-runs'!$E:$E, E63)</f>
        <v>#DIV/0!</v>
      </c>
      <c r="J63" s="5" t="str">
        <f>AVERAGEIFS('Data Combined - all-runs'!$J:$J, 'Data Combined - all-runs'!$A:$A, A63,'Data Combined - all-runs'!$B:$B, B63,'Data Combined - all-runs'!$C:$C, C63, 'Data Combined - all-runs'!$D:$D, D63, 'Data Combined - all-runs'!$E:$E, E63)</f>
        <v>#DIV/0!</v>
      </c>
      <c r="K63" s="5" t="str">
        <f>AVERAGEIFS('Data Combined - all-runs'!$K:$K, 'Data Combined - all-runs'!$A:$A, A63,'Data Combined - all-runs'!$B:$B, B63,'Data Combined - all-runs'!$C:$C, C63, 'Data Combined - all-runs'!$D:$D, D63, 'Data Combined - all-runs'!$E:$E, E63)</f>
        <v>#DIV/0!</v>
      </c>
      <c r="L63" s="5" t="str">
        <f>AVERAGEIFS('Data Combined - all-runs'!$L:$L, 'Data Combined - all-runs'!$A:$A, A63,'Data Combined - all-runs'!$B:$B, B63,'Data Combined - all-runs'!$C:$C, C63, 'Data Combined - all-runs'!$D:$D, D63, 'Data Combined - all-runs'!$E:$E, E63)</f>
        <v>#DIV/0!</v>
      </c>
      <c r="M63" s="5" t="str">
        <f>AVERAGEIFS('Data Combined - all-runs'!$M:$M, 'Data Combined - all-runs'!$A:$A, A63,'Data Combined - all-runs'!$B:$B, B63,'Data Combined - all-runs'!$C:$C, C63, 'Data Combined - all-runs'!$D:$D, D63, 'Data Combined - all-runs'!$E:$E, E63)</f>
        <v>#DIV/0!</v>
      </c>
      <c r="N63" s="5" t="str">
        <f>AVERAGEIFS('Data Combined - all-runs'!$N:$N, 'Data Combined - all-runs'!$A:$A, A63,'Data Combined - all-runs'!$B:$B, B63,'Data Combined - all-runs'!$C:$C, C63, 'Data Combined - all-runs'!$D:$D, D63, 'Data Combined - all-runs'!$E:$E, E63)</f>
        <v>#DIV/0!</v>
      </c>
      <c r="O63" s="5" t="str">
        <f>AVERAGEIFS('Data Combined - all-runs'!$O:$O, 'Data Combined - all-runs'!$A:$A, A63,'Data Combined - all-runs'!$B:$B, B63,'Data Combined - all-runs'!$C:$C, C63, 'Data Combined - all-runs'!$D:$D, D63, 'Data Combined - all-runs'!$E:$E, E63)</f>
        <v>#DIV/0!</v>
      </c>
      <c r="P63" s="5" t="str">
        <f>AVERAGEIFS('Data Combined - all-runs'!$P:$P, 'Data Combined - all-runs'!$A:$A, A63,'Data Combined - all-runs'!$B:$B, B63,'Data Combined - all-runs'!$C:$C, C63, 'Data Combined - all-runs'!$D:$D, D63, 'Data Combined - all-runs'!$E:$E, E63)</f>
        <v>#DIV/0!</v>
      </c>
      <c r="Q63" s="5" t="str">
        <f>AVERAGEIFS('Data Combined - all-runs'!$Q:$Q, 'Data Combined - all-runs'!$A:$A, A63,'Data Combined - all-runs'!$B:$B, B63,'Data Combined - all-runs'!$C:$C, C63, 'Data Combined - all-runs'!$D:$D, D63, 'Data Combined - all-runs'!$E:$E, E63)</f>
        <v>#DIV/0!</v>
      </c>
      <c r="R63" s="5" t="str">
        <f>AVERAGEIFS('Data Combined - all-runs'!$R:$R, 'Data Combined - all-runs'!$A:$A, A63,'Data Combined - all-runs'!$B:$B, B63,'Data Combined - all-runs'!$C:$C, C63, 'Data Combined - all-runs'!$D:$D, D63, 'Data Combined - all-runs'!$E:$E, E63)</f>
        <v>#DIV/0!</v>
      </c>
      <c r="S63" s="5" t="str">
        <f>AVERAGEIFS('Data Combined - all-runs'!$S:$S, 'Data Combined - all-runs'!$A:$A, A63,'Data Combined - all-runs'!$B:$B, B63,'Data Combined - all-runs'!$C:$C, C63, 'Data Combined - all-runs'!$D:$D, D63, 'Data Combined - all-runs'!$E:$E, E63)</f>
        <v>#DIV/0!</v>
      </c>
      <c r="T63" s="5" t="str">
        <f>AVERAGEIFS('Data Combined - all-runs'!$T:$T, 'Data Combined - all-runs'!$A:$A, A63,'Data Combined - all-runs'!$B:$B, B63,'Data Combined - all-runs'!$C:$C, C63, 'Data Combined - all-runs'!$D:$D, D63, 'Data Combined - all-runs'!$E:$E, E63)</f>
        <v>#DIV/0!</v>
      </c>
      <c r="U63" s="5" t="b">
        <f t="shared" si="1"/>
        <v>0</v>
      </c>
      <c r="V63" s="5" t="b">
        <f t="shared" si="2"/>
        <v>0</v>
      </c>
      <c r="W63" s="5" t="b">
        <f t="shared" si="3"/>
        <v>0</v>
      </c>
    </row>
    <row r="64">
      <c r="A64" s="2" t="s">
        <v>32</v>
      </c>
      <c r="B64" s="2" t="s">
        <v>22</v>
      </c>
      <c r="C64" s="2" t="s">
        <v>35</v>
      </c>
      <c r="D64" s="2" t="s">
        <v>102</v>
      </c>
      <c r="E64" s="2" t="s">
        <v>43</v>
      </c>
      <c r="H64" s="5" t="str">
        <f>AVERAGEIFS('Data Combined - all-runs'!$H:$H, 'Data Combined - all-runs'!$A:$A, A64,'Data Combined - all-runs'!$B:$B, B64,'Data Combined - all-runs'!$C:$C, C64, 'Data Combined - all-runs'!$D:$D, D64, 'Data Combined - all-runs'!$E:$E, E64)</f>
        <v>#DIV/0!</v>
      </c>
      <c r="I64" s="5" t="str">
        <f>AVERAGEIFS('Data Combined - all-runs'!$I:$I, 'Data Combined - all-runs'!$A:$A, A64,'Data Combined - all-runs'!$B:$B, B64,'Data Combined - all-runs'!$C:$C, C64, 'Data Combined - all-runs'!$D:$D, D64, 'Data Combined - all-runs'!$E:$E, E64)</f>
        <v>#DIV/0!</v>
      </c>
      <c r="J64" s="5" t="str">
        <f>AVERAGEIFS('Data Combined - all-runs'!$J:$J, 'Data Combined - all-runs'!$A:$A, A64,'Data Combined - all-runs'!$B:$B, B64,'Data Combined - all-runs'!$C:$C, C64, 'Data Combined - all-runs'!$D:$D, D64, 'Data Combined - all-runs'!$E:$E, E64)</f>
        <v>#DIV/0!</v>
      </c>
      <c r="K64" s="5" t="str">
        <f>AVERAGEIFS('Data Combined - all-runs'!$K:$K, 'Data Combined - all-runs'!$A:$A, A64,'Data Combined - all-runs'!$B:$B, B64,'Data Combined - all-runs'!$C:$C, C64, 'Data Combined - all-runs'!$D:$D, D64, 'Data Combined - all-runs'!$E:$E, E64)</f>
        <v>#DIV/0!</v>
      </c>
      <c r="L64" s="5" t="str">
        <f>AVERAGEIFS('Data Combined - all-runs'!$L:$L, 'Data Combined - all-runs'!$A:$A, A64,'Data Combined - all-runs'!$B:$B, B64,'Data Combined - all-runs'!$C:$C, C64, 'Data Combined - all-runs'!$D:$D, D64, 'Data Combined - all-runs'!$E:$E, E64)</f>
        <v>#DIV/0!</v>
      </c>
      <c r="M64" s="5" t="str">
        <f>AVERAGEIFS('Data Combined - all-runs'!$M:$M, 'Data Combined - all-runs'!$A:$A, A64,'Data Combined - all-runs'!$B:$B, B64,'Data Combined - all-runs'!$C:$C, C64, 'Data Combined - all-runs'!$D:$D, D64, 'Data Combined - all-runs'!$E:$E, E64)</f>
        <v>#DIV/0!</v>
      </c>
      <c r="N64" s="5" t="str">
        <f>AVERAGEIFS('Data Combined - all-runs'!$N:$N, 'Data Combined - all-runs'!$A:$A, A64,'Data Combined - all-runs'!$B:$B, B64,'Data Combined - all-runs'!$C:$C, C64, 'Data Combined - all-runs'!$D:$D, D64, 'Data Combined - all-runs'!$E:$E, E64)</f>
        <v>#DIV/0!</v>
      </c>
      <c r="O64" s="5" t="str">
        <f>AVERAGEIFS('Data Combined - all-runs'!$O:$O, 'Data Combined - all-runs'!$A:$A, A64,'Data Combined - all-runs'!$B:$B, B64,'Data Combined - all-runs'!$C:$C, C64, 'Data Combined - all-runs'!$D:$D, D64, 'Data Combined - all-runs'!$E:$E, E64)</f>
        <v>#DIV/0!</v>
      </c>
      <c r="P64" s="5" t="str">
        <f>AVERAGEIFS('Data Combined - all-runs'!$P:$P, 'Data Combined - all-runs'!$A:$A, A64,'Data Combined - all-runs'!$B:$B, B64,'Data Combined - all-runs'!$C:$C, C64, 'Data Combined - all-runs'!$D:$D, D64, 'Data Combined - all-runs'!$E:$E, E64)</f>
        <v>#DIV/0!</v>
      </c>
      <c r="Q64" s="5" t="str">
        <f>AVERAGEIFS('Data Combined - all-runs'!$Q:$Q, 'Data Combined - all-runs'!$A:$A, A64,'Data Combined - all-runs'!$B:$B, B64,'Data Combined - all-runs'!$C:$C, C64, 'Data Combined - all-runs'!$D:$D, D64, 'Data Combined - all-runs'!$E:$E, E64)</f>
        <v>#DIV/0!</v>
      </c>
      <c r="R64" s="5" t="str">
        <f>AVERAGEIFS('Data Combined - all-runs'!$R:$R, 'Data Combined - all-runs'!$A:$A, A64,'Data Combined - all-runs'!$B:$B, B64,'Data Combined - all-runs'!$C:$C, C64, 'Data Combined - all-runs'!$D:$D, D64, 'Data Combined - all-runs'!$E:$E, E64)</f>
        <v>#DIV/0!</v>
      </c>
      <c r="S64" s="5" t="str">
        <f>AVERAGEIFS('Data Combined - all-runs'!$S:$S, 'Data Combined - all-runs'!$A:$A, A64,'Data Combined - all-runs'!$B:$B, B64,'Data Combined - all-runs'!$C:$C, C64, 'Data Combined - all-runs'!$D:$D, D64, 'Data Combined - all-runs'!$E:$E, E64)</f>
        <v>#DIV/0!</v>
      </c>
      <c r="T64" s="5" t="str">
        <f>AVERAGEIFS('Data Combined - all-runs'!$T:$T, 'Data Combined - all-runs'!$A:$A, A64,'Data Combined - all-runs'!$B:$B, B64,'Data Combined - all-runs'!$C:$C, C64, 'Data Combined - all-runs'!$D:$D, D64, 'Data Combined - all-runs'!$E:$E, E64)</f>
        <v>#DIV/0!</v>
      </c>
      <c r="U64" s="5" t="b">
        <f t="shared" si="1"/>
        <v>0</v>
      </c>
      <c r="V64" s="5" t="b">
        <f t="shared" si="2"/>
        <v>0</v>
      </c>
      <c r="W64" s="5" t="b">
        <f t="shared" si="3"/>
        <v>0</v>
      </c>
    </row>
    <row r="65">
      <c r="A65" s="2" t="s">
        <v>32</v>
      </c>
      <c r="B65" s="2" t="s">
        <v>22</v>
      </c>
      <c r="C65" s="2" t="s">
        <v>35</v>
      </c>
      <c r="D65" s="2" t="s">
        <v>102</v>
      </c>
      <c r="E65" s="2" t="s">
        <v>34</v>
      </c>
      <c r="H65" s="5" t="str">
        <f>AVERAGEIFS('Data Combined - all-runs'!$H:$H, 'Data Combined - all-runs'!$A:$A, A65,'Data Combined - all-runs'!$B:$B, B65,'Data Combined - all-runs'!$C:$C, C65, 'Data Combined - all-runs'!$D:$D, D65, 'Data Combined - all-runs'!$E:$E, E65)</f>
        <v>#DIV/0!</v>
      </c>
      <c r="I65" s="5" t="str">
        <f>AVERAGEIFS('Data Combined - all-runs'!$I:$I, 'Data Combined - all-runs'!$A:$A, A65,'Data Combined - all-runs'!$B:$B, B65,'Data Combined - all-runs'!$C:$C, C65, 'Data Combined - all-runs'!$D:$D, D65, 'Data Combined - all-runs'!$E:$E, E65)</f>
        <v>#DIV/0!</v>
      </c>
      <c r="J65" s="5" t="str">
        <f>AVERAGEIFS('Data Combined - all-runs'!$J:$J, 'Data Combined - all-runs'!$A:$A, A65,'Data Combined - all-runs'!$B:$B, B65,'Data Combined - all-runs'!$C:$C, C65, 'Data Combined - all-runs'!$D:$D, D65, 'Data Combined - all-runs'!$E:$E, E65)</f>
        <v>#DIV/0!</v>
      </c>
      <c r="K65" s="5" t="str">
        <f>AVERAGEIFS('Data Combined - all-runs'!$K:$K, 'Data Combined - all-runs'!$A:$A, A65,'Data Combined - all-runs'!$B:$B, B65,'Data Combined - all-runs'!$C:$C, C65, 'Data Combined - all-runs'!$D:$D, D65, 'Data Combined - all-runs'!$E:$E, E65)</f>
        <v>#DIV/0!</v>
      </c>
      <c r="L65" s="5" t="str">
        <f>AVERAGEIFS('Data Combined - all-runs'!$L:$L, 'Data Combined - all-runs'!$A:$A, A65,'Data Combined - all-runs'!$B:$B, B65,'Data Combined - all-runs'!$C:$C, C65, 'Data Combined - all-runs'!$D:$D, D65, 'Data Combined - all-runs'!$E:$E, E65)</f>
        <v>#DIV/0!</v>
      </c>
      <c r="M65" s="5" t="str">
        <f>AVERAGEIFS('Data Combined - all-runs'!$M:$M, 'Data Combined - all-runs'!$A:$A, A65,'Data Combined - all-runs'!$B:$B, B65,'Data Combined - all-runs'!$C:$C, C65, 'Data Combined - all-runs'!$D:$D, D65, 'Data Combined - all-runs'!$E:$E, E65)</f>
        <v>#DIV/0!</v>
      </c>
      <c r="N65" s="5" t="str">
        <f>AVERAGEIFS('Data Combined - all-runs'!$N:$N, 'Data Combined - all-runs'!$A:$A, A65,'Data Combined - all-runs'!$B:$B, B65,'Data Combined - all-runs'!$C:$C, C65, 'Data Combined - all-runs'!$D:$D, D65, 'Data Combined - all-runs'!$E:$E, E65)</f>
        <v>#DIV/0!</v>
      </c>
      <c r="O65" s="5" t="str">
        <f>AVERAGEIFS('Data Combined - all-runs'!$O:$O, 'Data Combined - all-runs'!$A:$A, A65,'Data Combined - all-runs'!$B:$B, B65,'Data Combined - all-runs'!$C:$C, C65, 'Data Combined - all-runs'!$D:$D, D65, 'Data Combined - all-runs'!$E:$E, E65)</f>
        <v>#DIV/0!</v>
      </c>
      <c r="P65" s="5" t="str">
        <f>AVERAGEIFS('Data Combined - all-runs'!$P:$P, 'Data Combined - all-runs'!$A:$A, A65,'Data Combined - all-runs'!$B:$B, B65,'Data Combined - all-runs'!$C:$C, C65, 'Data Combined - all-runs'!$D:$D, D65, 'Data Combined - all-runs'!$E:$E, E65)</f>
        <v>#DIV/0!</v>
      </c>
      <c r="Q65" s="5" t="str">
        <f>AVERAGEIFS('Data Combined - all-runs'!$Q:$Q, 'Data Combined - all-runs'!$A:$A, A65,'Data Combined - all-runs'!$B:$B, B65,'Data Combined - all-runs'!$C:$C, C65, 'Data Combined - all-runs'!$D:$D, D65, 'Data Combined - all-runs'!$E:$E, E65)</f>
        <v>#DIV/0!</v>
      </c>
      <c r="R65" s="5" t="str">
        <f>AVERAGEIFS('Data Combined - all-runs'!$R:$R, 'Data Combined - all-runs'!$A:$A, A65,'Data Combined - all-runs'!$B:$B, B65,'Data Combined - all-runs'!$C:$C, C65, 'Data Combined - all-runs'!$D:$D, D65, 'Data Combined - all-runs'!$E:$E, E65)</f>
        <v>#DIV/0!</v>
      </c>
      <c r="S65" s="5" t="str">
        <f>AVERAGEIFS('Data Combined - all-runs'!$S:$S, 'Data Combined - all-runs'!$A:$A, A65,'Data Combined - all-runs'!$B:$B, B65,'Data Combined - all-runs'!$C:$C, C65, 'Data Combined - all-runs'!$D:$D, D65, 'Data Combined - all-runs'!$E:$E, E65)</f>
        <v>#DIV/0!</v>
      </c>
      <c r="T65" s="5" t="str">
        <f>AVERAGEIFS('Data Combined - all-runs'!$T:$T, 'Data Combined - all-runs'!$A:$A, A65,'Data Combined - all-runs'!$B:$B, B65,'Data Combined - all-runs'!$C:$C, C65, 'Data Combined - all-runs'!$D:$D, D65, 'Data Combined - all-runs'!$E:$E, E65)</f>
        <v>#DIV/0!</v>
      </c>
      <c r="U65" s="5" t="b">
        <f t="shared" si="1"/>
        <v>0</v>
      </c>
      <c r="V65" s="5" t="b">
        <f t="shared" si="2"/>
        <v>0</v>
      </c>
      <c r="W65" s="5" t="b">
        <f t="shared" si="3"/>
        <v>0</v>
      </c>
    </row>
    <row r="66">
      <c r="A66" s="2" t="s">
        <v>32</v>
      </c>
      <c r="B66" s="2" t="s">
        <v>22</v>
      </c>
      <c r="C66" s="2" t="s">
        <v>35</v>
      </c>
      <c r="D66" s="2" t="s">
        <v>102</v>
      </c>
      <c r="E66" s="2" t="s">
        <v>47</v>
      </c>
      <c r="H66" s="5" t="str">
        <f>AVERAGEIFS('Data Combined - all-runs'!$H:$H, 'Data Combined - all-runs'!$A:$A, A66,'Data Combined - all-runs'!$B:$B, B66,'Data Combined - all-runs'!$C:$C, C66, 'Data Combined - all-runs'!$D:$D, D66, 'Data Combined - all-runs'!$E:$E, E66)</f>
        <v>#DIV/0!</v>
      </c>
      <c r="I66" s="5" t="str">
        <f>AVERAGEIFS('Data Combined - all-runs'!$I:$I, 'Data Combined - all-runs'!$A:$A, A66,'Data Combined - all-runs'!$B:$B, B66,'Data Combined - all-runs'!$C:$C, C66, 'Data Combined - all-runs'!$D:$D, D66, 'Data Combined - all-runs'!$E:$E, E66)</f>
        <v>#DIV/0!</v>
      </c>
      <c r="J66" s="5" t="str">
        <f>AVERAGEIFS('Data Combined - all-runs'!$J:$J, 'Data Combined - all-runs'!$A:$A, A66,'Data Combined - all-runs'!$B:$B, B66,'Data Combined - all-runs'!$C:$C, C66, 'Data Combined - all-runs'!$D:$D, D66, 'Data Combined - all-runs'!$E:$E, E66)</f>
        <v>#DIV/0!</v>
      </c>
      <c r="K66" s="5" t="str">
        <f>AVERAGEIFS('Data Combined - all-runs'!$K:$K, 'Data Combined - all-runs'!$A:$A, A66,'Data Combined - all-runs'!$B:$B, B66,'Data Combined - all-runs'!$C:$C, C66, 'Data Combined - all-runs'!$D:$D, D66, 'Data Combined - all-runs'!$E:$E, E66)</f>
        <v>#DIV/0!</v>
      </c>
      <c r="L66" s="5" t="str">
        <f>AVERAGEIFS('Data Combined - all-runs'!$L:$L, 'Data Combined - all-runs'!$A:$A, A66,'Data Combined - all-runs'!$B:$B, B66,'Data Combined - all-runs'!$C:$C, C66, 'Data Combined - all-runs'!$D:$D, D66, 'Data Combined - all-runs'!$E:$E, E66)</f>
        <v>#DIV/0!</v>
      </c>
      <c r="M66" s="5" t="str">
        <f>AVERAGEIFS('Data Combined - all-runs'!$M:$M, 'Data Combined - all-runs'!$A:$A, A66,'Data Combined - all-runs'!$B:$B, B66,'Data Combined - all-runs'!$C:$C, C66, 'Data Combined - all-runs'!$D:$D, D66, 'Data Combined - all-runs'!$E:$E, E66)</f>
        <v>#DIV/0!</v>
      </c>
      <c r="N66" s="5" t="str">
        <f>AVERAGEIFS('Data Combined - all-runs'!$N:$N, 'Data Combined - all-runs'!$A:$A, A66,'Data Combined - all-runs'!$B:$B, B66,'Data Combined - all-runs'!$C:$C, C66, 'Data Combined - all-runs'!$D:$D, D66, 'Data Combined - all-runs'!$E:$E, E66)</f>
        <v>#DIV/0!</v>
      </c>
      <c r="O66" s="5" t="str">
        <f>AVERAGEIFS('Data Combined - all-runs'!$O:$O, 'Data Combined - all-runs'!$A:$A, A66,'Data Combined - all-runs'!$B:$B, B66,'Data Combined - all-runs'!$C:$C, C66, 'Data Combined - all-runs'!$D:$D, D66, 'Data Combined - all-runs'!$E:$E, E66)</f>
        <v>#DIV/0!</v>
      </c>
      <c r="P66" s="5" t="str">
        <f>AVERAGEIFS('Data Combined - all-runs'!$P:$P, 'Data Combined - all-runs'!$A:$A, A66,'Data Combined - all-runs'!$B:$B, B66,'Data Combined - all-runs'!$C:$C, C66, 'Data Combined - all-runs'!$D:$D, D66, 'Data Combined - all-runs'!$E:$E, E66)</f>
        <v>#DIV/0!</v>
      </c>
      <c r="Q66" s="5" t="str">
        <f>AVERAGEIFS('Data Combined - all-runs'!$Q:$Q, 'Data Combined - all-runs'!$A:$A, A66,'Data Combined - all-runs'!$B:$B, B66,'Data Combined - all-runs'!$C:$C, C66, 'Data Combined - all-runs'!$D:$D, D66, 'Data Combined - all-runs'!$E:$E, E66)</f>
        <v>#DIV/0!</v>
      </c>
      <c r="R66" s="5" t="str">
        <f>AVERAGEIFS('Data Combined - all-runs'!$R:$R, 'Data Combined - all-runs'!$A:$A, A66,'Data Combined - all-runs'!$B:$B, B66,'Data Combined - all-runs'!$C:$C, C66, 'Data Combined - all-runs'!$D:$D, D66, 'Data Combined - all-runs'!$E:$E, E66)</f>
        <v>#DIV/0!</v>
      </c>
      <c r="S66" s="5" t="str">
        <f>AVERAGEIFS('Data Combined - all-runs'!$S:$S, 'Data Combined - all-runs'!$A:$A, A66,'Data Combined - all-runs'!$B:$B, B66,'Data Combined - all-runs'!$C:$C, C66, 'Data Combined - all-runs'!$D:$D, D66, 'Data Combined - all-runs'!$E:$E, E66)</f>
        <v>#DIV/0!</v>
      </c>
      <c r="T66" s="5" t="str">
        <f>AVERAGEIFS('Data Combined - all-runs'!$T:$T, 'Data Combined - all-runs'!$A:$A, A66,'Data Combined - all-runs'!$B:$B, B66,'Data Combined - all-runs'!$C:$C, C66, 'Data Combined - all-runs'!$D:$D, D66, 'Data Combined - all-runs'!$E:$E, E66)</f>
        <v>#DIV/0!</v>
      </c>
      <c r="U66" s="5" t="b">
        <f t="shared" si="1"/>
        <v>0</v>
      </c>
      <c r="V66" s="5" t="b">
        <f t="shared" si="2"/>
        <v>0</v>
      </c>
      <c r="W66" s="5" t="b">
        <f t="shared" si="3"/>
        <v>0</v>
      </c>
    </row>
    <row r="67">
      <c r="A67" s="2" t="s">
        <v>32</v>
      </c>
      <c r="B67" s="2" t="s">
        <v>22</v>
      </c>
      <c r="C67" s="2" t="s">
        <v>35</v>
      </c>
      <c r="D67" s="2" t="s">
        <v>102</v>
      </c>
      <c r="E67" s="2" t="s">
        <v>51</v>
      </c>
      <c r="H67" s="5" t="str">
        <f>AVERAGEIFS('Data Combined - all-runs'!$H:$H, 'Data Combined - all-runs'!$A:$A, A67,'Data Combined - all-runs'!$B:$B, B67,'Data Combined - all-runs'!$C:$C, C67, 'Data Combined - all-runs'!$D:$D, D67, 'Data Combined - all-runs'!$E:$E, E67)</f>
        <v>#DIV/0!</v>
      </c>
      <c r="I67" s="5" t="str">
        <f>AVERAGEIFS('Data Combined - all-runs'!$I:$I, 'Data Combined - all-runs'!$A:$A, A67,'Data Combined - all-runs'!$B:$B, B67,'Data Combined - all-runs'!$C:$C, C67, 'Data Combined - all-runs'!$D:$D, D67, 'Data Combined - all-runs'!$E:$E, E67)</f>
        <v>#DIV/0!</v>
      </c>
      <c r="J67" s="5" t="str">
        <f>AVERAGEIFS('Data Combined - all-runs'!$J:$J, 'Data Combined - all-runs'!$A:$A, A67,'Data Combined - all-runs'!$B:$B, B67,'Data Combined - all-runs'!$C:$C, C67, 'Data Combined - all-runs'!$D:$D, D67, 'Data Combined - all-runs'!$E:$E, E67)</f>
        <v>#DIV/0!</v>
      </c>
      <c r="K67" s="5" t="str">
        <f>AVERAGEIFS('Data Combined - all-runs'!$K:$K, 'Data Combined - all-runs'!$A:$A, A67,'Data Combined - all-runs'!$B:$B, B67,'Data Combined - all-runs'!$C:$C, C67, 'Data Combined - all-runs'!$D:$D, D67, 'Data Combined - all-runs'!$E:$E, E67)</f>
        <v>#DIV/0!</v>
      </c>
      <c r="L67" s="5" t="str">
        <f>AVERAGEIFS('Data Combined - all-runs'!$L:$L, 'Data Combined - all-runs'!$A:$A, A67,'Data Combined - all-runs'!$B:$B, B67,'Data Combined - all-runs'!$C:$C, C67, 'Data Combined - all-runs'!$D:$D, D67, 'Data Combined - all-runs'!$E:$E, E67)</f>
        <v>#DIV/0!</v>
      </c>
      <c r="M67" s="5" t="str">
        <f>AVERAGEIFS('Data Combined - all-runs'!$M:$M, 'Data Combined - all-runs'!$A:$A, A67,'Data Combined - all-runs'!$B:$B, B67,'Data Combined - all-runs'!$C:$C, C67, 'Data Combined - all-runs'!$D:$D, D67, 'Data Combined - all-runs'!$E:$E, E67)</f>
        <v>#DIV/0!</v>
      </c>
      <c r="N67" s="5" t="str">
        <f>AVERAGEIFS('Data Combined - all-runs'!$N:$N, 'Data Combined - all-runs'!$A:$A, A67,'Data Combined - all-runs'!$B:$B, B67,'Data Combined - all-runs'!$C:$C, C67, 'Data Combined - all-runs'!$D:$D, D67, 'Data Combined - all-runs'!$E:$E, E67)</f>
        <v>#DIV/0!</v>
      </c>
      <c r="O67" s="5" t="str">
        <f>AVERAGEIFS('Data Combined - all-runs'!$O:$O, 'Data Combined - all-runs'!$A:$A, A67,'Data Combined - all-runs'!$B:$B, B67,'Data Combined - all-runs'!$C:$C, C67, 'Data Combined - all-runs'!$D:$D, D67, 'Data Combined - all-runs'!$E:$E, E67)</f>
        <v>#DIV/0!</v>
      </c>
      <c r="P67" s="5" t="str">
        <f>AVERAGEIFS('Data Combined - all-runs'!$P:$P, 'Data Combined - all-runs'!$A:$A, A67,'Data Combined - all-runs'!$B:$B, B67,'Data Combined - all-runs'!$C:$C, C67, 'Data Combined - all-runs'!$D:$D, D67, 'Data Combined - all-runs'!$E:$E, E67)</f>
        <v>#DIV/0!</v>
      </c>
      <c r="Q67" s="5" t="str">
        <f>AVERAGEIFS('Data Combined - all-runs'!$Q:$Q, 'Data Combined - all-runs'!$A:$A, A67,'Data Combined - all-runs'!$B:$B, B67,'Data Combined - all-runs'!$C:$C, C67, 'Data Combined - all-runs'!$D:$D, D67, 'Data Combined - all-runs'!$E:$E, E67)</f>
        <v>#DIV/0!</v>
      </c>
      <c r="R67" s="5" t="str">
        <f>AVERAGEIFS('Data Combined - all-runs'!$R:$R, 'Data Combined - all-runs'!$A:$A, A67,'Data Combined - all-runs'!$B:$B, B67,'Data Combined - all-runs'!$C:$C, C67, 'Data Combined - all-runs'!$D:$D, D67, 'Data Combined - all-runs'!$E:$E, E67)</f>
        <v>#DIV/0!</v>
      </c>
      <c r="S67" s="5" t="str">
        <f>AVERAGEIFS('Data Combined - all-runs'!$S:$S, 'Data Combined - all-runs'!$A:$A, A67,'Data Combined - all-runs'!$B:$B, B67,'Data Combined - all-runs'!$C:$C, C67, 'Data Combined - all-runs'!$D:$D, D67, 'Data Combined - all-runs'!$E:$E, E67)</f>
        <v>#DIV/0!</v>
      </c>
      <c r="T67" s="5" t="str">
        <f>AVERAGEIFS('Data Combined - all-runs'!$T:$T, 'Data Combined - all-runs'!$A:$A, A67,'Data Combined - all-runs'!$B:$B, B67,'Data Combined - all-runs'!$C:$C, C67, 'Data Combined - all-runs'!$D:$D, D67, 'Data Combined - all-runs'!$E:$E, E67)</f>
        <v>#DIV/0!</v>
      </c>
      <c r="U67" s="5" t="b">
        <f t="shared" si="1"/>
        <v>0</v>
      </c>
      <c r="V67" s="5" t="b">
        <f t="shared" si="2"/>
        <v>0</v>
      </c>
      <c r="W67" s="5" t="b">
        <f t="shared" si="3"/>
        <v>0</v>
      </c>
    </row>
    <row r="68">
      <c r="A68" s="2" t="s">
        <v>32</v>
      </c>
      <c r="B68" s="2" t="s">
        <v>22</v>
      </c>
      <c r="C68" s="2" t="s">
        <v>35</v>
      </c>
      <c r="D68" s="2" t="s">
        <v>118</v>
      </c>
      <c r="E68" s="2" t="s">
        <v>25</v>
      </c>
      <c r="H68" s="5" t="str">
        <f>AVERAGEIFS('Data Combined - all-runs'!$H:$H, 'Data Combined - all-runs'!$A:$A, A68,'Data Combined - all-runs'!$B:$B, B68,'Data Combined - all-runs'!$C:$C, C68, 'Data Combined - all-runs'!$D:$D, D68, 'Data Combined - all-runs'!$E:$E, E68)</f>
        <v>#DIV/0!</v>
      </c>
      <c r="I68" s="5" t="str">
        <f>AVERAGEIFS('Data Combined - all-runs'!$I:$I, 'Data Combined - all-runs'!$A:$A, A68,'Data Combined - all-runs'!$B:$B, B68,'Data Combined - all-runs'!$C:$C, C68, 'Data Combined - all-runs'!$D:$D, D68, 'Data Combined - all-runs'!$E:$E, E68)</f>
        <v>#DIV/0!</v>
      </c>
      <c r="J68" s="5" t="str">
        <f>AVERAGEIFS('Data Combined - all-runs'!$J:$J, 'Data Combined - all-runs'!$A:$A, A68,'Data Combined - all-runs'!$B:$B, B68,'Data Combined - all-runs'!$C:$C, C68, 'Data Combined - all-runs'!$D:$D, D68, 'Data Combined - all-runs'!$E:$E, E68)</f>
        <v>#DIV/0!</v>
      </c>
      <c r="K68" s="5" t="str">
        <f>AVERAGEIFS('Data Combined - all-runs'!$K:$K, 'Data Combined - all-runs'!$A:$A, A68,'Data Combined - all-runs'!$B:$B, B68,'Data Combined - all-runs'!$C:$C, C68, 'Data Combined - all-runs'!$D:$D, D68, 'Data Combined - all-runs'!$E:$E, E68)</f>
        <v>#DIV/0!</v>
      </c>
      <c r="L68" s="5" t="str">
        <f>AVERAGEIFS('Data Combined - all-runs'!$L:$L, 'Data Combined - all-runs'!$A:$A, A68,'Data Combined - all-runs'!$B:$B, B68,'Data Combined - all-runs'!$C:$C, C68, 'Data Combined - all-runs'!$D:$D, D68, 'Data Combined - all-runs'!$E:$E, E68)</f>
        <v>#DIV/0!</v>
      </c>
      <c r="M68" s="5" t="str">
        <f>AVERAGEIFS('Data Combined - all-runs'!$M:$M, 'Data Combined - all-runs'!$A:$A, A68,'Data Combined - all-runs'!$B:$B, B68,'Data Combined - all-runs'!$C:$C, C68, 'Data Combined - all-runs'!$D:$D, D68, 'Data Combined - all-runs'!$E:$E, E68)</f>
        <v>#DIV/0!</v>
      </c>
      <c r="N68" s="5" t="str">
        <f>AVERAGEIFS('Data Combined - all-runs'!$N:$N, 'Data Combined - all-runs'!$A:$A, A68,'Data Combined - all-runs'!$B:$B, B68,'Data Combined - all-runs'!$C:$C, C68, 'Data Combined - all-runs'!$D:$D, D68, 'Data Combined - all-runs'!$E:$E, E68)</f>
        <v>#DIV/0!</v>
      </c>
      <c r="O68" s="5" t="str">
        <f>AVERAGEIFS('Data Combined - all-runs'!$O:$O, 'Data Combined - all-runs'!$A:$A, A68,'Data Combined - all-runs'!$B:$B, B68,'Data Combined - all-runs'!$C:$C, C68, 'Data Combined - all-runs'!$D:$D, D68, 'Data Combined - all-runs'!$E:$E, E68)</f>
        <v>#DIV/0!</v>
      </c>
      <c r="P68" s="5" t="str">
        <f>AVERAGEIFS('Data Combined - all-runs'!$P:$P, 'Data Combined - all-runs'!$A:$A, A68,'Data Combined - all-runs'!$B:$B, B68,'Data Combined - all-runs'!$C:$C, C68, 'Data Combined - all-runs'!$D:$D, D68, 'Data Combined - all-runs'!$E:$E, E68)</f>
        <v>#DIV/0!</v>
      </c>
      <c r="Q68" s="5" t="str">
        <f>AVERAGEIFS('Data Combined - all-runs'!$Q:$Q, 'Data Combined - all-runs'!$A:$A, A68,'Data Combined - all-runs'!$B:$B, B68,'Data Combined - all-runs'!$C:$C, C68, 'Data Combined - all-runs'!$D:$D, D68, 'Data Combined - all-runs'!$E:$E, E68)</f>
        <v>#DIV/0!</v>
      </c>
      <c r="R68" s="5" t="str">
        <f>AVERAGEIFS('Data Combined - all-runs'!$R:$R, 'Data Combined - all-runs'!$A:$A, A68,'Data Combined - all-runs'!$B:$B, B68,'Data Combined - all-runs'!$C:$C, C68, 'Data Combined - all-runs'!$D:$D, D68, 'Data Combined - all-runs'!$E:$E, E68)</f>
        <v>#DIV/0!</v>
      </c>
      <c r="S68" s="5" t="str">
        <f>AVERAGEIFS('Data Combined - all-runs'!$S:$S, 'Data Combined - all-runs'!$A:$A, A68,'Data Combined - all-runs'!$B:$B, B68,'Data Combined - all-runs'!$C:$C, C68, 'Data Combined - all-runs'!$D:$D, D68, 'Data Combined - all-runs'!$E:$E, E68)</f>
        <v>#DIV/0!</v>
      </c>
      <c r="T68" s="5" t="str">
        <f>AVERAGEIFS('Data Combined - all-runs'!$T:$T, 'Data Combined - all-runs'!$A:$A, A68,'Data Combined - all-runs'!$B:$B, B68,'Data Combined - all-runs'!$C:$C, C68, 'Data Combined - all-runs'!$D:$D, D68, 'Data Combined - all-runs'!$E:$E, E68)</f>
        <v>#DIV/0!</v>
      </c>
      <c r="U68" s="5" t="b">
        <f t="shared" si="1"/>
        <v>0</v>
      </c>
      <c r="V68" s="5" t="b">
        <f t="shared" si="2"/>
        <v>0</v>
      </c>
      <c r="W68" s="5" t="b">
        <f t="shared" si="3"/>
        <v>0</v>
      </c>
    </row>
    <row r="69">
      <c r="A69" s="2" t="s">
        <v>32</v>
      </c>
      <c r="B69" s="2" t="s">
        <v>22</v>
      </c>
      <c r="C69" s="2" t="s">
        <v>35</v>
      </c>
      <c r="D69" s="2" t="s">
        <v>118</v>
      </c>
      <c r="E69" s="2" t="s">
        <v>39</v>
      </c>
      <c r="H69" s="5" t="str">
        <f>AVERAGEIFS('Data Combined - all-runs'!$H:$H, 'Data Combined - all-runs'!$A:$A, A69,'Data Combined - all-runs'!$B:$B, B69,'Data Combined - all-runs'!$C:$C, C69, 'Data Combined - all-runs'!$D:$D, D69, 'Data Combined - all-runs'!$E:$E, E69)</f>
        <v>#DIV/0!</v>
      </c>
      <c r="I69" s="5" t="str">
        <f>AVERAGEIFS('Data Combined - all-runs'!$I:$I, 'Data Combined - all-runs'!$A:$A, A69,'Data Combined - all-runs'!$B:$B, B69,'Data Combined - all-runs'!$C:$C, C69, 'Data Combined - all-runs'!$D:$D, D69, 'Data Combined - all-runs'!$E:$E, E69)</f>
        <v>#DIV/0!</v>
      </c>
      <c r="J69" s="5" t="str">
        <f>AVERAGEIFS('Data Combined - all-runs'!$J:$J, 'Data Combined - all-runs'!$A:$A, A69,'Data Combined - all-runs'!$B:$B, B69,'Data Combined - all-runs'!$C:$C, C69, 'Data Combined - all-runs'!$D:$D, D69, 'Data Combined - all-runs'!$E:$E, E69)</f>
        <v>#DIV/0!</v>
      </c>
      <c r="K69" s="5" t="str">
        <f>AVERAGEIFS('Data Combined - all-runs'!$K:$K, 'Data Combined - all-runs'!$A:$A, A69,'Data Combined - all-runs'!$B:$B, B69,'Data Combined - all-runs'!$C:$C, C69, 'Data Combined - all-runs'!$D:$D, D69, 'Data Combined - all-runs'!$E:$E, E69)</f>
        <v>#DIV/0!</v>
      </c>
      <c r="L69" s="5" t="str">
        <f>AVERAGEIFS('Data Combined - all-runs'!$L:$L, 'Data Combined - all-runs'!$A:$A, A69,'Data Combined - all-runs'!$B:$B, B69,'Data Combined - all-runs'!$C:$C, C69, 'Data Combined - all-runs'!$D:$D, D69, 'Data Combined - all-runs'!$E:$E, E69)</f>
        <v>#DIV/0!</v>
      </c>
      <c r="M69" s="5" t="str">
        <f>AVERAGEIFS('Data Combined - all-runs'!$M:$M, 'Data Combined - all-runs'!$A:$A, A69,'Data Combined - all-runs'!$B:$B, B69,'Data Combined - all-runs'!$C:$C, C69, 'Data Combined - all-runs'!$D:$D, D69, 'Data Combined - all-runs'!$E:$E, E69)</f>
        <v>#DIV/0!</v>
      </c>
      <c r="N69" s="5" t="str">
        <f>AVERAGEIFS('Data Combined - all-runs'!$N:$N, 'Data Combined - all-runs'!$A:$A, A69,'Data Combined - all-runs'!$B:$B, B69,'Data Combined - all-runs'!$C:$C, C69, 'Data Combined - all-runs'!$D:$D, D69, 'Data Combined - all-runs'!$E:$E, E69)</f>
        <v>#DIV/0!</v>
      </c>
      <c r="O69" s="5" t="str">
        <f>AVERAGEIFS('Data Combined - all-runs'!$O:$O, 'Data Combined - all-runs'!$A:$A, A69,'Data Combined - all-runs'!$B:$B, B69,'Data Combined - all-runs'!$C:$C, C69, 'Data Combined - all-runs'!$D:$D, D69, 'Data Combined - all-runs'!$E:$E, E69)</f>
        <v>#DIV/0!</v>
      </c>
      <c r="P69" s="5" t="str">
        <f>AVERAGEIFS('Data Combined - all-runs'!$P:$P, 'Data Combined - all-runs'!$A:$A, A69,'Data Combined - all-runs'!$B:$B, B69,'Data Combined - all-runs'!$C:$C, C69, 'Data Combined - all-runs'!$D:$D, D69, 'Data Combined - all-runs'!$E:$E, E69)</f>
        <v>#DIV/0!</v>
      </c>
      <c r="Q69" s="5" t="str">
        <f>AVERAGEIFS('Data Combined - all-runs'!$Q:$Q, 'Data Combined - all-runs'!$A:$A, A69,'Data Combined - all-runs'!$B:$B, B69,'Data Combined - all-runs'!$C:$C, C69, 'Data Combined - all-runs'!$D:$D, D69, 'Data Combined - all-runs'!$E:$E, E69)</f>
        <v>#DIV/0!</v>
      </c>
      <c r="R69" s="5" t="str">
        <f>AVERAGEIFS('Data Combined - all-runs'!$R:$R, 'Data Combined - all-runs'!$A:$A, A69,'Data Combined - all-runs'!$B:$B, B69,'Data Combined - all-runs'!$C:$C, C69, 'Data Combined - all-runs'!$D:$D, D69, 'Data Combined - all-runs'!$E:$E, E69)</f>
        <v>#DIV/0!</v>
      </c>
      <c r="S69" s="5" t="str">
        <f>AVERAGEIFS('Data Combined - all-runs'!$S:$S, 'Data Combined - all-runs'!$A:$A, A69,'Data Combined - all-runs'!$B:$B, B69,'Data Combined - all-runs'!$C:$C, C69, 'Data Combined - all-runs'!$D:$D, D69, 'Data Combined - all-runs'!$E:$E, E69)</f>
        <v>#DIV/0!</v>
      </c>
      <c r="T69" s="5" t="str">
        <f>AVERAGEIFS('Data Combined - all-runs'!$T:$T, 'Data Combined - all-runs'!$A:$A, A69,'Data Combined - all-runs'!$B:$B, B69,'Data Combined - all-runs'!$C:$C, C69, 'Data Combined - all-runs'!$D:$D, D69, 'Data Combined - all-runs'!$E:$E, E69)</f>
        <v>#DIV/0!</v>
      </c>
      <c r="U69" s="5" t="b">
        <f t="shared" si="1"/>
        <v>0</v>
      </c>
      <c r="V69" s="5" t="b">
        <f t="shared" si="2"/>
        <v>0</v>
      </c>
      <c r="W69" s="5" t="b">
        <f t="shared" si="3"/>
        <v>0</v>
      </c>
    </row>
    <row r="70">
      <c r="A70" s="2" t="s">
        <v>32</v>
      </c>
      <c r="B70" s="2" t="s">
        <v>22</v>
      </c>
      <c r="C70" s="2" t="s">
        <v>35</v>
      </c>
      <c r="D70" s="2" t="s">
        <v>118</v>
      </c>
      <c r="E70" s="2" t="s">
        <v>43</v>
      </c>
      <c r="H70" s="5" t="str">
        <f>AVERAGEIFS('Data Combined - all-runs'!$H:$H, 'Data Combined - all-runs'!$A:$A, A70,'Data Combined - all-runs'!$B:$B, B70,'Data Combined - all-runs'!$C:$C, C70, 'Data Combined - all-runs'!$D:$D, D70, 'Data Combined - all-runs'!$E:$E, E70)</f>
        <v>#DIV/0!</v>
      </c>
      <c r="I70" s="5" t="str">
        <f>AVERAGEIFS('Data Combined - all-runs'!$I:$I, 'Data Combined - all-runs'!$A:$A, A70,'Data Combined - all-runs'!$B:$B, B70,'Data Combined - all-runs'!$C:$C, C70, 'Data Combined - all-runs'!$D:$D, D70, 'Data Combined - all-runs'!$E:$E, E70)</f>
        <v>#DIV/0!</v>
      </c>
      <c r="J70" s="5" t="str">
        <f>AVERAGEIFS('Data Combined - all-runs'!$J:$J, 'Data Combined - all-runs'!$A:$A, A70,'Data Combined - all-runs'!$B:$B, B70,'Data Combined - all-runs'!$C:$C, C70, 'Data Combined - all-runs'!$D:$D, D70, 'Data Combined - all-runs'!$E:$E, E70)</f>
        <v>#DIV/0!</v>
      </c>
      <c r="K70" s="5" t="str">
        <f>AVERAGEIFS('Data Combined - all-runs'!$K:$K, 'Data Combined - all-runs'!$A:$A, A70,'Data Combined - all-runs'!$B:$B, B70,'Data Combined - all-runs'!$C:$C, C70, 'Data Combined - all-runs'!$D:$D, D70, 'Data Combined - all-runs'!$E:$E, E70)</f>
        <v>#DIV/0!</v>
      </c>
      <c r="L70" s="5" t="str">
        <f>AVERAGEIFS('Data Combined - all-runs'!$L:$L, 'Data Combined - all-runs'!$A:$A, A70,'Data Combined - all-runs'!$B:$B, B70,'Data Combined - all-runs'!$C:$C, C70, 'Data Combined - all-runs'!$D:$D, D70, 'Data Combined - all-runs'!$E:$E, E70)</f>
        <v>#DIV/0!</v>
      </c>
      <c r="M70" s="5" t="str">
        <f>AVERAGEIFS('Data Combined - all-runs'!$M:$M, 'Data Combined - all-runs'!$A:$A, A70,'Data Combined - all-runs'!$B:$B, B70,'Data Combined - all-runs'!$C:$C, C70, 'Data Combined - all-runs'!$D:$D, D70, 'Data Combined - all-runs'!$E:$E, E70)</f>
        <v>#DIV/0!</v>
      </c>
      <c r="N70" s="5" t="str">
        <f>AVERAGEIFS('Data Combined - all-runs'!$N:$N, 'Data Combined - all-runs'!$A:$A, A70,'Data Combined - all-runs'!$B:$B, B70,'Data Combined - all-runs'!$C:$C, C70, 'Data Combined - all-runs'!$D:$D, D70, 'Data Combined - all-runs'!$E:$E, E70)</f>
        <v>#DIV/0!</v>
      </c>
      <c r="O70" s="5" t="str">
        <f>AVERAGEIFS('Data Combined - all-runs'!$O:$O, 'Data Combined - all-runs'!$A:$A, A70,'Data Combined - all-runs'!$B:$B, B70,'Data Combined - all-runs'!$C:$C, C70, 'Data Combined - all-runs'!$D:$D, D70, 'Data Combined - all-runs'!$E:$E, E70)</f>
        <v>#DIV/0!</v>
      </c>
      <c r="P70" s="5" t="str">
        <f>AVERAGEIFS('Data Combined - all-runs'!$P:$P, 'Data Combined - all-runs'!$A:$A, A70,'Data Combined - all-runs'!$B:$B, B70,'Data Combined - all-runs'!$C:$C, C70, 'Data Combined - all-runs'!$D:$D, D70, 'Data Combined - all-runs'!$E:$E, E70)</f>
        <v>#DIV/0!</v>
      </c>
      <c r="Q70" s="5" t="str">
        <f>AVERAGEIFS('Data Combined - all-runs'!$Q:$Q, 'Data Combined - all-runs'!$A:$A, A70,'Data Combined - all-runs'!$B:$B, B70,'Data Combined - all-runs'!$C:$C, C70, 'Data Combined - all-runs'!$D:$D, D70, 'Data Combined - all-runs'!$E:$E, E70)</f>
        <v>#DIV/0!</v>
      </c>
      <c r="R70" s="5" t="str">
        <f>AVERAGEIFS('Data Combined - all-runs'!$R:$R, 'Data Combined - all-runs'!$A:$A, A70,'Data Combined - all-runs'!$B:$B, B70,'Data Combined - all-runs'!$C:$C, C70, 'Data Combined - all-runs'!$D:$D, D70, 'Data Combined - all-runs'!$E:$E, E70)</f>
        <v>#DIV/0!</v>
      </c>
      <c r="S70" s="5" t="str">
        <f>AVERAGEIFS('Data Combined - all-runs'!$S:$S, 'Data Combined - all-runs'!$A:$A, A70,'Data Combined - all-runs'!$B:$B, B70,'Data Combined - all-runs'!$C:$C, C70, 'Data Combined - all-runs'!$D:$D, D70, 'Data Combined - all-runs'!$E:$E, E70)</f>
        <v>#DIV/0!</v>
      </c>
      <c r="T70" s="5" t="str">
        <f>AVERAGEIFS('Data Combined - all-runs'!$T:$T, 'Data Combined - all-runs'!$A:$A, A70,'Data Combined - all-runs'!$B:$B, B70,'Data Combined - all-runs'!$C:$C, C70, 'Data Combined - all-runs'!$D:$D, D70, 'Data Combined - all-runs'!$E:$E, E70)</f>
        <v>#DIV/0!</v>
      </c>
      <c r="U70" s="5" t="b">
        <f t="shared" si="1"/>
        <v>0</v>
      </c>
      <c r="V70" s="5" t="b">
        <f t="shared" si="2"/>
        <v>0</v>
      </c>
      <c r="W70" s="5" t="b">
        <f t="shared" si="3"/>
        <v>0</v>
      </c>
    </row>
    <row r="71">
      <c r="A71" s="2" t="s">
        <v>32</v>
      </c>
      <c r="B71" s="2" t="s">
        <v>22</v>
      </c>
      <c r="C71" s="2" t="s">
        <v>35</v>
      </c>
      <c r="D71" s="2" t="s">
        <v>118</v>
      </c>
      <c r="E71" s="2" t="s">
        <v>34</v>
      </c>
      <c r="H71" s="5" t="str">
        <f>AVERAGEIFS('Data Combined - all-runs'!$H:$H, 'Data Combined - all-runs'!$A:$A, A71,'Data Combined - all-runs'!$B:$B, B71,'Data Combined - all-runs'!$C:$C, C71, 'Data Combined - all-runs'!$D:$D, D71, 'Data Combined - all-runs'!$E:$E, E71)</f>
        <v>#DIV/0!</v>
      </c>
      <c r="I71" s="5" t="str">
        <f>AVERAGEIFS('Data Combined - all-runs'!$I:$I, 'Data Combined - all-runs'!$A:$A, A71,'Data Combined - all-runs'!$B:$B, B71,'Data Combined - all-runs'!$C:$C, C71, 'Data Combined - all-runs'!$D:$D, D71, 'Data Combined - all-runs'!$E:$E, E71)</f>
        <v>#DIV/0!</v>
      </c>
      <c r="J71" s="5" t="str">
        <f>AVERAGEIFS('Data Combined - all-runs'!$J:$J, 'Data Combined - all-runs'!$A:$A, A71,'Data Combined - all-runs'!$B:$B, B71,'Data Combined - all-runs'!$C:$C, C71, 'Data Combined - all-runs'!$D:$D, D71, 'Data Combined - all-runs'!$E:$E, E71)</f>
        <v>#DIV/0!</v>
      </c>
      <c r="K71" s="5" t="str">
        <f>AVERAGEIFS('Data Combined - all-runs'!$K:$K, 'Data Combined - all-runs'!$A:$A, A71,'Data Combined - all-runs'!$B:$B, B71,'Data Combined - all-runs'!$C:$C, C71, 'Data Combined - all-runs'!$D:$D, D71, 'Data Combined - all-runs'!$E:$E, E71)</f>
        <v>#DIV/0!</v>
      </c>
      <c r="L71" s="5" t="str">
        <f>AVERAGEIFS('Data Combined - all-runs'!$L:$L, 'Data Combined - all-runs'!$A:$A, A71,'Data Combined - all-runs'!$B:$B, B71,'Data Combined - all-runs'!$C:$C, C71, 'Data Combined - all-runs'!$D:$D, D71, 'Data Combined - all-runs'!$E:$E, E71)</f>
        <v>#DIV/0!</v>
      </c>
      <c r="M71" s="5" t="str">
        <f>AVERAGEIFS('Data Combined - all-runs'!$M:$M, 'Data Combined - all-runs'!$A:$A, A71,'Data Combined - all-runs'!$B:$B, B71,'Data Combined - all-runs'!$C:$C, C71, 'Data Combined - all-runs'!$D:$D, D71, 'Data Combined - all-runs'!$E:$E, E71)</f>
        <v>#DIV/0!</v>
      </c>
      <c r="N71" s="5" t="str">
        <f>AVERAGEIFS('Data Combined - all-runs'!$N:$N, 'Data Combined - all-runs'!$A:$A, A71,'Data Combined - all-runs'!$B:$B, B71,'Data Combined - all-runs'!$C:$C, C71, 'Data Combined - all-runs'!$D:$D, D71, 'Data Combined - all-runs'!$E:$E, E71)</f>
        <v>#DIV/0!</v>
      </c>
      <c r="O71" s="5" t="str">
        <f>AVERAGEIFS('Data Combined - all-runs'!$O:$O, 'Data Combined - all-runs'!$A:$A, A71,'Data Combined - all-runs'!$B:$B, B71,'Data Combined - all-runs'!$C:$C, C71, 'Data Combined - all-runs'!$D:$D, D71, 'Data Combined - all-runs'!$E:$E, E71)</f>
        <v>#DIV/0!</v>
      </c>
      <c r="P71" s="5" t="str">
        <f>AVERAGEIFS('Data Combined - all-runs'!$P:$P, 'Data Combined - all-runs'!$A:$A, A71,'Data Combined - all-runs'!$B:$B, B71,'Data Combined - all-runs'!$C:$C, C71, 'Data Combined - all-runs'!$D:$D, D71, 'Data Combined - all-runs'!$E:$E, E71)</f>
        <v>#DIV/0!</v>
      </c>
      <c r="Q71" s="5" t="str">
        <f>AVERAGEIFS('Data Combined - all-runs'!$Q:$Q, 'Data Combined - all-runs'!$A:$A, A71,'Data Combined - all-runs'!$B:$B, B71,'Data Combined - all-runs'!$C:$C, C71, 'Data Combined - all-runs'!$D:$D, D71, 'Data Combined - all-runs'!$E:$E, E71)</f>
        <v>#DIV/0!</v>
      </c>
      <c r="R71" s="5" t="str">
        <f>AVERAGEIFS('Data Combined - all-runs'!$R:$R, 'Data Combined - all-runs'!$A:$A, A71,'Data Combined - all-runs'!$B:$B, B71,'Data Combined - all-runs'!$C:$C, C71, 'Data Combined - all-runs'!$D:$D, D71, 'Data Combined - all-runs'!$E:$E, E71)</f>
        <v>#DIV/0!</v>
      </c>
      <c r="S71" s="5" t="str">
        <f>AVERAGEIFS('Data Combined - all-runs'!$S:$S, 'Data Combined - all-runs'!$A:$A, A71,'Data Combined - all-runs'!$B:$B, B71,'Data Combined - all-runs'!$C:$C, C71, 'Data Combined - all-runs'!$D:$D, D71, 'Data Combined - all-runs'!$E:$E, E71)</f>
        <v>#DIV/0!</v>
      </c>
      <c r="T71" s="5" t="str">
        <f>AVERAGEIFS('Data Combined - all-runs'!$T:$T, 'Data Combined - all-runs'!$A:$A, A71,'Data Combined - all-runs'!$B:$B, B71,'Data Combined - all-runs'!$C:$C, C71, 'Data Combined - all-runs'!$D:$D, D71, 'Data Combined - all-runs'!$E:$E, E71)</f>
        <v>#DIV/0!</v>
      </c>
      <c r="U71" s="5" t="b">
        <f t="shared" si="1"/>
        <v>0</v>
      </c>
      <c r="V71" s="5" t="b">
        <f t="shared" si="2"/>
        <v>0</v>
      </c>
      <c r="W71" s="5" t="b">
        <f t="shared" si="3"/>
        <v>0</v>
      </c>
    </row>
    <row r="72">
      <c r="A72" s="2" t="s">
        <v>32</v>
      </c>
      <c r="B72" s="2" t="s">
        <v>22</v>
      </c>
      <c r="C72" s="2" t="s">
        <v>35</v>
      </c>
      <c r="D72" s="2" t="s">
        <v>118</v>
      </c>
      <c r="E72" s="2" t="s">
        <v>47</v>
      </c>
      <c r="H72" s="5" t="str">
        <f>AVERAGEIFS('Data Combined - all-runs'!$H:$H, 'Data Combined - all-runs'!$A:$A, A72,'Data Combined - all-runs'!$B:$B, B72,'Data Combined - all-runs'!$C:$C, C72, 'Data Combined - all-runs'!$D:$D, D72, 'Data Combined - all-runs'!$E:$E, E72)</f>
        <v>#DIV/0!</v>
      </c>
      <c r="I72" s="5" t="str">
        <f>AVERAGEIFS('Data Combined - all-runs'!$I:$I, 'Data Combined - all-runs'!$A:$A, A72,'Data Combined - all-runs'!$B:$B, B72,'Data Combined - all-runs'!$C:$C, C72, 'Data Combined - all-runs'!$D:$D, D72, 'Data Combined - all-runs'!$E:$E, E72)</f>
        <v>#DIV/0!</v>
      </c>
      <c r="J72" s="5" t="str">
        <f>AVERAGEIFS('Data Combined - all-runs'!$J:$J, 'Data Combined - all-runs'!$A:$A, A72,'Data Combined - all-runs'!$B:$B, B72,'Data Combined - all-runs'!$C:$C, C72, 'Data Combined - all-runs'!$D:$D, D72, 'Data Combined - all-runs'!$E:$E, E72)</f>
        <v>#DIV/0!</v>
      </c>
      <c r="K72" s="5" t="str">
        <f>AVERAGEIFS('Data Combined - all-runs'!$K:$K, 'Data Combined - all-runs'!$A:$A, A72,'Data Combined - all-runs'!$B:$B, B72,'Data Combined - all-runs'!$C:$C, C72, 'Data Combined - all-runs'!$D:$D, D72, 'Data Combined - all-runs'!$E:$E, E72)</f>
        <v>#DIV/0!</v>
      </c>
      <c r="L72" s="5" t="str">
        <f>AVERAGEIFS('Data Combined - all-runs'!$L:$L, 'Data Combined - all-runs'!$A:$A, A72,'Data Combined - all-runs'!$B:$B, B72,'Data Combined - all-runs'!$C:$C, C72, 'Data Combined - all-runs'!$D:$D, D72, 'Data Combined - all-runs'!$E:$E, E72)</f>
        <v>#DIV/0!</v>
      </c>
      <c r="M72" s="5" t="str">
        <f>AVERAGEIFS('Data Combined - all-runs'!$M:$M, 'Data Combined - all-runs'!$A:$A, A72,'Data Combined - all-runs'!$B:$B, B72,'Data Combined - all-runs'!$C:$C, C72, 'Data Combined - all-runs'!$D:$D, D72, 'Data Combined - all-runs'!$E:$E, E72)</f>
        <v>#DIV/0!</v>
      </c>
      <c r="N72" s="5" t="str">
        <f>AVERAGEIFS('Data Combined - all-runs'!$N:$N, 'Data Combined - all-runs'!$A:$A, A72,'Data Combined - all-runs'!$B:$B, B72,'Data Combined - all-runs'!$C:$C, C72, 'Data Combined - all-runs'!$D:$D, D72, 'Data Combined - all-runs'!$E:$E, E72)</f>
        <v>#DIV/0!</v>
      </c>
      <c r="O72" s="5" t="str">
        <f>AVERAGEIFS('Data Combined - all-runs'!$O:$O, 'Data Combined - all-runs'!$A:$A, A72,'Data Combined - all-runs'!$B:$B, B72,'Data Combined - all-runs'!$C:$C, C72, 'Data Combined - all-runs'!$D:$D, D72, 'Data Combined - all-runs'!$E:$E, E72)</f>
        <v>#DIV/0!</v>
      </c>
      <c r="P72" s="5" t="str">
        <f>AVERAGEIFS('Data Combined - all-runs'!$P:$P, 'Data Combined - all-runs'!$A:$A, A72,'Data Combined - all-runs'!$B:$B, B72,'Data Combined - all-runs'!$C:$C, C72, 'Data Combined - all-runs'!$D:$D, D72, 'Data Combined - all-runs'!$E:$E, E72)</f>
        <v>#DIV/0!</v>
      </c>
      <c r="Q72" s="5" t="str">
        <f>AVERAGEIFS('Data Combined - all-runs'!$Q:$Q, 'Data Combined - all-runs'!$A:$A, A72,'Data Combined - all-runs'!$B:$B, B72,'Data Combined - all-runs'!$C:$C, C72, 'Data Combined - all-runs'!$D:$D, D72, 'Data Combined - all-runs'!$E:$E, E72)</f>
        <v>#DIV/0!</v>
      </c>
      <c r="R72" s="5" t="str">
        <f>AVERAGEIFS('Data Combined - all-runs'!$R:$R, 'Data Combined - all-runs'!$A:$A, A72,'Data Combined - all-runs'!$B:$B, B72,'Data Combined - all-runs'!$C:$C, C72, 'Data Combined - all-runs'!$D:$D, D72, 'Data Combined - all-runs'!$E:$E, E72)</f>
        <v>#DIV/0!</v>
      </c>
      <c r="S72" s="5" t="str">
        <f>AVERAGEIFS('Data Combined - all-runs'!$S:$S, 'Data Combined - all-runs'!$A:$A, A72,'Data Combined - all-runs'!$B:$B, B72,'Data Combined - all-runs'!$C:$C, C72, 'Data Combined - all-runs'!$D:$D, D72, 'Data Combined - all-runs'!$E:$E, E72)</f>
        <v>#DIV/0!</v>
      </c>
      <c r="T72" s="5" t="str">
        <f>AVERAGEIFS('Data Combined - all-runs'!$T:$T, 'Data Combined - all-runs'!$A:$A, A72,'Data Combined - all-runs'!$B:$B, B72,'Data Combined - all-runs'!$C:$C, C72, 'Data Combined - all-runs'!$D:$D, D72, 'Data Combined - all-runs'!$E:$E, E72)</f>
        <v>#DIV/0!</v>
      </c>
      <c r="U72" s="5" t="b">
        <f t="shared" si="1"/>
        <v>0</v>
      </c>
      <c r="V72" s="5" t="b">
        <f t="shared" si="2"/>
        <v>0</v>
      </c>
      <c r="W72" s="5" t="b">
        <f t="shared" si="3"/>
        <v>0</v>
      </c>
    </row>
    <row r="73">
      <c r="A73" s="2" t="s">
        <v>32</v>
      </c>
      <c r="B73" s="2" t="s">
        <v>22</v>
      </c>
      <c r="C73" s="2" t="s">
        <v>35</v>
      </c>
      <c r="D73" s="2" t="s">
        <v>118</v>
      </c>
      <c r="E73" s="2" t="s">
        <v>51</v>
      </c>
      <c r="H73" s="5" t="str">
        <f>AVERAGEIFS('Data Combined - all-runs'!$H:$H, 'Data Combined - all-runs'!$A:$A, A73,'Data Combined - all-runs'!$B:$B, B73,'Data Combined - all-runs'!$C:$C, C73, 'Data Combined - all-runs'!$D:$D, D73, 'Data Combined - all-runs'!$E:$E, E73)</f>
        <v>#DIV/0!</v>
      </c>
      <c r="I73" s="5" t="str">
        <f>AVERAGEIFS('Data Combined - all-runs'!$I:$I, 'Data Combined - all-runs'!$A:$A, A73,'Data Combined - all-runs'!$B:$B, B73,'Data Combined - all-runs'!$C:$C, C73, 'Data Combined - all-runs'!$D:$D, D73, 'Data Combined - all-runs'!$E:$E, E73)</f>
        <v>#DIV/0!</v>
      </c>
      <c r="J73" s="5" t="str">
        <f>AVERAGEIFS('Data Combined - all-runs'!$J:$J, 'Data Combined - all-runs'!$A:$A, A73,'Data Combined - all-runs'!$B:$B, B73,'Data Combined - all-runs'!$C:$C, C73, 'Data Combined - all-runs'!$D:$D, D73, 'Data Combined - all-runs'!$E:$E, E73)</f>
        <v>#DIV/0!</v>
      </c>
      <c r="K73" s="5" t="str">
        <f>AVERAGEIFS('Data Combined - all-runs'!$K:$K, 'Data Combined - all-runs'!$A:$A, A73,'Data Combined - all-runs'!$B:$B, B73,'Data Combined - all-runs'!$C:$C, C73, 'Data Combined - all-runs'!$D:$D, D73, 'Data Combined - all-runs'!$E:$E, E73)</f>
        <v>#DIV/0!</v>
      </c>
      <c r="L73" s="5" t="str">
        <f>AVERAGEIFS('Data Combined - all-runs'!$L:$L, 'Data Combined - all-runs'!$A:$A, A73,'Data Combined - all-runs'!$B:$B, B73,'Data Combined - all-runs'!$C:$C, C73, 'Data Combined - all-runs'!$D:$D, D73, 'Data Combined - all-runs'!$E:$E, E73)</f>
        <v>#DIV/0!</v>
      </c>
      <c r="M73" s="5" t="str">
        <f>AVERAGEIFS('Data Combined - all-runs'!$M:$M, 'Data Combined - all-runs'!$A:$A, A73,'Data Combined - all-runs'!$B:$B, B73,'Data Combined - all-runs'!$C:$C, C73, 'Data Combined - all-runs'!$D:$D, D73, 'Data Combined - all-runs'!$E:$E, E73)</f>
        <v>#DIV/0!</v>
      </c>
      <c r="N73" s="5" t="str">
        <f>AVERAGEIFS('Data Combined - all-runs'!$N:$N, 'Data Combined - all-runs'!$A:$A, A73,'Data Combined - all-runs'!$B:$B, B73,'Data Combined - all-runs'!$C:$C, C73, 'Data Combined - all-runs'!$D:$D, D73, 'Data Combined - all-runs'!$E:$E, E73)</f>
        <v>#DIV/0!</v>
      </c>
      <c r="O73" s="5" t="str">
        <f>AVERAGEIFS('Data Combined - all-runs'!$O:$O, 'Data Combined - all-runs'!$A:$A, A73,'Data Combined - all-runs'!$B:$B, B73,'Data Combined - all-runs'!$C:$C, C73, 'Data Combined - all-runs'!$D:$D, D73, 'Data Combined - all-runs'!$E:$E, E73)</f>
        <v>#DIV/0!</v>
      </c>
      <c r="P73" s="5" t="str">
        <f>AVERAGEIFS('Data Combined - all-runs'!$P:$P, 'Data Combined - all-runs'!$A:$A, A73,'Data Combined - all-runs'!$B:$B, B73,'Data Combined - all-runs'!$C:$C, C73, 'Data Combined - all-runs'!$D:$D, D73, 'Data Combined - all-runs'!$E:$E, E73)</f>
        <v>#DIV/0!</v>
      </c>
      <c r="Q73" s="5" t="str">
        <f>AVERAGEIFS('Data Combined - all-runs'!$Q:$Q, 'Data Combined - all-runs'!$A:$A, A73,'Data Combined - all-runs'!$B:$B, B73,'Data Combined - all-runs'!$C:$C, C73, 'Data Combined - all-runs'!$D:$D, D73, 'Data Combined - all-runs'!$E:$E, E73)</f>
        <v>#DIV/0!</v>
      </c>
      <c r="R73" s="5" t="str">
        <f>AVERAGEIFS('Data Combined - all-runs'!$R:$R, 'Data Combined - all-runs'!$A:$A, A73,'Data Combined - all-runs'!$B:$B, B73,'Data Combined - all-runs'!$C:$C, C73, 'Data Combined - all-runs'!$D:$D, D73, 'Data Combined - all-runs'!$E:$E, E73)</f>
        <v>#DIV/0!</v>
      </c>
      <c r="S73" s="5" t="str">
        <f>AVERAGEIFS('Data Combined - all-runs'!$S:$S, 'Data Combined - all-runs'!$A:$A, A73,'Data Combined - all-runs'!$B:$B, B73,'Data Combined - all-runs'!$C:$C, C73, 'Data Combined - all-runs'!$D:$D, D73, 'Data Combined - all-runs'!$E:$E, E73)</f>
        <v>#DIV/0!</v>
      </c>
      <c r="T73" s="5" t="str">
        <f>AVERAGEIFS('Data Combined - all-runs'!$T:$T, 'Data Combined - all-runs'!$A:$A, A73,'Data Combined - all-runs'!$B:$B, B73,'Data Combined - all-runs'!$C:$C, C73, 'Data Combined - all-runs'!$D:$D, D73, 'Data Combined - all-runs'!$E:$E, E73)</f>
        <v>#DIV/0!</v>
      </c>
      <c r="U73" s="5" t="b">
        <f t="shared" si="1"/>
        <v>0</v>
      </c>
      <c r="V73" s="5" t="b">
        <f t="shared" si="2"/>
        <v>0</v>
      </c>
      <c r="W73" s="5" t="b">
        <f t="shared" si="3"/>
        <v>0</v>
      </c>
    </row>
    <row r="74">
      <c r="A74" s="2" t="s">
        <v>32</v>
      </c>
      <c r="B74" s="2" t="s">
        <v>114</v>
      </c>
      <c r="C74" s="2" t="s">
        <v>23</v>
      </c>
      <c r="D74" s="2" t="s">
        <v>24</v>
      </c>
      <c r="E74" s="2" t="s">
        <v>25</v>
      </c>
      <c r="H74" s="5">
        <f>AVERAGEIFS('Data Combined - all-runs'!$H:$H, 'Data Combined - all-runs'!$A:$A, A74,'Data Combined - all-runs'!$B:$B, B74,'Data Combined - all-runs'!$C:$C, C74, 'Data Combined - all-runs'!$D:$D, D74, 'Data Combined - all-runs'!$E:$E, E74)</f>
        <v>614.5</v>
      </c>
      <c r="I74" s="5" t="str">
        <f>AVERAGEIFS('Data Combined - all-runs'!$I:$I, 'Data Combined - all-runs'!$A:$A, A74,'Data Combined - all-runs'!$B:$B, B74,'Data Combined - all-runs'!$C:$C, C74, 'Data Combined - all-runs'!$D:$D, D74, 'Data Combined - all-runs'!$E:$E, E74)</f>
        <v>#DIV/0!</v>
      </c>
      <c r="J74" s="5">
        <f>AVERAGEIFS('Data Combined - all-runs'!$J:$J, 'Data Combined - all-runs'!$A:$A, A74,'Data Combined - all-runs'!$B:$B, B74,'Data Combined - all-runs'!$C:$C, C74, 'Data Combined - all-runs'!$D:$D, D74, 'Data Combined - all-runs'!$E:$E, E74)</f>
        <v>0</v>
      </c>
      <c r="K74" s="5">
        <f>AVERAGEIFS('Data Combined - all-runs'!$K:$K, 'Data Combined - all-runs'!$A:$A, A74,'Data Combined - all-runs'!$B:$B, B74,'Data Combined - all-runs'!$C:$C, C74, 'Data Combined - all-runs'!$D:$D, D74, 'Data Combined - all-runs'!$E:$E, E74)</f>
        <v>0.2191178149</v>
      </c>
      <c r="L74" s="5">
        <f>AVERAGEIFS('Data Combined - all-runs'!$L:$L, 'Data Combined - all-runs'!$A:$A, A74,'Data Combined - all-runs'!$B:$B, B74,'Data Combined - all-runs'!$C:$C, C74, 'Data Combined - all-runs'!$D:$D, D74, 'Data Combined - all-runs'!$E:$E, E74)</f>
        <v>252.19435</v>
      </c>
      <c r="M74" s="5">
        <f>AVERAGEIFS('Data Combined - all-runs'!$M:$M, 'Data Combined - all-runs'!$A:$A, A74,'Data Combined - all-runs'!$B:$B, B74,'Data Combined - all-runs'!$C:$C, C74, 'Data Combined - all-runs'!$D:$D, D74, 'Data Combined - all-runs'!$E:$E, E74)</f>
        <v>61.5</v>
      </c>
      <c r="N74" s="5">
        <f>AVERAGEIFS('Data Combined - all-runs'!$N:$N, 'Data Combined - all-runs'!$A:$A, A74,'Data Combined - all-runs'!$B:$B, B74,'Data Combined - all-runs'!$C:$C, C74, 'Data Combined - all-runs'!$D:$D, D74, 'Data Combined - all-runs'!$E:$E, E74)</f>
        <v>5</v>
      </c>
      <c r="O74" s="5">
        <f>AVERAGEIFS('Data Combined - all-runs'!$O:$O, 'Data Combined - all-runs'!$A:$A, A74,'Data Combined - all-runs'!$B:$B, B74,'Data Combined - all-runs'!$C:$C, C74, 'Data Combined - all-runs'!$D:$D, D74, 'Data Combined - all-runs'!$E:$E, E74)</f>
        <v>1100.25</v>
      </c>
      <c r="P74" s="5">
        <f>AVERAGEIFS('Data Combined - all-runs'!$P:$P, 'Data Combined - all-runs'!$A:$A, A74,'Data Combined - all-runs'!$B:$B, B74,'Data Combined - all-runs'!$C:$C, C74, 'Data Combined - all-runs'!$D:$D, D74, 'Data Combined - all-runs'!$E:$E, E74)</f>
        <v>4.567528016</v>
      </c>
      <c r="Q74" s="5">
        <f>AVERAGEIFS('Data Combined - all-runs'!$Q:$Q, 'Data Combined - all-runs'!$A:$A, A74,'Data Combined - all-runs'!$B:$B, B74,'Data Combined - all-runs'!$C:$C, C74, 'Data Combined - all-runs'!$D:$D, D74, 'Data Combined - all-runs'!$E:$E, E74)</f>
        <v>550.7111892</v>
      </c>
      <c r="R74" s="5">
        <f>AVERAGEIFS('Data Combined - all-runs'!$R:$R, 'Data Combined - all-runs'!$A:$A, A74,'Data Combined - all-runs'!$B:$B, B74,'Data Combined - all-runs'!$C:$C, C74, 'Data Combined - all-runs'!$D:$D, D74, 'Data Combined - all-runs'!$E:$E, E74)</f>
        <v>131.3541667</v>
      </c>
      <c r="S74" s="5">
        <f>AVERAGEIFS('Data Combined - all-runs'!$S:$S, 'Data Combined - all-runs'!$A:$A, A74,'Data Combined - all-runs'!$B:$B, B74,'Data Combined - all-runs'!$C:$C, C74, 'Data Combined - all-runs'!$D:$D, D74, 'Data Combined - all-runs'!$E:$E, E74)</f>
        <v>0</v>
      </c>
      <c r="T74" s="5" t="str">
        <f>AVERAGEIFS('Data Combined - all-runs'!$T:$T, 'Data Combined - all-runs'!$A:$A, A74,'Data Combined - all-runs'!$B:$B, B74,'Data Combined - all-runs'!$C:$C, C74, 'Data Combined - all-runs'!$D:$D, D74, 'Data Combined - all-runs'!$E:$E, E74)</f>
        <v>#DIV/0!</v>
      </c>
      <c r="U74" s="5" t="b">
        <f t="shared" si="1"/>
        <v>0</v>
      </c>
      <c r="V74" s="5" t="b">
        <f t="shared" si="2"/>
        <v>0</v>
      </c>
      <c r="W74" s="5" t="b">
        <f t="shared" si="3"/>
        <v>1</v>
      </c>
    </row>
    <row r="75">
      <c r="A75" s="2" t="s">
        <v>32</v>
      </c>
      <c r="B75" s="2" t="s">
        <v>114</v>
      </c>
      <c r="C75" s="2" t="s">
        <v>23</v>
      </c>
      <c r="D75" s="2" t="s">
        <v>24</v>
      </c>
      <c r="E75" s="2" t="s">
        <v>39</v>
      </c>
      <c r="H75" s="5">
        <f>AVERAGEIFS('Data Combined - all-runs'!$H:$H, 'Data Combined - all-runs'!$A:$A, A75,'Data Combined - all-runs'!$B:$B, B75,'Data Combined - all-runs'!$C:$C, C75, 'Data Combined - all-runs'!$D:$D, D75, 'Data Combined - all-runs'!$E:$E, E75)</f>
        <v>1280</v>
      </c>
      <c r="I75" s="5" t="str">
        <f>AVERAGEIFS('Data Combined - all-runs'!$I:$I, 'Data Combined - all-runs'!$A:$A, A75,'Data Combined - all-runs'!$B:$B, B75,'Data Combined - all-runs'!$C:$C, C75, 'Data Combined - all-runs'!$D:$D, D75, 'Data Combined - all-runs'!$E:$E, E75)</f>
        <v>#DIV/0!</v>
      </c>
      <c r="J75" s="5">
        <f>AVERAGEIFS('Data Combined - all-runs'!$J:$J, 'Data Combined - all-runs'!$A:$A, A75,'Data Combined - all-runs'!$B:$B, B75,'Data Combined - all-runs'!$C:$C, C75, 'Data Combined - all-runs'!$D:$D, D75, 'Data Combined - all-runs'!$E:$E, E75)</f>
        <v>0</v>
      </c>
      <c r="K75" s="5">
        <f>AVERAGEIFS('Data Combined - all-runs'!$K:$K, 'Data Combined - all-runs'!$A:$A, A75,'Data Combined - all-runs'!$B:$B, B75,'Data Combined - all-runs'!$C:$C, C75, 'Data Combined - all-runs'!$D:$D, D75, 'Data Combined - all-runs'!$E:$E, E75)</f>
        <v>0.1520423001</v>
      </c>
      <c r="L75" s="5">
        <f>AVERAGEIFS('Data Combined - all-runs'!$L:$L, 'Data Combined - all-runs'!$A:$A, A75,'Data Combined - all-runs'!$B:$B, B75,'Data Combined - all-runs'!$C:$C, C75, 'Data Combined - all-runs'!$D:$D, D75, 'Data Combined - all-runs'!$E:$E, E75)</f>
        <v>824.1101839</v>
      </c>
      <c r="M75" s="5">
        <f>AVERAGEIFS('Data Combined - all-runs'!$M:$M, 'Data Combined - all-runs'!$A:$A, A75,'Data Combined - all-runs'!$B:$B, B75,'Data Combined - all-runs'!$C:$C, C75, 'Data Combined - all-runs'!$D:$D, D75, 'Data Combined - all-runs'!$E:$E, E75)</f>
        <v>64</v>
      </c>
      <c r="N75" s="5">
        <f>AVERAGEIFS('Data Combined - all-runs'!$N:$N, 'Data Combined - all-runs'!$A:$A, A75,'Data Combined - all-runs'!$B:$B, B75,'Data Combined - all-runs'!$C:$C, C75, 'Data Combined - all-runs'!$D:$D, D75, 'Data Combined - all-runs'!$E:$E, E75)</f>
        <v>6.5</v>
      </c>
      <c r="O75" s="5">
        <f>AVERAGEIFS('Data Combined - all-runs'!$O:$O, 'Data Combined - all-runs'!$A:$A, A75,'Data Combined - all-runs'!$B:$B, B75,'Data Combined - all-runs'!$C:$C, C75, 'Data Combined - all-runs'!$D:$D, D75, 'Data Combined - all-runs'!$E:$E, E75)</f>
        <v>1193.75</v>
      </c>
      <c r="P75" s="5">
        <f>AVERAGEIFS('Data Combined - all-runs'!$P:$P, 'Data Combined - all-runs'!$A:$A, A75,'Data Combined - all-runs'!$B:$B, B75,'Data Combined - all-runs'!$C:$C, C75, 'Data Combined - all-runs'!$D:$D, D75, 'Data Combined - all-runs'!$E:$E, E75)</f>
        <v>4.388108199</v>
      </c>
      <c r="Q75" s="5">
        <f>AVERAGEIFS('Data Combined - all-runs'!$Q:$Q, 'Data Combined - all-runs'!$A:$A, A75,'Data Combined - all-runs'!$B:$B, B75,'Data Combined - all-runs'!$C:$C, C75, 'Data Combined - all-runs'!$D:$D, D75, 'Data Combined - all-runs'!$E:$E, E75)</f>
        <v>965.1575309</v>
      </c>
      <c r="R75" s="5">
        <f>AVERAGEIFS('Data Combined - all-runs'!$R:$R, 'Data Combined - all-runs'!$A:$A, A75,'Data Combined - all-runs'!$B:$B, B75,'Data Combined - all-runs'!$C:$C, C75, 'Data Combined - all-runs'!$D:$D, D75, 'Data Combined - all-runs'!$E:$E, E75)</f>
        <v>201.7238095</v>
      </c>
      <c r="S75" s="5">
        <f>AVERAGEIFS('Data Combined - all-runs'!$S:$S, 'Data Combined - all-runs'!$A:$A, A75,'Data Combined - all-runs'!$B:$B, B75,'Data Combined - all-runs'!$C:$C, C75, 'Data Combined - all-runs'!$D:$D, D75, 'Data Combined - all-runs'!$E:$E, E75)</f>
        <v>0</v>
      </c>
      <c r="T75" s="5" t="str">
        <f>AVERAGEIFS('Data Combined - all-runs'!$T:$T, 'Data Combined - all-runs'!$A:$A, A75,'Data Combined - all-runs'!$B:$B, B75,'Data Combined - all-runs'!$C:$C, C75, 'Data Combined - all-runs'!$D:$D, D75, 'Data Combined - all-runs'!$E:$E, E75)</f>
        <v>#DIV/0!</v>
      </c>
      <c r="U75" s="5" t="b">
        <f t="shared" si="1"/>
        <v>0</v>
      </c>
      <c r="V75" s="5" t="b">
        <f t="shared" si="2"/>
        <v>0</v>
      </c>
      <c r="W75" s="5" t="b">
        <f t="shared" si="3"/>
        <v>1</v>
      </c>
    </row>
    <row r="76">
      <c r="A76" s="2" t="s">
        <v>32</v>
      </c>
      <c r="B76" s="2" t="s">
        <v>114</v>
      </c>
      <c r="C76" s="2" t="s">
        <v>23</v>
      </c>
      <c r="D76" s="2" t="s">
        <v>24</v>
      </c>
      <c r="E76" s="2" t="s">
        <v>43</v>
      </c>
      <c r="H76" s="5">
        <f>AVERAGEIFS('Data Combined - all-runs'!$H:$H, 'Data Combined - all-runs'!$A:$A, A76,'Data Combined - all-runs'!$B:$B, B76,'Data Combined - all-runs'!$C:$C, C76, 'Data Combined - all-runs'!$D:$D, D76, 'Data Combined - all-runs'!$E:$E, E76)</f>
        <v>2167.25</v>
      </c>
      <c r="I76" s="5" t="str">
        <f>AVERAGEIFS('Data Combined - all-runs'!$I:$I, 'Data Combined - all-runs'!$A:$A, A76,'Data Combined - all-runs'!$B:$B, B76,'Data Combined - all-runs'!$C:$C, C76, 'Data Combined - all-runs'!$D:$D, D76, 'Data Combined - all-runs'!$E:$E, E76)</f>
        <v>#DIV/0!</v>
      </c>
      <c r="J76" s="5">
        <f>AVERAGEIFS('Data Combined - all-runs'!$J:$J, 'Data Combined - all-runs'!$A:$A, A76,'Data Combined - all-runs'!$B:$B, B76,'Data Combined - all-runs'!$C:$C, C76, 'Data Combined - all-runs'!$D:$D, D76, 'Data Combined - all-runs'!$E:$E, E76)</f>
        <v>0</v>
      </c>
      <c r="K76" s="5">
        <f>AVERAGEIFS('Data Combined - all-runs'!$K:$K, 'Data Combined - all-runs'!$A:$A, A76,'Data Combined - all-runs'!$B:$B, B76,'Data Combined - all-runs'!$C:$C, C76, 'Data Combined - all-runs'!$D:$D, D76, 'Data Combined - all-runs'!$E:$E, E76)</f>
        <v>0.1325384848</v>
      </c>
      <c r="L76" s="5">
        <f>AVERAGEIFS('Data Combined - all-runs'!$L:$L, 'Data Combined - all-runs'!$A:$A, A76,'Data Combined - all-runs'!$B:$B, B76,'Data Combined - all-runs'!$C:$C, C76, 'Data Combined - all-runs'!$D:$D, D76, 'Data Combined - all-runs'!$E:$E, E76)</f>
        <v>1529.604288</v>
      </c>
      <c r="M76" s="5">
        <f>AVERAGEIFS('Data Combined - all-runs'!$M:$M, 'Data Combined - all-runs'!$A:$A, A76,'Data Combined - all-runs'!$B:$B, B76,'Data Combined - all-runs'!$C:$C, C76, 'Data Combined - all-runs'!$D:$D, D76, 'Data Combined - all-runs'!$E:$E, E76)</f>
        <v>40.5</v>
      </c>
      <c r="N76" s="5">
        <f>AVERAGEIFS('Data Combined - all-runs'!$N:$N, 'Data Combined - all-runs'!$A:$A, A76,'Data Combined - all-runs'!$B:$B, B76,'Data Combined - all-runs'!$C:$C, C76, 'Data Combined - all-runs'!$D:$D, D76, 'Data Combined - all-runs'!$E:$E, E76)</f>
        <v>12</v>
      </c>
      <c r="O76" s="5">
        <f>AVERAGEIFS('Data Combined - all-runs'!$O:$O, 'Data Combined - all-runs'!$A:$A, A76,'Data Combined - all-runs'!$B:$B, B76,'Data Combined - all-runs'!$C:$C, C76, 'Data Combined - all-runs'!$D:$D, D76, 'Data Combined - all-runs'!$E:$E, E76)</f>
        <v>1202.75</v>
      </c>
      <c r="P76" s="5">
        <f>AVERAGEIFS('Data Combined - all-runs'!$P:$P, 'Data Combined - all-runs'!$A:$A, A76,'Data Combined - all-runs'!$B:$B, B76,'Data Combined - all-runs'!$C:$C, C76, 'Data Combined - all-runs'!$D:$D, D76, 'Data Combined - all-runs'!$E:$E, E76)</f>
        <v>9.683378891</v>
      </c>
      <c r="Q76" s="5">
        <f>AVERAGEIFS('Data Combined - all-runs'!$Q:$Q, 'Data Combined - all-runs'!$A:$A, A76,'Data Combined - all-runs'!$B:$B, B76,'Data Combined - all-runs'!$C:$C, C76, 'Data Combined - all-runs'!$D:$D, D76, 'Data Combined - all-runs'!$E:$E, E76)</f>
        <v>1828.715578</v>
      </c>
      <c r="R76" s="5">
        <f>AVERAGEIFS('Data Combined - all-runs'!$R:$R, 'Data Combined - all-runs'!$A:$A, A76,'Data Combined - all-runs'!$B:$B, B76,'Data Combined - all-runs'!$C:$C, C76, 'Data Combined - all-runs'!$D:$D, D76, 'Data Combined - all-runs'!$E:$E, E76)</f>
        <v>199.9398496</v>
      </c>
      <c r="S76" s="5">
        <f>AVERAGEIFS('Data Combined - all-runs'!$S:$S, 'Data Combined - all-runs'!$A:$A, A76,'Data Combined - all-runs'!$B:$B, B76,'Data Combined - all-runs'!$C:$C, C76, 'Data Combined - all-runs'!$D:$D, D76, 'Data Combined - all-runs'!$E:$E, E76)</f>
        <v>0</v>
      </c>
      <c r="T76" s="5" t="str">
        <f>AVERAGEIFS('Data Combined - all-runs'!$T:$T, 'Data Combined - all-runs'!$A:$A, A76,'Data Combined - all-runs'!$B:$B, B76,'Data Combined - all-runs'!$C:$C, C76, 'Data Combined - all-runs'!$D:$D, D76, 'Data Combined - all-runs'!$E:$E, E76)</f>
        <v>#DIV/0!</v>
      </c>
      <c r="U76" s="5" t="b">
        <f t="shared" si="1"/>
        <v>0</v>
      </c>
      <c r="V76" s="5" t="b">
        <f t="shared" si="2"/>
        <v>0</v>
      </c>
      <c r="W76" s="5" t="b">
        <f t="shared" si="3"/>
        <v>1</v>
      </c>
    </row>
    <row r="77">
      <c r="A77" s="2" t="s">
        <v>32</v>
      </c>
      <c r="B77" s="2" t="s">
        <v>114</v>
      </c>
      <c r="C77" s="2" t="s">
        <v>23</v>
      </c>
      <c r="D77" s="2" t="s">
        <v>24</v>
      </c>
      <c r="E77" s="2" t="s">
        <v>34</v>
      </c>
      <c r="H77" s="5">
        <f>AVERAGEIFS('Data Combined - all-runs'!$H:$H, 'Data Combined - all-runs'!$A:$A, A77,'Data Combined - all-runs'!$B:$B, B77,'Data Combined - all-runs'!$C:$C, C77, 'Data Combined - all-runs'!$D:$D, D77, 'Data Combined - all-runs'!$E:$E, E77)</f>
        <v>2183.5</v>
      </c>
      <c r="I77" s="5" t="str">
        <f>AVERAGEIFS('Data Combined - all-runs'!$I:$I, 'Data Combined - all-runs'!$A:$A, A77,'Data Combined - all-runs'!$B:$B, B77,'Data Combined - all-runs'!$C:$C, C77, 'Data Combined - all-runs'!$D:$D, D77, 'Data Combined - all-runs'!$E:$E, E77)</f>
        <v>#DIV/0!</v>
      </c>
      <c r="J77" s="5">
        <f>AVERAGEIFS('Data Combined - all-runs'!$J:$J, 'Data Combined - all-runs'!$A:$A, A77,'Data Combined - all-runs'!$B:$B, B77,'Data Combined - all-runs'!$C:$C, C77, 'Data Combined - all-runs'!$D:$D, D77, 'Data Combined - all-runs'!$E:$E, E77)</f>
        <v>0</v>
      </c>
      <c r="K77" s="5">
        <f>AVERAGEIFS('Data Combined - all-runs'!$K:$K, 'Data Combined - all-runs'!$A:$A, A77,'Data Combined - all-runs'!$B:$B, B77,'Data Combined - all-runs'!$C:$C, C77, 'Data Combined - all-runs'!$D:$D, D77, 'Data Combined - all-runs'!$E:$E, E77)</f>
        <v>0.3130530167</v>
      </c>
      <c r="L77" s="5">
        <f>AVERAGEIFS('Data Combined - all-runs'!$L:$L, 'Data Combined - all-runs'!$A:$A, A77,'Data Combined - all-runs'!$B:$B, B77,'Data Combined - all-runs'!$C:$C, C77, 'Data Combined - all-runs'!$D:$D, D77, 'Data Combined - all-runs'!$E:$E, E77)</f>
        <v>1561.191742</v>
      </c>
      <c r="M77" s="5">
        <f>AVERAGEIFS('Data Combined - all-runs'!$M:$M, 'Data Combined - all-runs'!$A:$A, A77,'Data Combined - all-runs'!$B:$B, B77,'Data Combined - all-runs'!$C:$C, C77, 'Data Combined - all-runs'!$D:$D, D77, 'Data Combined - all-runs'!$E:$E, E77)</f>
        <v>40.5</v>
      </c>
      <c r="N77" s="5">
        <f>AVERAGEIFS('Data Combined - all-runs'!$N:$N, 'Data Combined - all-runs'!$A:$A, A77,'Data Combined - all-runs'!$B:$B, B77,'Data Combined - all-runs'!$C:$C, C77, 'Data Combined - all-runs'!$D:$D, D77, 'Data Combined - all-runs'!$E:$E, E77)</f>
        <v>5</v>
      </c>
      <c r="O77" s="5">
        <f>AVERAGEIFS('Data Combined - all-runs'!$O:$O, 'Data Combined - all-runs'!$A:$A, A77,'Data Combined - all-runs'!$B:$B, B77,'Data Combined - all-runs'!$C:$C, C77, 'Data Combined - all-runs'!$D:$D, D77, 'Data Combined - all-runs'!$E:$E, E77)</f>
        <v>879.5</v>
      </c>
      <c r="P77" s="5">
        <f>AVERAGEIFS('Data Combined - all-runs'!$P:$P, 'Data Combined - all-runs'!$A:$A, A77,'Data Combined - all-runs'!$B:$B, B77,'Data Combined - all-runs'!$C:$C, C77, 'Data Combined - all-runs'!$D:$D, D77, 'Data Combined - all-runs'!$E:$E, E77)</f>
        <v>5.552378362</v>
      </c>
      <c r="Q77" s="5">
        <f>AVERAGEIFS('Data Combined - all-runs'!$Q:$Q, 'Data Combined - all-runs'!$A:$A, A77,'Data Combined - all-runs'!$B:$B, B77,'Data Combined - all-runs'!$C:$C, C77, 'Data Combined - all-runs'!$D:$D, D77, 'Data Combined - all-runs'!$E:$E, E77)</f>
        <v>2548.190519</v>
      </c>
      <c r="R77" s="5">
        <f>AVERAGEIFS('Data Combined - all-runs'!$R:$R, 'Data Combined - all-runs'!$A:$A, A77,'Data Combined - all-runs'!$B:$B, B77,'Data Combined - all-runs'!$C:$C, C77, 'Data Combined - all-runs'!$D:$D, D77, 'Data Combined - all-runs'!$E:$E, E77)</f>
        <v>473.2232143</v>
      </c>
      <c r="S77" s="5">
        <f>AVERAGEIFS('Data Combined - all-runs'!$S:$S, 'Data Combined - all-runs'!$A:$A, A77,'Data Combined - all-runs'!$B:$B, B77,'Data Combined - all-runs'!$C:$C, C77, 'Data Combined - all-runs'!$D:$D, D77, 'Data Combined - all-runs'!$E:$E, E77)</f>
        <v>0</v>
      </c>
      <c r="T77" s="5" t="str">
        <f>AVERAGEIFS('Data Combined - all-runs'!$T:$T, 'Data Combined - all-runs'!$A:$A, A77,'Data Combined - all-runs'!$B:$B, B77,'Data Combined - all-runs'!$C:$C, C77, 'Data Combined - all-runs'!$D:$D, D77, 'Data Combined - all-runs'!$E:$E, E77)</f>
        <v>#DIV/0!</v>
      </c>
      <c r="U77" s="5" t="b">
        <f t="shared" si="1"/>
        <v>0</v>
      </c>
      <c r="V77" s="5" t="b">
        <f t="shared" si="2"/>
        <v>0</v>
      </c>
      <c r="W77" s="5" t="b">
        <f t="shared" si="3"/>
        <v>1</v>
      </c>
    </row>
    <row r="78">
      <c r="A78" s="2" t="s">
        <v>32</v>
      </c>
      <c r="B78" s="2" t="s">
        <v>114</v>
      </c>
      <c r="C78" s="2" t="s">
        <v>23</v>
      </c>
      <c r="D78" s="2" t="s">
        <v>24</v>
      </c>
      <c r="E78" s="2" t="s">
        <v>47</v>
      </c>
      <c r="H78" s="5">
        <f>AVERAGEIFS('Data Combined - all-runs'!$H:$H, 'Data Combined - all-runs'!$A:$A, A78,'Data Combined - all-runs'!$B:$B, B78,'Data Combined - all-runs'!$C:$C, C78, 'Data Combined - all-runs'!$D:$D, D78, 'Data Combined - all-runs'!$E:$E, E78)</f>
        <v>3009.25</v>
      </c>
      <c r="I78" s="5" t="str">
        <f>AVERAGEIFS('Data Combined - all-runs'!$I:$I, 'Data Combined - all-runs'!$A:$A, A78,'Data Combined - all-runs'!$B:$B, B78,'Data Combined - all-runs'!$C:$C, C78, 'Data Combined - all-runs'!$D:$D, D78, 'Data Combined - all-runs'!$E:$E, E78)</f>
        <v>#DIV/0!</v>
      </c>
      <c r="J78" s="5">
        <f>AVERAGEIFS('Data Combined - all-runs'!$J:$J, 'Data Combined - all-runs'!$A:$A, A78,'Data Combined - all-runs'!$B:$B, B78,'Data Combined - all-runs'!$C:$C, C78, 'Data Combined - all-runs'!$D:$D, D78, 'Data Combined - all-runs'!$E:$E, E78)</f>
        <v>0</v>
      </c>
      <c r="K78" s="5">
        <f>AVERAGEIFS('Data Combined - all-runs'!$K:$K, 'Data Combined - all-runs'!$A:$A, A78,'Data Combined - all-runs'!$B:$B, B78,'Data Combined - all-runs'!$C:$C, C78, 'Data Combined - all-runs'!$D:$D, D78, 'Data Combined - all-runs'!$E:$E, E78)</f>
        <v>0.03322005212</v>
      </c>
      <c r="L78" s="5">
        <f>AVERAGEIFS('Data Combined - all-runs'!$L:$L, 'Data Combined - all-runs'!$A:$A, A78,'Data Combined - all-runs'!$B:$B, B78,'Data Combined - all-runs'!$C:$C, C78, 'Data Combined - all-runs'!$D:$D, D78, 'Data Combined - all-runs'!$E:$E, E78)</f>
        <v>4920.791735</v>
      </c>
      <c r="M78" s="5">
        <f>AVERAGEIFS('Data Combined - all-runs'!$M:$M, 'Data Combined - all-runs'!$A:$A, A78,'Data Combined - all-runs'!$B:$B, B78,'Data Combined - all-runs'!$C:$C, C78, 'Data Combined - all-runs'!$D:$D, D78, 'Data Combined - all-runs'!$E:$E, E78)</f>
        <v>44.5</v>
      </c>
      <c r="N78" s="5">
        <f>AVERAGEIFS('Data Combined - all-runs'!$N:$N, 'Data Combined - all-runs'!$A:$A, A78,'Data Combined - all-runs'!$B:$B, B78,'Data Combined - all-runs'!$C:$C, C78, 'Data Combined - all-runs'!$D:$D, D78, 'Data Combined - all-runs'!$E:$E, E78)</f>
        <v>9.25</v>
      </c>
      <c r="O78" s="5">
        <f>AVERAGEIFS('Data Combined - all-runs'!$O:$O, 'Data Combined - all-runs'!$A:$A, A78,'Data Combined - all-runs'!$B:$B, B78,'Data Combined - all-runs'!$C:$C, C78, 'Data Combined - all-runs'!$D:$D, D78, 'Data Combined - all-runs'!$E:$E, E78)</f>
        <v>998</v>
      </c>
      <c r="P78" s="5">
        <f>AVERAGEIFS('Data Combined - all-runs'!$P:$P, 'Data Combined - all-runs'!$A:$A, A78,'Data Combined - all-runs'!$B:$B, B78,'Data Combined - all-runs'!$C:$C, C78, 'Data Combined - all-runs'!$D:$D, D78, 'Data Combined - all-runs'!$E:$E, E78)</f>
        <v>9.07850408</v>
      </c>
      <c r="Q78" s="5">
        <f>AVERAGEIFS('Data Combined - all-runs'!$Q:$Q, 'Data Combined - all-runs'!$A:$A, A78,'Data Combined - all-runs'!$B:$B, B78,'Data Combined - all-runs'!$C:$C, C78, 'Data Combined - all-runs'!$D:$D, D78, 'Data Combined - all-runs'!$E:$E, E78)</f>
        <v>2991.421659</v>
      </c>
      <c r="R78" s="5">
        <f>AVERAGEIFS('Data Combined - all-runs'!$R:$R, 'Data Combined - all-runs'!$A:$A, A78,'Data Combined - all-runs'!$B:$B, B78,'Data Combined - all-runs'!$C:$C, C78, 'Data Combined - all-runs'!$D:$D, D78, 'Data Combined - all-runs'!$E:$E, E78)</f>
        <v>354.702381</v>
      </c>
      <c r="S78" s="5">
        <f>AVERAGEIFS('Data Combined - all-runs'!$S:$S, 'Data Combined - all-runs'!$A:$A, A78,'Data Combined - all-runs'!$B:$B, B78,'Data Combined - all-runs'!$C:$C, C78, 'Data Combined - all-runs'!$D:$D, D78, 'Data Combined - all-runs'!$E:$E, E78)</f>
        <v>0</v>
      </c>
      <c r="T78" s="5" t="str">
        <f>AVERAGEIFS('Data Combined - all-runs'!$T:$T, 'Data Combined - all-runs'!$A:$A, A78,'Data Combined - all-runs'!$B:$B, B78,'Data Combined - all-runs'!$C:$C, C78, 'Data Combined - all-runs'!$D:$D, D78, 'Data Combined - all-runs'!$E:$E, E78)</f>
        <v>#DIV/0!</v>
      </c>
      <c r="U78" s="5" t="b">
        <f t="shared" si="1"/>
        <v>0</v>
      </c>
      <c r="V78" s="5" t="b">
        <f t="shared" si="2"/>
        <v>0</v>
      </c>
      <c r="W78" s="5" t="b">
        <f t="shared" si="3"/>
        <v>1</v>
      </c>
    </row>
    <row r="79">
      <c r="A79" s="2" t="s">
        <v>32</v>
      </c>
      <c r="B79" s="2" t="s">
        <v>114</v>
      </c>
      <c r="C79" s="2" t="s">
        <v>23</v>
      </c>
      <c r="D79" s="2" t="s">
        <v>24</v>
      </c>
      <c r="E79" s="2" t="s">
        <v>51</v>
      </c>
      <c r="H79" s="5">
        <f>AVERAGEIFS('Data Combined - all-runs'!$H:$H, 'Data Combined - all-runs'!$A:$A, A79,'Data Combined - all-runs'!$B:$B, B79,'Data Combined - all-runs'!$C:$C, C79, 'Data Combined - all-runs'!$D:$D, D79, 'Data Combined - all-runs'!$E:$E, E79)</f>
        <v>1907.75</v>
      </c>
      <c r="I79" s="5" t="str">
        <f>AVERAGEIFS('Data Combined - all-runs'!$I:$I, 'Data Combined - all-runs'!$A:$A, A79,'Data Combined - all-runs'!$B:$B, B79,'Data Combined - all-runs'!$C:$C, C79, 'Data Combined - all-runs'!$D:$D, D79, 'Data Combined - all-runs'!$E:$E, E79)</f>
        <v>#DIV/0!</v>
      </c>
      <c r="J79" s="5">
        <f>AVERAGEIFS('Data Combined - all-runs'!$J:$J, 'Data Combined - all-runs'!$A:$A, A79,'Data Combined - all-runs'!$B:$B, B79,'Data Combined - all-runs'!$C:$C, C79, 'Data Combined - all-runs'!$D:$D, D79, 'Data Combined - all-runs'!$E:$E, E79)</f>
        <v>0</v>
      </c>
      <c r="K79" s="5">
        <f>AVERAGEIFS('Data Combined - all-runs'!$K:$K, 'Data Combined - all-runs'!$A:$A, A79,'Data Combined - all-runs'!$B:$B, B79,'Data Combined - all-runs'!$C:$C, C79, 'Data Combined - all-runs'!$D:$D, D79, 'Data Combined - all-runs'!$E:$E, E79)</f>
        <v>0.02124081127</v>
      </c>
      <c r="L79" s="5">
        <f>AVERAGEIFS('Data Combined - all-runs'!$L:$L, 'Data Combined - all-runs'!$A:$A, A79,'Data Combined - all-runs'!$B:$B, B79,'Data Combined - all-runs'!$C:$C, C79, 'Data Combined - all-runs'!$D:$D, D79, 'Data Combined - all-runs'!$E:$E, E79)</f>
        <v>2939.548811</v>
      </c>
      <c r="M79" s="5">
        <f>AVERAGEIFS('Data Combined - all-runs'!$M:$M, 'Data Combined - all-runs'!$A:$A, A79,'Data Combined - all-runs'!$B:$B, B79,'Data Combined - all-runs'!$C:$C, C79, 'Data Combined - all-runs'!$D:$D, D79, 'Data Combined - all-runs'!$E:$E, E79)</f>
        <v>40.75</v>
      </c>
      <c r="N79" s="5">
        <f>AVERAGEIFS('Data Combined - all-runs'!$N:$N, 'Data Combined - all-runs'!$A:$A, A79,'Data Combined - all-runs'!$B:$B, B79,'Data Combined - all-runs'!$C:$C, C79, 'Data Combined - all-runs'!$D:$D, D79, 'Data Combined - all-runs'!$E:$E, E79)</f>
        <v>6.75</v>
      </c>
      <c r="O79" s="5">
        <f>AVERAGEIFS('Data Combined - all-runs'!$O:$O, 'Data Combined - all-runs'!$A:$A, A79,'Data Combined - all-runs'!$B:$B, B79,'Data Combined - all-runs'!$C:$C, C79, 'Data Combined - all-runs'!$D:$D, D79, 'Data Combined - all-runs'!$E:$E, E79)</f>
        <v>768</v>
      </c>
      <c r="P79" s="5">
        <f>AVERAGEIFS('Data Combined - all-runs'!$P:$P, 'Data Combined - all-runs'!$A:$A, A79,'Data Combined - all-runs'!$B:$B, B79,'Data Combined - all-runs'!$C:$C, C79, 'Data Combined - all-runs'!$D:$D, D79, 'Data Combined - all-runs'!$E:$E, E79)</f>
        <v>8.978554134</v>
      </c>
      <c r="Q79" s="5">
        <f>AVERAGEIFS('Data Combined - all-runs'!$Q:$Q, 'Data Combined - all-runs'!$A:$A, A79,'Data Combined - all-runs'!$B:$B, B79,'Data Combined - all-runs'!$C:$C, C79, 'Data Combined - all-runs'!$D:$D, D79, 'Data Combined - all-runs'!$E:$E, E79)</f>
        <v>2462.549532</v>
      </c>
      <c r="R79" s="5">
        <f>AVERAGEIFS('Data Combined - all-runs'!$R:$R, 'Data Combined - all-runs'!$A:$A, A79,'Data Combined - all-runs'!$B:$B, B79,'Data Combined - all-runs'!$C:$C, C79, 'Data Combined - all-runs'!$D:$D, D79, 'Data Combined - all-runs'!$E:$E, E79)</f>
        <v>290.03125</v>
      </c>
      <c r="S79" s="5">
        <f>AVERAGEIFS('Data Combined - all-runs'!$S:$S, 'Data Combined - all-runs'!$A:$A, A79,'Data Combined - all-runs'!$B:$B, B79,'Data Combined - all-runs'!$C:$C, C79, 'Data Combined - all-runs'!$D:$D, D79, 'Data Combined - all-runs'!$E:$E, E79)</f>
        <v>0</v>
      </c>
      <c r="T79" s="5" t="str">
        <f>AVERAGEIFS('Data Combined - all-runs'!$T:$T, 'Data Combined - all-runs'!$A:$A, A79,'Data Combined - all-runs'!$B:$B, B79,'Data Combined - all-runs'!$C:$C, C79, 'Data Combined - all-runs'!$D:$D, D79, 'Data Combined - all-runs'!$E:$E, E79)</f>
        <v>#DIV/0!</v>
      </c>
      <c r="U79" s="5" t="b">
        <f t="shared" si="1"/>
        <v>0</v>
      </c>
      <c r="V79" s="5" t="b">
        <f t="shared" si="2"/>
        <v>0</v>
      </c>
      <c r="W79" s="5" t="b">
        <f t="shared" si="3"/>
        <v>1</v>
      </c>
    </row>
    <row r="80">
      <c r="A80" s="2" t="s">
        <v>32</v>
      </c>
      <c r="B80" s="2" t="s">
        <v>114</v>
      </c>
      <c r="C80" s="2" t="s">
        <v>23</v>
      </c>
      <c r="D80" s="2" t="s">
        <v>54</v>
      </c>
      <c r="E80" s="2" t="s">
        <v>25</v>
      </c>
      <c r="H80" s="5">
        <f>AVERAGEIFS('Data Combined - all-runs'!$H:$H, 'Data Combined - all-runs'!$A:$A, A80,'Data Combined - all-runs'!$B:$B, B80,'Data Combined - all-runs'!$C:$C, C80, 'Data Combined - all-runs'!$D:$D, D80, 'Data Combined - all-runs'!$E:$E, E80)</f>
        <v>1208</v>
      </c>
      <c r="I80" s="5" t="str">
        <f>AVERAGEIFS('Data Combined - all-runs'!$I:$I, 'Data Combined - all-runs'!$A:$A, A80,'Data Combined - all-runs'!$B:$B, B80,'Data Combined - all-runs'!$C:$C, C80, 'Data Combined - all-runs'!$D:$D, D80, 'Data Combined - all-runs'!$E:$E, E80)</f>
        <v>#DIV/0!</v>
      </c>
      <c r="J80" s="5">
        <f>AVERAGEIFS('Data Combined - all-runs'!$J:$J, 'Data Combined - all-runs'!$A:$A, A80,'Data Combined - all-runs'!$B:$B, B80,'Data Combined - all-runs'!$C:$C, C80, 'Data Combined - all-runs'!$D:$D, D80, 'Data Combined - all-runs'!$E:$E, E80)</f>
        <v>0</v>
      </c>
      <c r="K80" s="5">
        <f>AVERAGEIFS('Data Combined - all-runs'!$K:$K, 'Data Combined - all-runs'!$A:$A, A80,'Data Combined - all-runs'!$B:$B, B80,'Data Combined - all-runs'!$C:$C, C80, 'Data Combined - all-runs'!$D:$D, D80, 'Data Combined - all-runs'!$E:$E, E80)</f>
        <v>0.3090942377</v>
      </c>
      <c r="L80" s="5">
        <f>AVERAGEIFS('Data Combined - all-runs'!$L:$L, 'Data Combined - all-runs'!$A:$A, A80,'Data Combined - all-runs'!$B:$B, B80,'Data Combined - all-runs'!$C:$C, C80, 'Data Combined - all-runs'!$D:$D, D80, 'Data Combined - all-runs'!$E:$E, E80)</f>
        <v>1997.749326</v>
      </c>
      <c r="M80" s="5">
        <f>AVERAGEIFS('Data Combined - all-runs'!$M:$M, 'Data Combined - all-runs'!$A:$A, A80,'Data Combined - all-runs'!$B:$B, B80,'Data Combined - all-runs'!$C:$C, C80, 'Data Combined - all-runs'!$D:$D, D80, 'Data Combined - all-runs'!$E:$E, E80)</f>
        <v>41.5</v>
      </c>
      <c r="N80" s="5">
        <f>AVERAGEIFS('Data Combined - all-runs'!$N:$N, 'Data Combined - all-runs'!$A:$A, A80,'Data Combined - all-runs'!$B:$B, B80,'Data Combined - all-runs'!$C:$C, C80, 'Data Combined - all-runs'!$D:$D, D80, 'Data Combined - all-runs'!$E:$E, E80)</f>
        <v>8</v>
      </c>
      <c r="O80" s="5">
        <f>AVERAGEIFS('Data Combined - all-runs'!$O:$O, 'Data Combined - all-runs'!$A:$A, A80,'Data Combined - all-runs'!$B:$B, B80,'Data Combined - all-runs'!$C:$C, C80, 'Data Combined - all-runs'!$D:$D, D80, 'Data Combined - all-runs'!$E:$E, E80)</f>
        <v>1157.25</v>
      </c>
      <c r="P80" s="5">
        <f>AVERAGEIFS('Data Combined - all-runs'!$P:$P, 'Data Combined - all-runs'!$A:$A, A80,'Data Combined - all-runs'!$B:$B, B80,'Data Combined - all-runs'!$C:$C, C80, 'Data Combined - all-runs'!$D:$D, D80, 'Data Combined - all-runs'!$E:$E, E80)</f>
        <v>5.07920074</v>
      </c>
      <c r="Q80" s="5">
        <f>AVERAGEIFS('Data Combined - all-runs'!$Q:$Q, 'Data Combined - all-runs'!$A:$A, A80,'Data Combined - all-runs'!$B:$B, B80,'Data Combined - all-runs'!$C:$C, C80, 'Data Combined - all-runs'!$D:$D, D80, 'Data Combined - all-runs'!$E:$E, E80)</f>
        <v>1273.164292</v>
      </c>
      <c r="R80" s="5">
        <f>AVERAGEIFS('Data Combined - all-runs'!$R:$R, 'Data Combined - all-runs'!$A:$A, A80,'Data Combined - all-runs'!$B:$B, B80,'Data Combined - all-runs'!$C:$C, C80, 'Data Combined - all-runs'!$D:$D, D80, 'Data Combined - all-runs'!$E:$E, E80)</f>
        <v>517.4875</v>
      </c>
      <c r="S80" s="5">
        <f>AVERAGEIFS('Data Combined - all-runs'!$S:$S, 'Data Combined - all-runs'!$A:$A, A80,'Data Combined - all-runs'!$B:$B, B80,'Data Combined - all-runs'!$C:$C, C80, 'Data Combined - all-runs'!$D:$D, D80, 'Data Combined - all-runs'!$E:$E, E80)</f>
        <v>0</v>
      </c>
      <c r="T80" s="5" t="str">
        <f>AVERAGEIFS('Data Combined - all-runs'!$T:$T, 'Data Combined - all-runs'!$A:$A, A80,'Data Combined - all-runs'!$B:$B, B80,'Data Combined - all-runs'!$C:$C, C80, 'Data Combined - all-runs'!$D:$D, D80, 'Data Combined - all-runs'!$E:$E, E80)</f>
        <v>#DIV/0!</v>
      </c>
      <c r="U80" s="5" t="b">
        <f t="shared" si="1"/>
        <v>0</v>
      </c>
      <c r="V80" s="5" t="b">
        <f t="shared" si="2"/>
        <v>0</v>
      </c>
      <c r="W80" s="5" t="b">
        <f t="shared" si="3"/>
        <v>1</v>
      </c>
    </row>
    <row r="81">
      <c r="A81" s="2" t="s">
        <v>32</v>
      </c>
      <c r="B81" s="2" t="s">
        <v>114</v>
      </c>
      <c r="C81" s="2" t="s">
        <v>23</v>
      </c>
      <c r="D81" s="2" t="s">
        <v>54</v>
      </c>
      <c r="E81" s="2" t="s">
        <v>39</v>
      </c>
      <c r="H81" s="5">
        <f>AVERAGEIFS('Data Combined - all-runs'!$H:$H, 'Data Combined - all-runs'!$A:$A, A81,'Data Combined - all-runs'!$B:$B, B81,'Data Combined - all-runs'!$C:$C, C81, 'Data Combined - all-runs'!$D:$D, D81, 'Data Combined - all-runs'!$E:$E, E81)</f>
        <v>2155.5</v>
      </c>
      <c r="I81" s="5" t="str">
        <f>AVERAGEIFS('Data Combined - all-runs'!$I:$I, 'Data Combined - all-runs'!$A:$A, A81,'Data Combined - all-runs'!$B:$B, B81,'Data Combined - all-runs'!$C:$C, C81, 'Data Combined - all-runs'!$D:$D, D81, 'Data Combined - all-runs'!$E:$E, E81)</f>
        <v>#DIV/0!</v>
      </c>
      <c r="J81" s="5">
        <f>AVERAGEIFS('Data Combined - all-runs'!$J:$J, 'Data Combined - all-runs'!$A:$A, A81,'Data Combined - all-runs'!$B:$B, B81,'Data Combined - all-runs'!$C:$C, C81, 'Data Combined - all-runs'!$D:$D, D81, 'Data Combined - all-runs'!$E:$E, E81)</f>
        <v>0</v>
      </c>
      <c r="K81" s="5">
        <f>AVERAGEIFS('Data Combined - all-runs'!$K:$K, 'Data Combined - all-runs'!$A:$A, A81,'Data Combined - all-runs'!$B:$B, B81,'Data Combined - all-runs'!$C:$C, C81, 'Data Combined - all-runs'!$D:$D, D81, 'Data Combined - all-runs'!$E:$E, E81)</f>
        <v>0.185533443</v>
      </c>
      <c r="L81" s="5">
        <f>AVERAGEIFS('Data Combined - all-runs'!$L:$L, 'Data Combined - all-runs'!$A:$A, A81,'Data Combined - all-runs'!$B:$B, B81,'Data Combined - all-runs'!$C:$C, C81, 'Data Combined - all-runs'!$D:$D, D81, 'Data Combined - all-runs'!$E:$E, E81)</f>
        <v>4084.764477</v>
      </c>
      <c r="M81" s="5">
        <f>AVERAGEIFS('Data Combined - all-runs'!$M:$M, 'Data Combined - all-runs'!$A:$A, A81,'Data Combined - all-runs'!$B:$B, B81,'Data Combined - all-runs'!$C:$C, C81, 'Data Combined - all-runs'!$D:$D, D81, 'Data Combined - all-runs'!$E:$E, E81)</f>
        <v>91</v>
      </c>
      <c r="N81" s="5">
        <f>AVERAGEIFS('Data Combined - all-runs'!$N:$N, 'Data Combined - all-runs'!$A:$A, A81,'Data Combined - all-runs'!$B:$B, B81,'Data Combined - all-runs'!$C:$C, C81, 'Data Combined - all-runs'!$D:$D, D81, 'Data Combined - all-runs'!$E:$E, E81)</f>
        <v>7.5</v>
      </c>
      <c r="O81" s="5">
        <f>AVERAGEIFS('Data Combined - all-runs'!$O:$O, 'Data Combined - all-runs'!$A:$A, A81,'Data Combined - all-runs'!$B:$B, B81,'Data Combined - all-runs'!$C:$C, C81, 'Data Combined - all-runs'!$D:$D, D81, 'Data Combined - all-runs'!$E:$E, E81)</f>
        <v>1301</v>
      </c>
      <c r="P81" s="5">
        <f>AVERAGEIFS('Data Combined - all-runs'!$P:$P, 'Data Combined - all-runs'!$A:$A, A81,'Data Combined - all-runs'!$B:$B, B81,'Data Combined - all-runs'!$C:$C, C81, 'Data Combined - all-runs'!$D:$D, D81, 'Data Combined - all-runs'!$E:$E, E81)</f>
        <v>5.59614293</v>
      </c>
      <c r="Q81" s="5">
        <f>AVERAGEIFS('Data Combined - all-runs'!$Q:$Q, 'Data Combined - all-runs'!$A:$A, A81,'Data Combined - all-runs'!$B:$B, B81,'Data Combined - all-runs'!$C:$C, C81, 'Data Combined - all-runs'!$D:$D, D81, 'Data Combined - all-runs'!$E:$E, E81)</f>
        <v>1747.484856</v>
      </c>
      <c r="R81" s="5">
        <f>AVERAGEIFS('Data Combined - all-runs'!$R:$R, 'Data Combined - all-runs'!$A:$A, A81,'Data Combined - all-runs'!$B:$B, B81,'Data Combined - all-runs'!$C:$C, C81, 'Data Combined - all-runs'!$D:$D, D81, 'Data Combined - all-runs'!$E:$E, E81)</f>
        <v>326.9464286</v>
      </c>
      <c r="S81" s="5">
        <f>AVERAGEIFS('Data Combined - all-runs'!$S:$S, 'Data Combined - all-runs'!$A:$A, A81,'Data Combined - all-runs'!$B:$B, B81,'Data Combined - all-runs'!$C:$C, C81, 'Data Combined - all-runs'!$D:$D, D81, 'Data Combined - all-runs'!$E:$E, E81)</f>
        <v>0</v>
      </c>
      <c r="T81" s="5" t="str">
        <f>AVERAGEIFS('Data Combined - all-runs'!$T:$T, 'Data Combined - all-runs'!$A:$A, A81,'Data Combined - all-runs'!$B:$B, B81,'Data Combined - all-runs'!$C:$C, C81, 'Data Combined - all-runs'!$D:$D, D81, 'Data Combined - all-runs'!$E:$E, E81)</f>
        <v>#DIV/0!</v>
      </c>
      <c r="U81" s="5" t="b">
        <f t="shared" si="1"/>
        <v>0</v>
      </c>
      <c r="V81" s="5" t="b">
        <f t="shared" si="2"/>
        <v>0</v>
      </c>
      <c r="W81" s="5" t="b">
        <f t="shared" si="3"/>
        <v>1</v>
      </c>
    </row>
    <row r="82">
      <c r="A82" s="2" t="s">
        <v>32</v>
      </c>
      <c r="B82" s="2" t="s">
        <v>114</v>
      </c>
      <c r="C82" s="2" t="s">
        <v>23</v>
      </c>
      <c r="D82" s="2" t="s">
        <v>54</v>
      </c>
      <c r="E82" s="2" t="s">
        <v>43</v>
      </c>
      <c r="H82" s="5">
        <f>AVERAGEIFS('Data Combined - all-runs'!$H:$H, 'Data Combined - all-runs'!$A:$A, A82,'Data Combined - all-runs'!$B:$B, B82,'Data Combined - all-runs'!$C:$C, C82, 'Data Combined - all-runs'!$D:$D, D82, 'Data Combined - all-runs'!$E:$E, E82)</f>
        <v>2053.5</v>
      </c>
      <c r="I82" s="5" t="str">
        <f>AVERAGEIFS('Data Combined - all-runs'!$I:$I, 'Data Combined - all-runs'!$A:$A, A82,'Data Combined - all-runs'!$B:$B, B82,'Data Combined - all-runs'!$C:$C, C82, 'Data Combined - all-runs'!$D:$D, D82, 'Data Combined - all-runs'!$E:$E, E82)</f>
        <v>#DIV/0!</v>
      </c>
      <c r="J82" s="5">
        <f>AVERAGEIFS('Data Combined - all-runs'!$J:$J, 'Data Combined - all-runs'!$A:$A, A82,'Data Combined - all-runs'!$B:$B, B82,'Data Combined - all-runs'!$C:$C, C82, 'Data Combined - all-runs'!$D:$D, D82, 'Data Combined - all-runs'!$E:$E, E82)</f>
        <v>0</v>
      </c>
      <c r="K82" s="5">
        <f>AVERAGEIFS('Data Combined - all-runs'!$K:$K, 'Data Combined - all-runs'!$A:$A, A82,'Data Combined - all-runs'!$B:$B, B82,'Data Combined - all-runs'!$C:$C, C82, 'Data Combined - all-runs'!$D:$D, D82, 'Data Combined - all-runs'!$E:$E, E82)</f>
        <v>0.1054017403</v>
      </c>
      <c r="L82" s="5">
        <f>AVERAGEIFS('Data Combined - all-runs'!$L:$L, 'Data Combined - all-runs'!$A:$A, A82,'Data Combined - all-runs'!$B:$B, B82,'Data Combined - all-runs'!$C:$C, C82, 'Data Combined - all-runs'!$D:$D, D82, 'Data Combined - all-runs'!$E:$E, E82)</f>
        <v>4512.895193</v>
      </c>
      <c r="M82" s="5">
        <f>AVERAGEIFS('Data Combined - all-runs'!$M:$M, 'Data Combined - all-runs'!$A:$A, A82,'Data Combined - all-runs'!$B:$B, B82,'Data Combined - all-runs'!$C:$C, C82, 'Data Combined - all-runs'!$D:$D, D82, 'Data Combined - all-runs'!$E:$E, E82)</f>
        <v>41.5</v>
      </c>
      <c r="N82" s="5">
        <f>AVERAGEIFS('Data Combined - all-runs'!$N:$N, 'Data Combined - all-runs'!$A:$A, A82,'Data Combined - all-runs'!$B:$B, B82,'Data Combined - all-runs'!$C:$C, C82, 'Data Combined - all-runs'!$D:$D, D82, 'Data Combined - all-runs'!$E:$E, E82)</f>
        <v>16</v>
      </c>
      <c r="O82" s="5">
        <f>AVERAGEIFS('Data Combined - all-runs'!$O:$O, 'Data Combined - all-runs'!$A:$A, A82,'Data Combined - all-runs'!$B:$B, B82,'Data Combined - all-runs'!$C:$C, C82, 'Data Combined - all-runs'!$D:$D, D82, 'Data Combined - all-runs'!$E:$E, E82)</f>
        <v>946</v>
      </c>
      <c r="P82" s="5">
        <f>AVERAGEIFS('Data Combined - all-runs'!$P:$P, 'Data Combined - all-runs'!$A:$A, A82,'Data Combined - all-runs'!$B:$B, B82,'Data Combined - all-runs'!$C:$C, C82, 'Data Combined - all-runs'!$D:$D, D82, 'Data Combined - all-runs'!$E:$E, E82)</f>
        <v>16.06968112</v>
      </c>
      <c r="Q82" s="5">
        <f>AVERAGEIFS('Data Combined - all-runs'!$Q:$Q, 'Data Combined - all-runs'!$A:$A, A82,'Data Combined - all-runs'!$B:$B, B82,'Data Combined - all-runs'!$C:$C, C82, 'Data Combined - all-runs'!$D:$D, D82, 'Data Combined - all-runs'!$E:$E, E82)</f>
        <v>2131.689041</v>
      </c>
      <c r="R82" s="5">
        <f>AVERAGEIFS('Data Combined - all-runs'!$R:$R, 'Data Combined - all-runs'!$A:$A, A82,'Data Combined - all-runs'!$B:$B, B82,'Data Combined - all-runs'!$C:$C, C82, 'Data Combined - all-runs'!$D:$D, D82, 'Data Combined - all-runs'!$E:$E, E82)</f>
        <v>158.825</v>
      </c>
      <c r="S82" s="5">
        <f>AVERAGEIFS('Data Combined - all-runs'!$S:$S, 'Data Combined - all-runs'!$A:$A, A82,'Data Combined - all-runs'!$B:$B, B82,'Data Combined - all-runs'!$C:$C, C82, 'Data Combined - all-runs'!$D:$D, D82, 'Data Combined - all-runs'!$E:$E, E82)</f>
        <v>0</v>
      </c>
      <c r="T82" s="5" t="str">
        <f>AVERAGEIFS('Data Combined - all-runs'!$T:$T, 'Data Combined - all-runs'!$A:$A, A82,'Data Combined - all-runs'!$B:$B, B82,'Data Combined - all-runs'!$C:$C, C82, 'Data Combined - all-runs'!$D:$D, D82, 'Data Combined - all-runs'!$E:$E, E82)</f>
        <v>#DIV/0!</v>
      </c>
      <c r="U82" s="5" t="b">
        <f t="shared" si="1"/>
        <v>0</v>
      </c>
      <c r="V82" s="5" t="b">
        <f t="shared" si="2"/>
        <v>0</v>
      </c>
      <c r="W82" s="5" t="b">
        <f t="shared" si="3"/>
        <v>1</v>
      </c>
    </row>
    <row r="83">
      <c r="A83" s="2" t="s">
        <v>32</v>
      </c>
      <c r="B83" s="2" t="s">
        <v>114</v>
      </c>
      <c r="C83" s="2" t="s">
        <v>23</v>
      </c>
      <c r="D83" s="2" t="s">
        <v>54</v>
      </c>
      <c r="E83" s="2" t="s">
        <v>34</v>
      </c>
      <c r="H83" s="5">
        <f>AVERAGEIFS('Data Combined - all-runs'!$H:$H, 'Data Combined - all-runs'!$A:$A, A83,'Data Combined - all-runs'!$B:$B, B83,'Data Combined - all-runs'!$C:$C, C83, 'Data Combined - all-runs'!$D:$D, D83, 'Data Combined - all-runs'!$E:$E, E83)</f>
        <v>4302.25</v>
      </c>
      <c r="I83" s="5" t="str">
        <f>AVERAGEIFS('Data Combined - all-runs'!$I:$I, 'Data Combined - all-runs'!$A:$A, A83,'Data Combined - all-runs'!$B:$B, B83,'Data Combined - all-runs'!$C:$C, C83, 'Data Combined - all-runs'!$D:$D, D83, 'Data Combined - all-runs'!$E:$E, E83)</f>
        <v>#DIV/0!</v>
      </c>
      <c r="J83" s="5">
        <f>AVERAGEIFS('Data Combined - all-runs'!$J:$J, 'Data Combined - all-runs'!$A:$A, A83,'Data Combined - all-runs'!$B:$B, B83,'Data Combined - all-runs'!$C:$C, C83, 'Data Combined - all-runs'!$D:$D, D83, 'Data Combined - all-runs'!$E:$E, E83)</f>
        <v>0</v>
      </c>
      <c r="K83" s="5">
        <f>AVERAGEIFS('Data Combined - all-runs'!$K:$K, 'Data Combined - all-runs'!$A:$A, A83,'Data Combined - all-runs'!$B:$B, B83,'Data Combined - all-runs'!$C:$C, C83, 'Data Combined - all-runs'!$D:$D, D83, 'Data Combined - all-runs'!$E:$E, E83)</f>
        <v>0.1504024396</v>
      </c>
      <c r="L83" s="5">
        <f>AVERAGEIFS('Data Combined - all-runs'!$L:$L, 'Data Combined - all-runs'!$A:$A, A83,'Data Combined - all-runs'!$B:$B, B83,'Data Combined - all-runs'!$C:$C, C83, 'Data Combined - all-runs'!$D:$D, D83, 'Data Combined - all-runs'!$E:$E, E83)</f>
        <v>9109.514432</v>
      </c>
      <c r="M83" s="5">
        <f>AVERAGEIFS('Data Combined - all-runs'!$M:$M, 'Data Combined - all-runs'!$A:$A, A83,'Data Combined - all-runs'!$B:$B, B83,'Data Combined - all-runs'!$C:$C, C83, 'Data Combined - all-runs'!$D:$D, D83, 'Data Combined - all-runs'!$E:$E, E83)</f>
        <v>40</v>
      </c>
      <c r="N83" s="5">
        <f>AVERAGEIFS('Data Combined - all-runs'!$N:$N, 'Data Combined - all-runs'!$A:$A, A83,'Data Combined - all-runs'!$B:$B, B83,'Data Combined - all-runs'!$C:$C, C83, 'Data Combined - all-runs'!$D:$D, D83, 'Data Combined - all-runs'!$E:$E, E83)</f>
        <v>17</v>
      </c>
      <c r="O83" s="5">
        <f>AVERAGEIFS('Data Combined - all-runs'!$O:$O, 'Data Combined - all-runs'!$A:$A, A83,'Data Combined - all-runs'!$B:$B, B83,'Data Combined - all-runs'!$C:$C, C83, 'Data Combined - all-runs'!$D:$D, D83, 'Data Combined - all-runs'!$E:$E, E83)</f>
        <v>1701.5</v>
      </c>
      <c r="P83" s="5">
        <f>AVERAGEIFS('Data Combined - all-runs'!$P:$P, 'Data Combined - all-runs'!$A:$A, A83,'Data Combined - all-runs'!$B:$B, B83,'Data Combined - all-runs'!$C:$C, C83, 'Data Combined - all-runs'!$D:$D, D83, 'Data Combined - all-runs'!$E:$E, E83)</f>
        <v>9.845873348</v>
      </c>
      <c r="Q83" s="5">
        <f>AVERAGEIFS('Data Combined - all-runs'!$Q:$Q, 'Data Combined - all-runs'!$A:$A, A83,'Data Combined - all-runs'!$B:$B, B83,'Data Combined - all-runs'!$C:$C, C83, 'Data Combined - all-runs'!$D:$D, D83, 'Data Combined - all-runs'!$E:$E, E83)</f>
        <v>2561.05153</v>
      </c>
      <c r="R83" s="5">
        <f>AVERAGEIFS('Data Combined - all-runs'!$R:$R, 'Data Combined - all-runs'!$A:$A, A83,'Data Combined - all-runs'!$B:$B, B83,'Data Combined - all-runs'!$C:$C, C83, 'Data Combined - all-runs'!$D:$D, D83, 'Data Combined - all-runs'!$E:$E, E83)</f>
        <v>267.21875</v>
      </c>
      <c r="S83" s="5">
        <f>AVERAGEIFS('Data Combined - all-runs'!$S:$S, 'Data Combined - all-runs'!$A:$A, A83,'Data Combined - all-runs'!$B:$B, B83,'Data Combined - all-runs'!$C:$C, C83, 'Data Combined - all-runs'!$D:$D, D83, 'Data Combined - all-runs'!$E:$E, E83)</f>
        <v>0</v>
      </c>
      <c r="T83" s="5" t="str">
        <f>AVERAGEIFS('Data Combined - all-runs'!$T:$T, 'Data Combined - all-runs'!$A:$A, A83,'Data Combined - all-runs'!$B:$B, B83,'Data Combined - all-runs'!$C:$C, C83, 'Data Combined - all-runs'!$D:$D, D83, 'Data Combined - all-runs'!$E:$E, E83)</f>
        <v>#DIV/0!</v>
      </c>
      <c r="U83" s="5" t="b">
        <f t="shared" si="1"/>
        <v>0</v>
      </c>
      <c r="V83" s="5" t="b">
        <f t="shared" si="2"/>
        <v>0</v>
      </c>
      <c r="W83" s="5" t="b">
        <f t="shared" si="3"/>
        <v>1</v>
      </c>
    </row>
    <row r="84">
      <c r="A84" s="2" t="s">
        <v>32</v>
      </c>
      <c r="B84" s="2" t="s">
        <v>114</v>
      </c>
      <c r="C84" s="2" t="s">
        <v>23</v>
      </c>
      <c r="D84" s="2" t="s">
        <v>54</v>
      </c>
      <c r="E84" s="2" t="s">
        <v>47</v>
      </c>
      <c r="H84" s="5">
        <f>AVERAGEIFS('Data Combined - all-runs'!$H:$H, 'Data Combined - all-runs'!$A:$A, A84,'Data Combined - all-runs'!$B:$B, B84,'Data Combined - all-runs'!$C:$C, C84, 'Data Combined - all-runs'!$D:$D, D84, 'Data Combined - all-runs'!$E:$E, E84)</f>
        <v>3029.75</v>
      </c>
      <c r="I84" s="5" t="str">
        <f>AVERAGEIFS('Data Combined - all-runs'!$I:$I, 'Data Combined - all-runs'!$A:$A, A84,'Data Combined - all-runs'!$B:$B, B84,'Data Combined - all-runs'!$C:$C, C84, 'Data Combined - all-runs'!$D:$D, D84, 'Data Combined - all-runs'!$E:$E, E84)</f>
        <v>#DIV/0!</v>
      </c>
      <c r="J84" s="5">
        <f>AVERAGEIFS('Data Combined - all-runs'!$J:$J, 'Data Combined - all-runs'!$A:$A, A84,'Data Combined - all-runs'!$B:$B, B84,'Data Combined - all-runs'!$C:$C, C84, 'Data Combined - all-runs'!$D:$D, D84, 'Data Combined - all-runs'!$E:$E, E84)</f>
        <v>0</v>
      </c>
      <c r="K84" s="5">
        <f>AVERAGEIFS('Data Combined - all-runs'!$K:$K, 'Data Combined - all-runs'!$A:$A, A84,'Data Combined - all-runs'!$B:$B, B84,'Data Combined - all-runs'!$C:$C, C84, 'Data Combined - all-runs'!$D:$D, D84, 'Data Combined - all-runs'!$E:$E, E84)</f>
        <v>0.08987539239</v>
      </c>
      <c r="L84" s="5">
        <f>AVERAGEIFS('Data Combined - all-runs'!$L:$L, 'Data Combined - all-runs'!$A:$A, A84,'Data Combined - all-runs'!$B:$B, B84,'Data Combined - all-runs'!$C:$C, C84, 'Data Combined - all-runs'!$D:$D, D84, 'Data Combined - all-runs'!$E:$E, E84)</f>
        <v>9382.822571</v>
      </c>
      <c r="M84" s="5">
        <f>AVERAGEIFS('Data Combined - all-runs'!$M:$M, 'Data Combined - all-runs'!$A:$A, A84,'Data Combined - all-runs'!$B:$B, B84,'Data Combined - all-runs'!$C:$C, C84, 'Data Combined - all-runs'!$D:$D, D84, 'Data Combined - all-runs'!$E:$E, E84)</f>
        <v>34.25</v>
      </c>
      <c r="N84" s="5">
        <f>AVERAGEIFS('Data Combined - all-runs'!$N:$N, 'Data Combined - all-runs'!$A:$A, A84,'Data Combined - all-runs'!$B:$B, B84,'Data Combined - all-runs'!$C:$C, C84, 'Data Combined - all-runs'!$D:$D, D84, 'Data Combined - all-runs'!$E:$E, E84)</f>
        <v>16.25</v>
      </c>
      <c r="O84" s="5">
        <f>AVERAGEIFS('Data Combined - all-runs'!$O:$O, 'Data Combined - all-runs'!$A:$A, A84,'Data Combined - all-runs'!$B:$B, B84,'Data Combined - all-runs'!$C:$C, C84, 'Data Combined - all-runs'!$D:$D, D84, 'Data Combined - all-runs'!$E:$E, E84)</f>
        <v>1113</v>
      </c>
      <c r="P84" s="5">
        <f>AVERAGEIFS('Data Combined - all-runs'!$P:$P, 'Data Combined - all-runs'!$A:$A, A84,'Data Combined - all-runs'!$B:$B, B84,'Data Combined - all-runs'!$C:$C, C84, 'Data Combined - all-runs'!$D:$D, D84, 'Data Combined - all-runs'!$E:$E, E84)</f>
        <v>14.48565987</v>
      </c>
      <c r="Q84" s="5">
        <f>AVERAGEIFS('Data Combined - all-runs'!$Q:$Q, 'Data Combined - all-runs'!$A:$A, A84,'Data Combined - all-runs'!$B:$B, B84,'Data Combined - all-runs'!$C:$C, C84, 'Data Combined - all-runs'!$D:$D, D84, 'Data Combined - all-runs'!$E:$E, E84)</f>
        <v>2699.816808</v>
      </c>
      <c r="R84" s="5">
        <f>AVERAGEIFS('Data Combined - all-runs'!$R:$R, 'Data Combined - all-runs'!$A:$A, A84,'Data Combined - all-runs'!$B:$B, B84,'Data Combined - all-runs'!$C:$C, C84, 'Data Combined - all-runs'!$D:$D, D84, 'Data Combined - all-runs'!$E:$E, E84)</f>
        <v>195.3404412</v>
      </c>
      <c r="S84" s="5">
        <f>AVERAGEIFS('Data Combined - all-runs'!$S:$S, 'Data Combined - all-runs'!$A:$A, A84,'Data Combined - all-runs'!$B:$B, B84,'Data Combined - all-runs'!$C:$C, C84, 'Data Combined - all-runs'!$D:$D, D84, 'Data Combined - all-runs'!$E:$E, E84)</f>
        <v>0</v>
      </c>
      <c r="T84" s="5" t="str">
        <f>AVERAGEIFS('Data Combined - all-runs'!$T:$T, 'Data Combined - all-runs'!$A:$A, A84,'Data Combined - all-runs'!$B:$B, B84,'Data Combined - all-runs'!$C:$C, C84, 'Data Combined - all-runs'!$D:$D, D84, 'Data Combined - all-runs'!$E:$E, E84)</f>
        <v>#DIV/0!</v>
      </c>
      <c r="U84" s="5" t="b">
        <f t="shared" si="1"/>
        <v>0</v>
      </c>
      <c r="V84" s="5" t="b">
        <f t="shared" si="2"/>
        <v>0</v>
      </c>
      <c r="W84" s="5" t="b">
        <f t="shared" si="3"/>
        <v>1</v>
      </c>
    </row>
    <row r="85">
      <c r="A85" s="2" t="s">
        <v>32</v>
      </c>
      <c r="B85" s="2" t="s">
        <v>114</v>
      </c>
      <c r="C85" s="2" t="s">
        <v>23</v>
      </c>
      <c r="D85" s="2" t="s">
        <v>54</v>
      </c>
      <c r="E85" s="2" t="s">
        <v>51</v>
      </c>
      <c r="H85" s="5">
        <f>AVERAGEIFS('Data Combined - all-runs'!$H:$H, 'Data Combined - all-runs'!$A:$A, A85,'Data Combined - all-runs'!$B:$B, B85,'Data Combined - all-runs'!$C:$C, C85, 'Data Combined - all-runs'!$D:$D, D85, 'Data Combined - all-runs'!$E:$E, E85)</f>
        <v>2518.75</v>
      </c>
      <c r="I85" s="5" t="str">
        <f>AVERAGEIFS('Data Combined - all-runs'!$I:$I, 'Data Combined - all-runs'!$A:$A, A85,'Data Combined - all-runs'!$B:$B, B85,'Data Combined - all-runs'!$C:$C, C85, 'Data Combined - all-runs'!$D:$D, D85, 'Data Combined - all-runs'!$E:$E, E85)</f>
        <v>#DIV/0!</v>
      </c>
      <c r="J85" s="5">
        <f>AVERAGEIFS('Data Combined - all-runs'!$J:$J, 'Data Combined - all-runs'!$A:$A, A85,'Data Combined - all-runs'!$B:$B, B85,'Data Combined - all-runs'!$C:$C, C85, 'Data Combined - all-runs'!$D:$D, D85, 'Data Combined - all-runs'!$E:$E, E85)</f>
        <v>0</v>
      </c>
      <c r="K85" s="5">
        <f>AVERAGEIFS('Data Combined - all-runs'!$K:$K, 'Data Combined - all-runs'!$A:$A, A85,'Data Combined - all-runs'!$B:$B, B85,'Data Combined - all-runs'!$C:$C, C85, 'Data Combined - all-runs'!$D:$D, D85, 'Data Combined - all-runs'!$E:$E, E85)</f>
        <v>0.1203406109</v>
      </c>
      <c r="L85" s="5">
        <f>AVERAGEIFS('Data Combined - all-runs'!$L:$L, 'Data Combined - all-runs'!$A:$A, A85,'Data Combined - all-runs'!$B:$B, B85,'Data Combined - all-runs'!$C:$C, C85, 'Data Combined - all-runs'!$D:$D, D85, 'Data Combined - all-runs'!$E:$E, E85)</f>
        <v>7035.13429</v>
      </c>
      <c r="M85" s="5">
        <f>AVERAGEIFS('Data Combined - all-runs'!$M:$M, 'Data Combined - all-runs'!$A:$A, A85,'Data Combined - all-runs'!$B:$B, B85,'Data Combined - all-runs'!$C:$C, C85, 'Data Combined - all-runs'!$D:$D, D85, 'Data Combined - all-runs'!$E:$E, E85)</f>
        <v>45</v>
      </c>
      <c r="N85" s="5">
        <f>AVERAGEIFS('Data Combined - all-runs'!$N:$N, 'Data Combined - all-runs'!$A:$A, A85,'Data Combined - all-runs'!$B:$B, B85,'Data Combined - all-runs'!$C:$C, C85, 'Data Combined - all-runs'!$D:$D, D85, 'Data Combined - all-runs'!$E:$E, E85)</f>
        <v>18</v>
      </c>
      <c r="O85" s="5">
        <f>AVERAGEIFS('Data Combined - all-runs'!$O:$O, 'Data Combined - all-runs'!$A:$A, A85,'Data Combined - all-runs'!$B:$B, B85,'Data Combined - all-runs'!$C:$C, C85, 'Data Combined - all-runs'!$D:$D, D85, 'Data Combined - all-runs'!$E:$E, E85)</f>
        <v>902.5</v>
      </c>
      <c r="P85" s="5">
        <f>AVERAGEIFS('Data Combined - all-runs'!$P:$P, 'Data Combined - all-runs'!$A:$A, A85,'Data Combined - all-runs'!$B:$B, B85,'Data Combined - all-runs'!$C:$C, C85, 'Data Combined - all-runs'!$D:$D, D85, 'Data Combined - all-runs'!$E:$E, E85)</f>
        <v>20.41999393</v>
      </c>
      <c r="Q85" s="5">
        <f>AVERAGEIFS('Data Combined - all-runs'!$Q:$Q, 'Data Combined - all-runs'!$A:$A, A85,'Data Combined - all-runs'!$B:$B, B85,'Data Combined - all-runs'!$C:$C, C85, 'Data Combined - all-runs'!$D:$D, D85, 'Data Combined - all-runs'!$E:$E, E85)</f>
        <v>2830.267566</v>
      </c>
      <c r="R85" s="5">
        <f>AVERAGEIFS('Data Combined - all-runs'!$R:$R, 'Data Combined - all-runs'!$A:$A, A85,'Data Combined - all-runs'!$B:$B, B85,'Data Combined - all-runs'!$C:$C, C85, 'Data Combined - all-runs'!$D:$D, D85, 'Data Combined - all-runs'!$E:$E, E85)</f>
        <v>142.5291667</v>
      </c>
      <c r="S85" s="5">
        <f>AVERAGEIFS('Data Combined - all-runs'!$S:$S, 'Data Combined - all-runs'!$A:$A, A85,'Data Combined - all-runs'!$B:$B, B85,'Data Combined - all-runs'!$C:$C, C85, 'Data Combined - all-runs'!$D:$D, D85, 'Data Combined - all-runs'!$E:$E, E85)</f>
        <v>0</v>
      </c>
      <c r="T85" s="5" t="str">
        <f>AVERAGEIFS('Data Combined - all-runs'!$T:$T, 'Data Combined - all-runs'!$A:$A, A85,'Data Combined - all-runs'!$B:$B, B85,'Data Combined - all-runs'!$C:$C, C85, 'Data Combined - all-runs'!$D:$D, D85, 'Data Combined - all-runs'!$E:$E, E85)</f>
        <v>#DIV/0!</v>
      </c>
      <c r="U85" s="5" t="b">
        <f t="shared" si="1"/>
        <v>0</v>
      </c>
      <c r="V85" s="5" t="b">
        <f t="shared" si="2"/>
        <v>0</v>
      </c>
      <c r="W85" s="5" t="b">
        <f t="shared" si="3"/>
        <v>1</v>
      </c>
    </row>
    <row r="86">
      <c r="A86" s="2" t="s">
        <v>32</v>
      </c>
      <c r="B86" s="2" t="s">
        <v>114</v>
      </c>
      <c r="C86" s="2" t="s">
        <v>23</v>
      </c>
      <c r="D86" s="2" t="s">
        <v>72</v>
      </c>
      <c r="E86" s="2" t="s">
        <v>25</v>
      </c>
      <c r="H86" s="5">
        <f>AVERAGEIFS('Data Combined - all-runs'!$H:$H, 'Data Combined - all-runs'!$A:$A, A86,'Data Combined - all-runs'!$B:$B, B86,'Data Combined - all-runs'!$C:$C, C86, 'Data Combined - all-runs'!$D:$D, D86, 'Data Combined - all-runs'!$E:$E, E86)</f>
        <v>1183.25</v>
      </c>
      <c r="I86" s="5" t="str">
        <f>AVERAGEIFS('Data Combined - all-runs'!$I:$I, 'Data Combined - all-runs'!$A:$A, A86,'Data Combined - all-runs'!$B:$B, B86,'Data Combined - all-runs'!$C:$C, C86, 'Data Combined - all-runs'!$D:$D, D86, 'Data Combined - all-runs'!$E:$E, E86)</f>
        <v>#DIV/0!</v>
      </c>
      <c r="J86" s="5">
        <f>AVERAGEIFS('Data Combined - all-runs'!$J:$J, 'Data Combined - all-runs'!$A:$A, A86,'Data Combined - all-runs'!$B:$B, B86,'Data Combined - all-runs'!$C:$C, C86, 'Data Combined - all-runs'!$D:$D, D86, 'Data Combined - all-runs'!$E:$E, E86)</f>
        <v>155.5</v>
      </c>
      <c r="K86" s="5">
        <f>AVERAGEIFS('Data Combined - all-runs'!$K:$K, 'Data Combined - all-runs'!$A:$A, A86,'Data Combined - all-runs'!$B:$B, B86,'Data Combined - all-runs'!$C:$C, C86, 'Data Combined - all-runs'!$D:$D, D86, 'Data Combined - all-runs'!$E:$E, E86)</f>
        <v>0.2576857662</v>
      </c>
      <c r="L86" s="5">
        <f>AVERAGEIFS('Data Combined - all-runs'!$L:$L, 'Data Combined - all-runs'!$A:$A, A86,'Data Combined - all-runs'!$B:$B, B86,'Data Combined - all-runs'!$C:$C, C86, 'Data Combined - all-runs'!$D:$D, D86, 'Data Combined - all-runs'!$E:$E, E86)</f>
        <v>14014.33638</v>
      </c>
      <c r="M86" s="5">
        <f>AVERAGEIFS('Data Combined - all-runs'!$M:$M, 'Data Combined - all-runs'!$A:$A, A86,'Data Combined - all-runs'!$B:$B, B86,'Data Combined - all-runs'!$C:$C, C86, 'Data Combined - all-runs'!$D:$D, D86, 'Data Combined - all-runs'!$E:$E, E86)</f>
        <v>105.75</v>
      </c>
      <c r="N86" s="5">
        <f>AVERAGEIFS('Data Combined - all-runs'!$N:$N, 'Data Combined - all-runs'!$A:$A, A86,'Data Combined - all-runs'!$B:$B, B86,'Data Combined - all-runs'!$C:$C, C86, 'Data Combined - all-runs'!$D:$D, D86, 'Data Combined - all-runs'!$E:$E, E86)</f>
        <v>7.5</v>
      </c>
      <c r="O86" s="5">
        <f>AVERAGEIFS('Data Combined - all-runs'!$O:$O, 'Data Combined - all-runs'!$A:$A, A86,'Data Combined - all-runs'!$B:$B, B86,'Data Combined - all-runs'!$C:$C, C86, 'Data Combined - all-runs'!$D:$D, D86, 'Data Combined - all-runs'!$E:$E, E86)</f>
        <v>1107.75</v>
      </c>
      <c r="P86" s="5">
        <f>AVERAGEIFS('Data Combined - all-runs'!$P:$P, 'Data Combined - all-runs'!$A:$A, A86,'Data Combined - all-runs'!$B:$B, B86,'Data Combined - all-runs'!$C:$C, C86, 'Data Combined - all-runs'!$D:$D, D86, 'Data Combined - all-runs'!$E:$E, E86)</f>
        <v>6.806292573</v>
      </c>
      <c r="Q86" s="5">
        <f>AVERAGEIFS('Data Combined - all-runs'!$Q:$Q, 'Data Combined - all-runs'!$A:$A, A86,'Data Combined - all-runs'!$B:$B, B86,'Data Combined - all-runs'!$C:$C, C86, 'Data Combined - all-runs'!$D:$D, D86, 'Data Combined - all-runs'!$E:$E, E86)</f>
        <v>1064.541713</v>
      </c>
      <c r="R86" s="5">
        <f>AVERAGEIFS('Data Combined - all-runs'!$R:$R, 'Data Combined - all-runs'!$A:$A, A86,'Data Combined - all-runs'!$B:$B, B86,'Data Combined - all-runs'!$C:$C, C86, 'Data Combined - all-runs'!$D:$D, D86, 'Data Combined - all-runs'!$E:$E, E86)</f>
        <v>160.812996</v>
      </c>
      <c r="S86" s="5">
        <f>AVERAGEIFS('Data Combined - all-runs'!$S:$S, 'Data Combined - all-runs'!$A:$A, A86,'Data Combined - all-runs'!$B:$B, B86,'Data Combined - all-runs'!$C:$C, C86, 'Data Combined - all-runs'!$D:$D, D86, 'Data Combined - all-runs'!$E:$E, E86)</f>
        <v>0.1216744914</v>
      </c>
      <c r="T86" s="5" t="str">
        <f>AVERAGEIFS('Data Combined - all-runs'!$T:$T, 'Data Combined - all-runs'!$A:$A, A86,'Data Combined - all-runs'!$B:$B, B86,'Data Combined - all-runs'!$C:$C, C86, 'Data Combined - all-runs'!$D:$D, D86, 'Data Combined - all-runs'!$E:$E, E86)</f>
        <v>#DIV/0!</v>
      </c>
      <c r="U86" s="5" t="b">
        <f t="shared" si="1"/>
        <v>0</v>
      </c>
      <c r="V86" s="5" t="b">
        <f t="shared" si="2"/>
        <v>0</v>
      </c>
      <c r="W86" s="5" t="b">
        <f t="shared" si="3"/>
        <v>1</v>
      </c>
    </row>
    <row r="87">
      <c r="A87" s="2" t="s">
        <v>32</v>
      </c>
      <c r="B87" s="2" t="s">
        <v>114</v>
      </c>
      <c r="C87" s="2" t="s">
        <v>23</v>
      </c>
      <c r="D87" s="2" t="s">
        <v>72</v>
      </c>
      <c r="E87" s="2" t="s">
        <v>39</v>
      </c>
      <c r="H87" s="5">
        <f>AVERAGEIFS('Data Combined - all-runs'!$H:$H, 'Data Combined - all-runs'!$A:$A, A87,'Data Combined - all-runs'!$B:$B, B87,'Data Combined - all-runs'!$C:$C, C87, 'Data Combined - all-runs'!$D:$D, D87, 'Data Combined - all-runs'!$E:$E, E87)</f>
        <v>2076.75</v>
      </c>
      <c r="I87" s="5" t="str">
        <f>AVERAGEIFS('Data Combined - all-runs'!$I:$I, 'Data Combined - all-runs'!$A:$A, A87,'Data Combined - all-runs'!$B:$B, B87,'Data Combined - all-runs'!$C:$C, C87, 'Data Combined - all-runs'!$D:$D, D87, 'Data Combined - all-runs'!$E:$E, E87)</f>
        <v>#DIV/0!</v>
      </c>
      <c r="J87" s="5">
        <f>AVERAGEIFS('Data Combined - all-runs'!$J:$J, 'Data Combined - all-runs'!$A:$A, A87,'Data Combined - all-runs'!$B:$B, B87,'Data Combined - all-runs'!$C:$C, C87, 'Data Combined - all-runs'!$D:$D, D87, 'Data Combined - all-runs'!$E:$E, E87)</f>
        <v>500.25</v>
      </c>
      <c r="K87" s="5">
        <f>AVERAGEIFS('Data Combined - all-runs'!$K:$K, 'Data Combined - all-runs'!$A:$A, A87,'Data Combined - all-runs'!$B:$B, B87,'Data Combined - all-runs'!$C:$C, C87, 'Data Combined - all-runs'!$D:$D, D87, 'Data Combined - all-runs'!$E:$E, E87)</f>
        <v>0.1685778579</v>
      </c>
      <c r="L87" s="5">
        <f>AVERAGEIFS('Data Combined - all-runs'!$L:$L, 'Data Combined - all-runs'!$A:$A, A87,'Data Combined - all-runs'!$B:$B, B87,'Data Combined - all-runs'!$C:$C, C87, 'Data Combined - all-runs'!$D:$D, D87, 'Data Combined - all-runs'!$E:$E, E87)</f>
        <v>32356.24845</v>
      </c>
      <c r="M87" s="5">
        <f>AVERAGEIFS('Data Combined - all-runs'!$M:$M, 'Data Combined - all-runs'!$A:$A, A87,'Data Combined - all-runs'!$B:$B, B87,'Data Combined - all-runs'!$C:$C, C87, 'Data Combined - all-runs'!$D:$D, D87, 'Data Combined - all-runs'!$E:$E, E87)</f>
        <v>51</v>
      </c>
      <c r="N87" s="5">
        <f>AVERAGEIFS('Data Combined - all-runs'!$N:$N, 'Data Combined - all-runs'!$A:$A, A87,'Data Combined - all-runs'!$B:$B, B87,'Data Combined - all-runs'!$C:$C, C87, 'Data Combined - all-runs'!$D:$D, D87, 'Data Combined - all-runs'!$E:$E, E87)</f>
        <v>6.75</v>
      </c>
      <c r="O87" s="5">
        <f>AVERAGEIFS('Data Combined - all-runs'!$O:$O, 'Data Combined - all-runs'!$A:$A, A87,'Data Combined - all-runs'!$B:$B, B87,'Data Combined - all-runs'!$C:$C, C87, 'Data Combined - all-runs'!$D:$D, D87, 'Data Combined - all-runs'!$E:$E, E87)</f>
        <v>1174</v>
      </c>
      <c r="P87" s="5">
        <f>AVERAGEIFS('Data Combined - all-runs'!$P:$P, 'Data Combined - all-runs'!$A:$A, A87,'Data Combined - all-runs'!$B:$B, B87,'Data Combined - all-runs'!$C:$C, C87, 'Data Combined - all-runs'!$D:$D, D87, 'Data Combined - all-runs'!$E:$E, E87)</f>
        <v>4.68081446</v>
      </c>
      <c r="Q87" s="5">
        <f>AVERAGEIFS('Data Combined - all-runs'!$Q:$Q, 'Data Combined - all-runs'!$A:$A, A87,'Data Combined - all-runs'!$B:$B, B87,'Data Combined - all-runs'!$C:$C, C87, 'Data Combined - all-runs'!$D:$D, D87, 'Data Combined - all-runs'!$E:$E, E87)</f>
        <v>2093.822594</v>
      </c>
      <c r="R87" s="5">
        <f>AVERAGEIFS('Data Combined - all-runs'!$R:$R, 'Data Combined - all-runs'!$A:$A, A87,'Data Combined - all-runs'!$B:$B, B87,'Data Combined - all-runs'!$C:$C, C87, 'Data Combined - all-runs'!$D:$D, D87, 'Data Combined - all-runs'!$E:$E, E87)</f>
        <v>231.8877493</v>
      </c>
      <c r="S87" s="5">
        <f>AVERAGEIFS('Data Combined - all-runs'!$S:$S, 'Data Combined - all-runs'!$A:$A, A87,'Data Combined - all-runs'!$B:$B, B87,'Data Combined - all-runs'!$C:$C, C87, 'Data Combined - all-runs'!$D:$D, D87, 'Data Combined - all-runs'!$E:$E, E87)</f>
        <v>0.2500849762</v>
      </c>
      <c r="T87" s="5" t="str">
        <f>AVERAGEIFS('Data Combined - all-runs'!$T:$T, 'Data Combined - all-runs'!$A:$A, A87,'Data Combined - all-runs'!$B:$B, B87,'Data Combined - all-runs'!$C:$C, C87, 'Data Combined - all-runs'!$D:$D, D87, 'Data Combined - all-runs'!$E:$E, E87)</f>
        <v>#DIV/0!</v>
      </c>
      <c r="U87" s="5" t="b">
        <f t="shared" si="1"/>
        <v>0</v>
      </c>
      <c r="V87" s="5" t="b">
        <f t="shared" si="2"/>
        <v>0</v>
      </c>
      <c r="W87" s="5" t="b">
        <f t="shared" si="3"/>
        <v>1</v>
      </c>
    </row>
    <row r="88">
      <c r="A88" s="2" t="s">
        <v>32</v>
      </c>
      <c r="B88" s="2" t="s">
        <v>114</v>
      </c>
      <c r="C88" s="2" t="s">
        <v>23</v>
      </c>
      <c r="D88" s="2" t="s">
        <v>72</v>
      </c>
      <c r="E88" s="2" t="s">
        <v>43</v>
      </c>
      <c r="H88" s="5">
        <f>AVERAGEIFS('Data Combined - all-runs'!$H:$H, 'Data Combined - all-runs'!$A:$A, A88,'Data Combined - all-runs'!$B:$B, B88,'Data Combined - all-runs'!$C:$C, C88, 'Data Combined - all-runs'!$D:$D, D88, 'Data Combined - all-runs'!$E:$E, E88)</f>
        <v>3170.333333</v>
      </c>
      <c r="I88" s="5" t="str">
        <f>AVERAGEIFS('Data Combined - all-runs'!$I:$I, 'Data Combined - all-runs'!$A:$A, A88,'Data Combined - all-runs'!$B:$B, B88,'Data Combined - all-runs'!$C:$C, C88, 'Data Combined - all-runs'!$D:$D, D88, 'Data Combined - all-runs'!$E:$E, E88)</f>
        <v>#DIV/0!</v>
      </c>
      <c r="J88" s="5">
        <f>AVERAGEIFS('Data Combined - all-runs'!$J:$J, 'Data Combined - all-runs'!$A:$A, A88,'Data Combined - all-runs'!$B:$B, B88,'Data Combined - all-runs'!$C:$C, C88, 'Data Combined - all-runs'!$D:$D, D88, 'Data Combined - all-runs'!$E:$E, E88)</f>
        <v>0.3333333333</v>
      </c>
      <c r="K88" s="5">
        <f>AVERAGEIFS('Data Combined - all-runs'!$K:$K, 'Data Combined - all-runs'!$A:$A, A88,'Data Combined - all-runs'!$B:$B, B88,'Data Combined - all-runs'!$C:$C, C88, 'Data Combined - all-runs'!$D:$D, D88, 'Data Combined - all-runs'!$E:$E, E88)</f>
        <v>0.1508521185</v>
      </c>
      <c r="L88" s="5">
        <f>AVERAGEIFS('Data Combined - all-runs'!$L:$L, 'Data Combined - all-runs'!$A:$A, A88,'Data Combined - all-runs'!$B:$B, B88,'Data Combined - all-runs'!$C:$C, C88, 'Data Combined - all-runs'!$D:$D, D88, 'Data Combined - all-runs'!$E:$E, E88)</f>
        <v>5670.008119</v>
      </c>
      <c r="M88" s="5">
        <f>AVERAGEIFS('Data Combined - all-runs'!$M:$M, 'Data Combined - all-runs'!$A:$A, A88,'Data Combined - all-runs'!$B:$B, B88,'Data Combined - all-runs'!$C:$C, C88, 'Data Combined - all-runs'!$D:$D, D88, 'Data Combined - all-runs'!$E:$E, E88)</f>
        <v>45.66666667</v>
      </c>
      <c r="N88" s="5">
        <f>AVERAGEIFS('Data Combined - all-runs'!$N:$N, 'Data Combined - all-runs'!$A:$A, A88,'Data Combined - all-runs'!$B:$B, B88,'Data Combined - all-runs'!$C:$C, C88, 'Data Combined - all-runs'!$D:$D, D88, 'Data Combined - all-runs'!$E:$E, E88)</f>
        <v>15.66666667</v>
      </c>
      <c r="O88" s="5">
        <f>AVERAGEIFS('Data Combined - all-runs'!$O:$O, 'Data Combined - all-runs'!$A:$A, A88,'Data Combined - all-runs'!$B:$B, B88,'Data Combined - all-runs'!$C:$C, C88, 'Data Combined - all-runs'!$D:$D, D88, 'Data Combined - all-runs'!$E:$E, E88)</f>
        <v>1762.666667</v>
      </c>
      <c r="P88" s="5">
        <f>AVERAGEIFS('Data Combined - all-runs'!$P:$P, 'Data Combined - all-runs'!$A:$A, A88,'Data Combined - all-runs'!$B:$B, B88,'Data Combined - all-runs'!$C:$C, C88, 'Data Combined - all-runs'!$D:$D, D88, 'Data Combined - all-runs'!$E:$E, E88)</f>
        <v>9.189877344</v>
      </c>
      <c r="Q88" s="5">
        <f>AVERAGEIFS('Data Combined - all-runs'!$Q:$Q, 'Data Combined - all-runs'!$A:$A, A88,'Data Combined - all-runs'!$B:$B, B88,'Data Combined - all-runs'!$C:$C, C88, 'Data Combined - all-runs'!$D:$D, D88, 'Data Combined - all-runs'!$E:$E, E88)</f>
        <v>1755.758125</v>
      </c>
      <c r="R88" s="5">
        <f>AVERAGEIFS('Data Combined - all-runs'!$R:$R, 'Data Combined - all-runs'!$A:$A, A88,'Data Combined - all-runs'!$B:$B, B88,'Data Combined - all-runs'!$C:$C, C88, 'Data Combined - all-runs'!$D:$D, D88, 'Data Combined - all-runs'!$E:$E, E88)</f>
        <v>205.5925926</v>
      </c>
      <c r="S88" s="5">
        <f>AVERAGEIFS('Data Combined - all-runs'!$S:$S, 'Data Combined - all-runs'!$A:$A, A88,'Data Combined - all-runs'!$B:$B, B88,'Data Combined - all-runs'!$C:$C, C88, 'Data Combined - all-runs'!$D:$D, D88, 'Data Combined - all-runs'!$E:$E, E88)</f>
        <v>0.0000697788012</v>
      </c>
      <c r="T88" s="5" t="str">
        <f>AVERAGEIFS('Data Combined - all-runs'!$T:$T, 'Data Combined - all-runs'!$A:$A, A88,'Data Combined - all-runs'!$B:$B, B88,'Data Combined - all-runs'!$C:$C, C88, 'Data Combined - all-runs'!$D:$D, D88, 'Data Combined - all-runs'!$E:$E, E88)</f>
        <v>#DIV/0!</v>
      </c>
      <c r="U88" s="5" t="b">
        <f t="shared" si="1"/>
        <v>0</v>
      </c>
      <c r="V88" s="5" t="b">
        <f t="shared" si="2"/>
        <v>0</v>
      </c>
      <c r="W88" s="5" t="b">
        <f t="shared" si="3"/>
        <v>1</v>
      </c>
    </row>
    <row r="89">
      <c r="A89" s="2" t="s">
        <v>32</v>
      </c>
      <c r="B89" s="2" t="s">
        <v>114</v>
      </c>
      <c r="C89" s="2" t="s">
        <v>23</v>
      </c>
      <c r="D89" s="2" t="s">
        <v>72</v>
      </c>
      <c r="E89" s="2" t="s">
        <v>34</v>
      </c>
      <c r="H89" s="5">
        <f>AVERAGEIFS('Data Combined - all-runs'!$H:$H, 'Data Combined - all-runs'!$A:$A, A89,'Data Combined - all-runs'!$B:$B, B89,'Data Combined - all-runs'!$C:$C, C89, 'Data Combined - all-runs'!$D:$D, D89, 'Data Combined - all-runs'!$E:$E, E89)</f>
        <v>2565.333333</v>
      </c>
      <c r="I89" s="5" t="str">
        <f>AVERAGEIFS('Data Combined - all-runs'!$I:$I, 'Data Combined - all-runs'!$A:$A, A89,'Data Combined - all-runs'!$B:$B, B89,'Data Combined - all-runs'!$C:$C, C89, 'Data Combined - all-runs'!$D:$D, D89, 'Data Combined - all-runs'!$E:$E, E89)</f>
        <v>#DIV/0!</v>
      </c>
      <c r="J89" s="5">
        <f>AVERAGEIFS('Data Combined - all-runs'!$J:$J, 'Data Combined - all-runs'!$A:$A, A89,'Data Combined - all-runs'!$B:$B, B89,'Data Combined - all-runs'!$C:$C, C89, 'Data Combined - all-runs'!$D:$D, D89, 'Data Combined - all-runs'!$E:$E, E89)</f>
        <v>0.6666666667</v>
      </c>
      <c r="K89" s="5">
        <f>AVERAGEIFS('Data Combined - all-runs'!$K:$K, 'Data Combined - all-runs'!$A:$A, A89,'Data Combined - all-runs'!$B:$B, B89,'Data Combined - all-runs'!$C:$C, C89, 'Data Combined - all-runs'!$D:$D, D89, 'Data Combined - all-runs'!$E:$E, E89)</f>
        <v>0.2688433131</v>
      </c>
      <c r="L89" s="5">
        <f>AVERAGEIFS('Data Combined - all-runs'!$L:$L, 'Data Combined - all-runs'!$A:$A, A89,'Data Combined - all-runs'!$B:$B, B89,'Data Combined - all-runs'!$C:$C, C89, 'Data Combined - all-runs'!$D:$D, D89, 'Data Combined - all-runs'!$E:$E, E89)</f>
        <v>3967.838235</v>
      </c>
      <c r="M89" s="5">
        <f>AVERAGEIFS('Data Combined - all-runs'!$M:$M, 'Data Combined - all-runs'!$A:$A, A89,'Data Combined - all-runs'!$B:$B, B89,'Data Combined - all-runs'!$C:$C, C89, 'Data Combined - all-runs'!$D:$D, D89, 'Data Combined - all-runs'!$E:$E, E89)</f>
        <v>36.66666667</v>
      </c>
      <c r="N89" s="5">
        <f>AVERAGEIFS('Data Combined - all-runs'!$N:$N, 'Data Combined - all-runs'!$A:$A, A89,'Data Combined - all-runs'!$B:$B, B89,'Data Combined - all-runs'!$C:$C, C89, 'Data Combined - all-runs'!$D:$D, D89, 'Data Combined - all-runs'!$E:$E, E89)</f>
        <v>4.666666667</v>
      </c>
      <c r="O89" s="5">
        <f>AVERAGEIFS('Data Combined - all-runs'!$O:$O, 'Data Combined - all-runs'!$A:$A, A89,'Data Combined - all-runs'!$B:$B, B89,'Data Combined - all-runs'!$C:$C, C89, 'Data Combined - all-runs'!$D:$D, D89, 'Data Combined - all-runs'!$E:$E, E89)</f>
        <v>838</v>
      </c>
      <c r="P89" s="5">
        <f>AVERAGEIFS('Data Combined - all-runs'!$P:$P, 'Data Combined - all-runs'!$A:$A, A89,'Data Combined - all-runs'!$B:$B, B89,'Data Combined - all-runs'!$C:$C, C89, 'Data Combined - all-runs'!$D:$D, D89, 'Data Combined - all-runs'!$E:$E, E89)</f>
        <v>5.349698483</v>
      </c>
      <c r="Q89" s="5">
        <f>AVERAGEIFS('Data Combined - all-runs'!$Q:$Q, 'Data Combined - all-runs'!$A:$A, A89,'Data Combined - all-runs'!$B:$B, B89,'Data Combined - all-runs'!$C:$C, C89, 'Data Combined - all-runs'!$D:$D, D89, 'Data Combined - all-runs'!$E:$E, E89)</f>
        <v>3032.054847</v>
      </c>
      <c r="R89" s="5">
        <f>AVERAGEIFS('Data Combined - all-runs'!$R:$R, 'Data Combined - all-runs'!$A:$A, A89,'Data Combined - all-runs'!$B:$B, B89,'Data Combined - all-runs'!$C:$C, C89, 'Data Combined - all-runs'!$D:$D, D89, 'Data Combined - all-runs'!$E:$E, E89)</f>
        <v>633.0047619</v>
      </c>
      <c r="S89" s="5">
        <f>AVERAGEIFS('Data Combined - all-runs'!$S:$S, 'Data Combined - all-runs'!$A:$A, A89,'Data Combined - all-runs'!$B:$B, B89,'Data Combined - all-runs'!$C:$C, C89, 'Data Combined - all-runs'!$D:$D, D89, 'Data Combined - all-runs'!$E:$E, E89)</f>
        <v>0.0002708223453</v>
      </c>
      <c r="T89" s="5" t="str">
        <f>AVERAGEIFS('Data Combined - all-runs'!$T:$T, 'Data Combined - all-runs'!$A:$A, A89,'Data Combined - all-runs'!$B:$B, B89,'Data Combined - all-runs'!$C:$C, C89, 'Data Combined - all-runs'!$D:$D, D89, 'Data Combined - all-runs'!$E:$E, E89)</f>
        <v>#DIV/0!</v>
      </c>
      <c r="U89" s="5" t="b">
        <f t="shared" si="1"/>
        <v>0</v>
      </c>
      <c r="V89" s="5" t="b">
        <f t="shared" si="2"/>
        <v>0</v>
      </c>
      <c r="W89" s="5" t="b">
        <f t="shared" si="3"/>
        <v>1</v>
      </c>
    </row>
    <row r="90">
      <c r="A90" s="2" t="s">
        <v>32</v>
      </c>
      <c r="B90" s="2" t="s">
        <v>114</v>
      </c>
      <c r="C90" s="2" t="s">
        <v>23</v>
      </c>
      <c r="D90" s="2" t="s">
        <v>72</v>
      </c>
      <c r="E90" s="2" t="s">
        <v>47</v>
      </c>
      <c r="H90" s="5">
        <f>AVERAGEIFS('Data Combined - all-runs'!$H:$H, 'Data Combined - all-runs'!$A:$A, A90,'Data Combined - all-runs'!$B:$B, B90,'Data Combined - all-runs'!$C:$C, C90, 'Data Combined - all-runs'!$D:$D, D90, 'Data Combined - all-runs'!$E:$E, E90)</f>
        <v>3491</v>
      </c>
      <c r="I90" s="5" t="str">
        <f>AVERAGEIFS('Data Combined - all-runs'!$I:$I, 'Data Combined - all-runs'!$A:$A, A90,'Data Combined - all-runs'!$B:$B, B90,'Data Combined - all-runs'!$C:$C, C90, 'Data Combined - all-runs'!$D:$D, D90, 'Data Combined - all-runs'!$E:$E, E90)</f>
        <v>#DIV/0!</v>
      </c>
      <c r="J90" s="5">
        <f>AVERAGEIFS('Data Combined - all-runs'!$J:$J, 'Data Combined - all-runs'!$A:$A, A90,'Data Combined - all-runs'!$B:$B, B90,'Data Combined - all-runs'!$C:$C, C90, 'Data Combined - all-runs'!$D:$D, D90, 'Data Combined - all-runs'!$E:$E, E90)</f>
        <v>0.3333333333</v>
      </c>
      <c r="K90" s="5">
        <f>AVERAGEIFS('Data Combined - all-runs'!$K:$K, 'Data Combined - all-runs'!$A:$A, A90,'Data Combined - all-runs'!$B:$B, B90,'Data Combined - all-runs'!$C:$C, C90, 'Data Combined - all-runs'!$D:$D, D90, 'Data Combined - all-runs'!$E:$E, E90)</f>
        <v>0.185562242</v>
      </c>
      <c r="L90" s="5">
        <f>AVERAGEIFS('Data Combined - all-runs'!$L:$L, 'Data Combined - all-runs'!$A:$A, A90,'Data Combined - all-runs'!$B:$B, B90,'Data Combined - all-runs'!$C:$C, C90, 'Data Combined - all-runs'!$D:$D, D90, 'Data Combined - all-runs'!$E:$E, E90)</f>
        <v>7568.342648</v>
      </c>
      <c r="M90" s="5">
        <f>AVERAGEIFS('Data Combined - all-runs'!$M:$M, 'Data Combined - all-runs'!$A:$A, A90,'Data Combined - all-runs'!$B:$B, B90,'Data Combined - all-runs'!$C:$C, C90, 'Data Combined - all-runs'!$D:$D, D90, 'Data Combined - all-runs'!$E:$E, E90)</f>
        <v>48</v>
      </c>
      <c r="N90" s="5">
        <f>AVERAGEIFS('Data Combined - all-runs'!$N:$N, 'Data Combined - all-runs'!$A:$A, A90,'Data Combined - all-runs'!$B:$B, B90,'Data Combined - all-runs'!$C:$C, C90, 'Data Combined - all-runs'!$D:$D, D90, 'Data Combined - all-runs'!$E:$E, E90)</f>
        <v>12.66666667</v>
      </c>
      <c r="O90" s="5">
        <f>AVERAGEIFS('Data Combined - all-runs'!$O:$O, 'Data Combined - all-runs'!$A:$A, A90,'Data Combined - all-runs'!$B:$B, B90,'Data Combined - all-runs'!$C:$C, C90, 'Data Combined - all-runs'!$D:$D, D90, 'Data Combined - all-runs'!$E:$E, E90)</f>
        <v>1569.333333</v>
      </c>
      <c r="P90" s="5">
        <f>AVERAGEIFS('Data Combined - all-runs'!$P:$P, 'Data Combined - all-runs'!$A:$A, A90,'Data Combined - all-runs'!$B:$B, B90,'Data Combined - all-runs'!$C:$C, C90, 'Data Combined - all-runs'!$D:$D, D90, 'Data Combined - all-runs'!$E:$E, E90)</f>
        <v>7.74932458</v>
      </c>
      <c r="Q90" s="5">
        <f>AVERAGEIFS('Data Combined - all-runs'!$Q:$Q, 'Data Combined - all-runs'!$A:$A, A90,'Data Combined - all-runs'!$B:$B, B90,'Data Combined - all-runs'!$C:$C, C90, 'Data Combined - all-runs'!$D:$D, D90, 'Data Combined - all-runs'!$E:$E, E90)</f>
        <v>2437.647759</v>
      </c>
      <c r="R90" s="5">
        <f>AVERAGEIFS('Data Combined - all-runs'!$R:$R, 'Data Combined - all-runs'!$A:$A, A90,'Data Combined - all-runs'!$B:$B, B90,'Data Combined - all-runs'!$C:$C, C90, 'Data Combined - all-runs'!$D:$D, D90, 'Data Combined - all-runs'!$E:$E, E90)</f>
        <v>358.7777778</v>
      </c>
      <c r="S90" s="5">
        <f>AVERAGEIFS('Data Combined - all-runs'!$S:$S, 'Data Combined - all-runs'!$A:$A, A90,'Data Combined - all-runs'!$B:$B, B90,'Data Combined - all-runs'!$C:$C, C90, 'Data Combined - all-runs'!$D:$D, D90, 'Data Combined - all-runs'!$E:$E, E90)</f>
        <v>0.0001169180405</v>
      </c>
      <c r="T90" s="5" t="str">
        <f>AVERAGEIFS('Data Combined - all-runs'!$T:$T, 'Data Combined - all-runs'!$A:$A, A90,'Data Combined - all-runs'!$B:$B, B90,'Data Combined - all-runs'!$C:$C, C90, 'Data Combined - all-runs'!$D:$D, D90, 'Data Combined - all-runs'!$E:$E, E90)</f>
        <v>#DIV/0!</v>
      </c>
      <c r="U90" s="5" t="b">
        <f t="shared" si="1"/>
        <v>0</v>
      </c>
      <c r="V90" s="5" t="b">
        <f t="shared" si="2"/>
        <v>0</v>
      </c>
      <c r="W90" s="5" t="b">
        <f t="shared" si="3"/>
        <v>1</v>
      </c>
    </row>
    <row r="91">
      <c r="A91" s="2" t="s">
        <v>32</v>
      </c>
      <c r="B91" s="2" t="s">
        <v>114</v>
      </c>
      <c r="C91" s="2" t="s">
        <v>23</v>
      </c>
      <c r="D91" s="2" t="s">
        <v>72</v>
      </c>
      <c r="E91" s="2" t="s">
        <v>51</v>
      </c>
      <c r="H91" s="5">
        <f>AVERAGEIFS('Data Combined - all-runs'!$H:$H, 'Data Combined - all-runs'!$A:$A, A91,'Data Combined - all-runs'!$B:$B, B91,'Data Combined - all-runs'!$C:$C, C91, 'Data Combined - all-runs'!$D:$D, D91, 'Data Combined - all-runs'!$E:$E, E91)</f>
        <v>2452</v>
      </c>
      <c r="I91" s="5" t="str">
        <f>AVERAGEIFS('Data Combined - all-runs'!$I:$I, 'Data Combined - all-runs'!$A:$A, A91,'Data Combined - all-runs'!$B:$B, B91,'Data Combined - all-runs'!$C:$C, C91, 'Data Combined - all-runs'!$D:$D, D91, 'Data Combined - all-runs'!$E:$E, E91)</f>
        <v>#DIV/0!</v>
      </c>
      <c r="J91" s="5">
        <f>AVERAGEIFS('Data Combined - all-runs'!$J:$J, 'Data Combined - all-runs'!$A:$A, A91,'Data Combined - all-runs'!$B:$B, B91,'Data Combined - all-runs'!$C:$C, C91, 'Data Combined - all-runs'!$D:$D, D91, 'Data Combined - all-runs'!$E:$E, E91)</f>
        <v>0.3333333333</v>
      </c>
      <c r="K91" s="5">
        <f>AVERAGEIFS('Data Combined - all-runs'!$K:$K, 'Data Combined - all-runs'!$A:$A, A91,'Data Combined - all-runs'!$B:$B, B91,'Data Combined - all-runs'!$C:$C, C91, 'Data Combined - all-runs'!$D:$D, D91, 'Data Combined - all-runs'!$E:$E, E91)</f>
        <v>0.1249048818</v>
      </c>
      <c r="L91" s="5">
        <f>AVERAGEIFS('Data Combined - all-runs'!$L:$L, 'Data Combined - all-runs'!$A:$A, A91,'Data Combined - all-runs'!$B:$B, B91,'Data Combined - all-runs'!$C:$C, C91, 'Data Combined - all-runs'!$D:$D, D91, 'Data Combined - all-runs'!$E:$E, E91)</f>
        <v>5428.507508</v>
      </c>
      <c r="M91" s="5">
        <f>AVERAGEIFS('Data Combined - all-runs'!$M:$M, 'Data Combined - all-runs'!$A:$A, A91,'Data Combined - all-runs'!$B:$B, B91,'Data Combined - all-runs'!$C:$C, C91, 'Data Combined - all-runs'!$D:$D, D91, 'Data Combined - all-runs'!$E:$E, E91)</f>
        <v>38</v>
      </c>
      <c r="N91" s="5">
        <f>AVERAGEIFS('Data Combined - all-runs'!$N:$N, 'Data Combined - all-runs'!$A:$A, A91,'Data Combined - all-runs'!$B:$B, B91,'Data Combined - all-runs'!$C:$C, C91, 'Data Combined - all-runs'!$D:$D, D91, 'Data Combined - all-runs'!$E:$E, E91)</f>
        <v>16.33333333</v>
      </c>
      <c r="O91" s="5">
        <f>AVERAGEIFS('Data Combined - all-runs'!$O:$O, 'Data Combined - all-runs'!$A:$A, A91,'Data Combined - all-runs'!$B:$B, B91,'Data Combined - all-runs'!$C:$C, C91, 'Data Combined - all-runs'!$D:$D, D91, 'Data Combined - all-runs'!$E:$E, E91)</f>
        <v>1154</v>
      </c>
      <c r="P91" s="5">
        <f>AVERAGEIFS('Data Combined - all-runs'!$P:$P, 'Data Combined - all-runs'!$A:$A, A91,'Data Combined - all-runs'!$B:$B, B91,'Data Combined - all-runs'!$C:$C, C91, 'Data Combined - all-runs'!$D:$D, D91, 'Data Combined - all-runs'!$E:$E, E91)</f>
        <v>14.213392</v>
      </c>
      <c r="Q91" s="5">
        <f>AVERAGEIFS('Data Combined - all-runs'!$Q:$Q, 'Data Combined - all-runs'!$A:$A, A91,'Data Combined - all-runs'!$B:$B, B91,'Data Combined - all-runs'!$C:$C, C91, 'Data Combined - all-runs'!$D:$D, D91, 'Data Combined - all-runs'!$E:$E, E91)</f>
        <v>2127.221343</v>
      </c>
      <c r="R91" s="5">
        <f>AVERAGEIFS('Data Combined - all-runs'!$R:$R, 'Data Combined - all-runs'!$A:$A, A91,'Data Combined - all-runs'!$B:$B, B91,'Data Combined - all-runs'!$C:$C, C91, 'Data Combined - all-runs'!$D:$D, D91, 'Data Combined - all-runs'!$E:$E, E91)</f>
        <v>150.3504902</v>
      </c>
      <c r="S91" s="5">
        <f>AVERAGEIFS('Data Combined - all-runs'!$S:$S, 'Data Combined - all-runs'!$A:$A, A91,'Data Combined - all-runs'!$B:$B, B91,'Data Combined - all-runs'!$C:$C, C91, 'Data Combined - all-runs'!$D:$D, D91, 'Data Combined - all-runs'!$E:$E, E91)</f>
        <v>0.000161108426</v>
      </c>
      <c r="T91" s="5" t="str">
        <f>AVERAGEIFS('Data Combined - all-runs'!$T:$T, 'Data Combined - all-runs'!$A:$A, A91,'Data Combined - all-runs'!$B:$B, B91,'Data Combined - all-runs'!$C:$C, C91, 'Data Combined - all-runs'!$D:$D, D91, 'Data Combined - all-runs'!$E:$E, E91)</f>
        <v>#DIV/0!</v>
      </c>
      <c r="U91" s="5" t="b">
        <f t="shared" si="1"/>
        <v>0</v>
      </c>
      <c r="V91" s="5" t="b">
        <f t="shared" si="2"/>
        <v>0</v>
      </c>
      <c r="W91" s="5" t="b">
        <f t="shared" si="3"/>
        <v>1</v>
      </c>
    </row>
    <row r="92">
      <c r="A92" s="2" t="s">
        <v>32</v>
      </c>
      <c r="B92" s="2" t="s">
        <v>114</v>
      </c>
      <c r="C92" s="2" t="s">
        <v>23</v>
      </c>
      <c r="D92" s="2" t="s">
        <v>64</v>
      </c>
      <c r="E92" s="2" t="s">
        <v>25</v>
      </c>
      <c r="H92" s="5">
        <f>AVERAGEIFS('Data Combined - all-runs'!$H:$H, 'Data Combined - all-runs'!$A:$A, A92,'Data Combined - all-runs'!$B:$B, B92,'Data Combined - all-runs'!$C:$C, C92, 'Data Combined - all-runs'!$D:$D, D92, 'Data Combined - all-runs'!$E:$E, E92)</f>
        <v>846.3333333</v>
      </c>
      <c r="I92" s="5" t="str">
        <f>AVERAGEIFS('Data Combined - all-runs'!$I:$I, 'Data Combined - all-runs'!$A:$A, A92,'Data Combined - all-runs'!$B:$B, B92,'Data Combined - all-runs'!$C:$C, C92, 'Data Combined - all-runs'!$D:$D, D92, 'Data Combined - all-runs'!$E:$E, E92)</f>
        <v>#DIV/0!</v>
      </c>
      <c r="J92" s="5">
        <f>AVERAGEIFS('Data Combined - all-runs'!$J:$J, 'Data Combined - all-runs'!$A:$A, A92,'Data Combined - all-runs'!$B:$B, B92,'Data Combined - all-runs'!$C:$C, C92, 'Data Combined - all-runs'!$D:$D, D92, 'Data Combined - all-runs'!$E:$E, E92)</f>
        <v>333.3333333</v>
      </c>
      <c r="K92" s="5">
        <f>AVERAGEIFS('Data Combined - all-runs'!$K:$K, 'Data Combined - all-runs'!$A:$A, A92,'Data Combined - all-runs'!$B:$B, B92,'Data Combined - all-runs'!$C:$C, C92, 'Data Combined - all-runs'!$D:$D, D92, 'Data Combined - all-runs'!$E:$E, E92)</f>
        <v>0.06674483427</v>
      </c>
      <c r="L92" s="5">
        <f>AVERAGEIFS('Data Combined - all-runs'!$L:$L, 'Data Combined - all-runs'!$A:$A, A92,'Data Combined - all-runs'!$B:$B, B92,'Data Combined - all-runs'!$C:$C, C92, 'Data Combined - all-runs'!$D:$D, D92, 'Data Combined - all-runs'!$E:$E, E92)</f>
        <v>21432.30661</v>
      </c>
      <c r="M92" s="5">
        <f>AVERAGEIFS('Data Combined - all-runs'!$M:$M, 'Data Combined - all-runs'!$A:$A, A92,'Data Combined - all-runs'!$B:$B, B92,'Data Combined - all-runs'!$C:$C, C92, 'Data Combined - all-runs'!$D:$D, D92, 'Data Combined - all-runs'!$E:$E, E92)</f>
        <v>55.5</v>
      </c>
      <c r="N92" s="5">
        <f>AVERAGEIFS('Data Combined - all-runs'!$N:$N, 'Data Combined - all-runs'!$A:$A, A92,'Data Combined - all-runs'!$B:$B, B92,'Data Combined - all-runs'!$C:$C, C92, 'Data Combined - all-runs'!$D:$D, D92, 'Data Combined - all-runs'!$E:$E, E92)</f>
        <v>5.333333333</v>
      </c>
      <c r="O92" s="5">
        <f>AVERAGEIFS('Data Combined - all-runs'!$O:$O, 'Data Combined - all-runs'!$A:$A, A92,'Data Combined - all-runs'!$B:$B, B92,'Data Combined - all-runs'!$C:$C, C92, 'Data Combined - all-runs'!$D:$D, D92, 'Data Combined - all-runs'!$E:$E, E92)</f>
        <v>889.6666667</v>
      </c>
      <c r="P92" s="5">
        <f>AVERAGEIFS('Data Combined - all-runs'!$P:$P, 'Data Combined - all-runs'!$A:$A, A92,'Data Combined - all-runs'!$B:$B, B92,'Data Combined - all-runs'!$C:$C, C92, 'Data Combined - all-runs'!$D:$D, D92, 'Data Combined - all-runs'!$E:$E, E92)</f>
        <v>3.68302848</v>
      </c>
      <c r="Q92" s="5">
        <f>AVERAGEIFS('Data Combined - all-runs'!$Q:$Q, 'Data Combined - all-runs'!$A:$A, A92,'Data Combined - all-runs'!$B:$B, B92,'Data Combined - all-runs'!$C:$C, C92, 'Data Combined - all-runs'!$D:$D, D92, 'Data Combined - all-runs'!$E:$E, E92)</f>
        <v>1056.888091</v>
      </c>
      <c r="R92" s="5">
        <f>AVERAGEIFS('Data Combined - all-runs'!$R:$R, 'Data Combined - all-runs'!$A:$A, A92,'Data Combined - all-runs'!$B:$B, B92,'Data Combined - all-runs'!$C:$C, C92, 'Data Combined - all-runs'!$D:$D, D92, 'Data Combined - all-runs'!$E:$E, E92)</f>
        <v>136.2333333</v>
      </c>
      <c r="S92" s="5">
        <f>AVERAGEIFS('Data Combined - all-runs'!$S:$S, 'Data Combined - all-runs'!$A:$A, A92,'Data Combined - all-runs'!$B:$B, B92,'Data Combined - all-runs'!$C:$C, C92, 'Data Combined - all-runs'!$D:$D, D92, 'Data Combined - all-runs'!$E:$E, E92)</f>
        <v>0.3333333333</v>
      </c>
      <c r="T92" s="5" t="str">
        <f>AVERAGEIFS('Data Combined - all-runs'!$T:$T, 'Data Combined - all-runs'!$A:$A, A92,'Data Combined - all-runs'!$B:$B, B92,'Data Combined - all-runs'!$C:$C, C92, 'Data Combined - all-runs'!$D:$D, D92, 'Data Combined - all-runs'!$E:$E, E92)</f>
        <v>#DIV/0!</v>
      </c>
      <c r="U92" s="5" t="b">
        <f t="shared" si="1"/>
        <v>0</v>
      </c>
      <c r="V92" s="5" t="b">
        <f t="shared" si="2"/>
        <v>0</v>
      </c>
      <c r="W92" s="5" t="b">
        <f t="shared" si="3"/>
        <v>1</v>
      </c>
    </row>
    <row r="93">
      <c r="A93" s="2" t="s">
        <v>32</v>
      </c>
      <c r="B93" s="2" t="s">
        <v>114</v>
      </c>
      <c r="C93" s="2" t="s">
        <v>23</v>
      </c>
      <c r="D93" s="2" t="s">
        <v>64</v>
      </c>
      <c r="E93" s="2" t="s">
        <v>39</v>
      </c>
      <c r="H93" s="5">
        <f>AVERAGEIFS('Data Combined - all-runs'!$H:$H, 'Data Combined - all-runs'!$A:$A, A93,'Data Combined - all-runs'!$B:$B, B93,'Data Combined - all-runs'!$C:$C, C93, 'Data Combined - all-runs'!$D:$D, D93, 'Data Combined - all-runs'!$E:$E, E93)</f>
        <v>1080.5</v>
      </c>
      <c r="I93" s="5" t="str">
        <f>AVERAGEIFS('Data Combined - all-runs'!$I:$I, 'Data Combined - all-runs'!$A:$A, A93,'Data Combined - all-runs'!$B:$B, B93,'Data Combined - all-runs'!$C:$C, C93, 'Data Combined - all-runs'!$D:$D, D93, 'Data Combined - all-runs'!$E:$E, E93)</f>
        <v>#DIV/0!</v>
      </c>
      <c r="J93" s="5">
        <f>AVERAGEIFS('Data Combined - all-runs'!$J:$J, 'Data Combined - all-runs'!$A:$A, A93,'Data Combined - all-runs'!$B:$B, B93,'Data Combined - all-runs'!$C:$C, C93, 'Data Combined - all-runs'!$D:$D, D93, 'Data Combined - all-runs'!$E:$E, E93)</f>
        <v>1000</v>
      </c>
      <c r="K93" s="5">
        <f>AVERAGEIFS('Data Combined - all-runs'!$K:$K, 'Data Combined - all-runs'!$A:$A, A93,'Data Combined - all-runs'!$B:$B, B93,'Data Combined - all-runs'!$C:$C, C93, 'Data Combined - all-runs'!$D:$D, D93, 'Data Combined - all-runs'!$E:$E, E93)</f>
        <v>0.05125</v>
      </c>
      <c r="L93" s="5">
        <f>AVERAGEIFS('Data Combined - all-runs'!$L:$L, 'Data Combined - all-runs'!$A:$A, A93,'Data Combined - all-runs'!$B:$B, B93,'Data Combined - all-runs'!$C:$C, C93, 'Data Combined - all-runs'!$D:$D, D93, 'Data Combined - all-runs'!$E:$E, E93)</f>
        <v>61228.75144</v>
      </c>
      <c r="M93" s="5" t="str">
        <f>AVERAGEIFS('Data Combined - all-runs'!$M:$M, 'Data Combined - all-runs'!$A:$A, A93,'Data Combined - all-runs'!$B:$B, B93,'Data Combined - all-runs'!$C:$C, C93, 'Data Combined - all-runs'!$D:$D, D93, 'Data Combined - all-runs'!$E:$E, E93)</f>
        <v>#DIV/0!</v>
      </c>
      <c r="N93" s="5">
        <f>AVERAGEIFS('Data Combined - all-runs'!$N:$N, 'Data Combined - all-runs'!$A:$A, A93,'Data Combined - all-runs'!$B:$B, B93,'Data Combined - all-runs'!$C:$C, C93, 'Data Combined - all-runs'!$D:$D, D93, 'Data Combined - all-runs'!$E:$E, E93)</f>
        <v>0</v>
      </c>
      <c r="O93" s="5">
        <f>AVERAGEIFS('Data Combined - all-runs'!$O:$O, 'Data Combined - all-runs'!$A:$A, A93,'Data Combined - all-runs'!$B:$B, B93,'Data Combined - all-runs'!$C:$C, C93, 'Data Combined - all-runs'!$D:$D, D93, 'Data Combined - all-runs'!$E:$E, E93)</f>
        <v>500</v>
      </c>
      <c r="P93" s="5">
        <f>AVERAGEIFS('Data Combined - all-runs'!$P:$P, 'Data Combined - all-runs'!$A:$A, A93,'Data Combined - all-runs'!$B:$B, B93,'Data Combined - all-runs'!$C:$C, C93, 'Data Combined - all-runs'!$D:$D, D93, 'Data Combined - all-runs'!$E:$E, E93)</f>
        <v>0</v>
      </c>
      <c r="Q93" s="5">
        <f>AVERAGEIFS('Data Combined - all-runs'!$Q:$Q, 'Data Combined - all-runs'!$A:$A, A93,'Data Combined - all-runs'!$B:$B, B93,'Data Combined - all-runs'!$C:$C, C93, 'Data Combined - all-runs'!$D:$D, D93, 'Data Combined - all-runs'!$E:$E, E93)</f>
        <v>2161</v>
      </c>
      <c r="R93" s="5" t="str">
        <f>AVERAGEIFS('Data Combined - all-runs'!$R:$R, 'Data Combined - all-runs'!$A:$A, A93,'Data Combined - all-runs'!$B:$B, B93,'Data Combined - all-runs'!$C:$C, C93, 'Data Combined - all-runs'!$D:$D, D93, 'Data Combined - all-runs'!$E:$E, E93)</f>
        <v>#DIV/0!</v>
      </c>
      <c r="S93" s="5">
        <f>AVERAGEIFS('Data Combined - all-runs'!$S:$S, 'Data Combined - all-runs'!$A:$A, A93,'Data Combined - all-runs'!$B:$B, B93,'Data Combined - all-runs'!$C:$C, C93, 'Data Combined - all-runs'!$D:$D, D93, 'Data Combined - all-runs'!$E:$E, E93)</f>
        <v>0.5</v>
      </c>
      <c r="T93" s="5" t="str">
        <f>AVERAGEIFS('Data Combined - all-runs'!$T:$T, 'Data Combined - all-runs'!$A:$A, A93,'Data Combined - all-runs'!$B:$B, B93,'Data Combined - all-runs'!$C:$C, C93, 'Data Combined - all-runs'!$D:$D, D93, 'Data Combined - all-runs'!$E:$E, E93)</f>
        <v>#DIV/0!</v>
      </c>
      <c r="U93" s="5" t="b">
        <f t="shared" si="1"/>
        <v>0</v>
      </c>
      <c r="V93" s="5" t="b">
        <f t="shared" si="2"/>
        <v>0</v>
      </c>
      <c r="W93" s="5" t="b">
        <f t="shared" si="3"/>
        <v>1</v>
      </c>
    </row>
    <row r="94">
      <c r="A94" s="2" t="s">
        <v>32</v>
      </c>
      <c r="B94" s="2" t="s">
        <v>114</v>
      </c>
      <c r="C94" s="2" t="s">
        <v>23</v>
      </c>
      <c r="D94" s="2" t="s">
        <v>64</v>
      </c>
      <c r="E94" s="2" t="s">
        <v>43</v>
      </c>
      <c r="H94" s="5">
        <f>AVERAGEIFS('Data Combined - all-runs'!$H:$H, 'Data Combined - all-runs'!$A:$A, A94,'Data Combined - all-runs'!$B:$B, B94,'Data Combined - all-runs'!$C:$C, C94, 'Data Combined - all-runs'!$D:$D, D94, 'Data Combined - all-runs'!$E:$E, E94)</f>
        <v>1103</v>
      </c>
      <c r="I94" s="5" t="str">
        <f>AVERAGEIFS('Data Combined - all-runs'!$I:$I, 'Data Combined - all-runs'!$A:$A, A94,'Data Combined - all-runs'!$B:$B, B94,'Data Combined - all-runs'!$C:$C, C94, 'Data Combined - all-runs'!$D:$D, D94, 'Data Combined - all-runs'!$E:$E, E94)</f>
        <v>#DIV/0!</v>
      </c>
      <c r="J94" s="5">
        <f>AVERAGEIFS('Data Combined - all-runs'!$J:$J, 'Data Combined - all-runs'!$A:$A, A94,'Data Combined - all-runs'!$B:$B, B94,'Data Combined - all-runs'!$C:$C, C94, 'Data Combined - all-runs'!$D:$D, D94, 'Data Combined - all-runs'!$E:$E, E94)</f>
        <v>0</v>
      </c>
      <c r="K94" s="5">
        <f>AVERAGEIFS('Data Combined - all-runs'!$K:$K, 'Data Combined - all-runs'!$A:$A, A94,'Data Combined - all-runs'!$B:$B, B94,'Data Combined - all-runs'!$C:$C, C94, 'Data Combined - all-runs'!$D:$D, D94, 'Data Combined - all-runs'!$E:$E, E94)</f>
        <v>0.08081486456</v>
      </c>
      <c r="L94" s="5">
        <f>AVERAGEIFS('Data Combined - all-runs'!$L:$L, 'Data Combined - all-runs'!$A:$A, A94,'Data Combined - all-runs'!$B:$B, B94,'Data Combined - all-runs'!$C:$C, C94, 'Data Combined - all-runs'!$D:$D, D94, 'Data Combined - all-runs'!$E:$E, E94)</f>
        <v>3480.113086</v>
      </c>
      <c r="M94" s="5">
        <f>AVERAGEIFS('Data Combined - all-runs'!$M:$M, 'Data Combined - all-runs'!$A:$A, A94,'Data Combined - all-runs'!$B:$B, B94,'Data Combined - all-runs'!$C:$C, C94, 'Data Combined - all-runs'!$D:$D, D94, 'Data Combined - all-runs'!$E:$E, E94)</f>
        <v>41</v>
      </c>
      <c r="N94" s="5">
        <f>AVERAGEIFS('Data Combined - all-runs'!$N:$N, 'Data Combined - all-runs'!$A:$A, A94,'Data Combined - all-runs'!$B:$B, B94,'Data Combined - all-runs'!$C:$C, C94, 'Data Combined - all-runs'!$D:$D, D94, 'Data Combined - all-runs'!$E:$E, E94)</f>
        <v>9</v>
      </c>
      <c r="O94" s="5">
        <f>AVERAGEIFS('Data Combined - all-runs'!$O:$O, 'Data Combined - all-runs'!$A:$A, A94,'Data Combined - all-runs'!$B:$B, B94,'Data Combined - all-runs'!$C:$C, C94, 'Data Combined - all-runs'!$D:$D, D94, 'Data Combined - all-runs'!$E:$E, E94)</f>
        <v>1489</v>
      </c>
      <c r="P94" s="5">
        <f>AVERAGEIFS('Data Combined - all-runs'!$P:$P, 'Data Combined - all-runs'!$A:$A, A94,'Data Combined - all-runs'!$B:$B, B94,'Data Combined - all-runs'!$C:$C, C94, 'Data Combined - all-runs'!$D:$D, D94, 'Data Combined - all-runs'!$E:$E, E94)</f>
        <v>6.04432505</v>
      </c>
      <c r="Q94" s="5">
        <f>AVERAGEIFS('Data Combined - all-runs'!$Q:$Q, 'Data Combined - all-runs'!$A:$A, A94,'Data Combined - all-runs'!$B:$B, B94,'Data Combined - all-runs'!$C:$C, C94, 'Data Combined - all-runs'!$D:$D, D94, 'Data Combined - all-runs'!$E:$E, E94)</f>
        <v>740.7656145</v>
      </c>
      <c r="R94" s="5">
        <f>AVERAGEIFS('Data Combined - all-runs'!$R:$R, 'Data Combined - all-runs'!$A:$A, A94,'Data Combined - all-runs'!$B:$B, B94,'Data Combined - all-runs'!$C:$C, C94, 'Data Combined - all-runs'!$D:$D, D94, 'Data Combined - all-runs'!$E:$E, E94)</f>
        <v>122.5555556</v>
      </c>
      <c r="S94" s="5">
        <f>AVERAGEIFS('Data Combined - all-runs'!$S:$S, 'Data Combined - all-runs'!$A:$A, A94,'Data Combined - all-runs'!$B:$B, B94,'Data Combined - all-runs'!$C:$C, C94, 'Data Combined - all-runs'!$D:$D, D94, 'Data Combined - all-runs'!$E:$E, E94)</f>
        <v>0</v>
      </c>
      <c r="T94" s="5" t="str">
        <f>AVERAGEIFS('Data Combined - all-runs'!$T:$T, 'Data Combined - all-runs'!$A:$A, A94,'Data Combined - all-runs'!$B:$B, B94,'Data Combined - all-runs'!$C:$C, C94, 'Data Combined - all-runs'!$D:$D, D94, 'Data Combined - all-runs'!$E:$E, E94)</f>
        <v>#DIV/0!</v>
      </c>
      <c r="U94" s="5" t="b">
        <f t="shared" si="1"/>
        <v>0</v>
      </c>
      <c r="V94" s="5" t="b">
        <f t="shared" si="2"/>
        <v>0</v>
      </c>
      <c r="W94" s="5" t="b">
        <f t="shared" si="3"/>
        <v>1</v>
      </c>
    </row>
    <row r="95">
      <c r="A95" s="2" t="s">
        <v>32</v>
      </c>
      <c r="B95" s="2" t="s">
        <v>114</v>
      </c>
      <c r="C95" s="2" t="s">
        <v>23</v>
      </c>
      <c r="D95" s="2" t="s">
        <v>64</v>
      </c>
      <c r="E95" s="2" t="s">
        <v>34</v>
      </c>
      <c r="H95" s="5">
        <f>AVERAGEIFS('Data Combined - all-runs'!$H:$H, 'Data Combined - all-runs'!$A:$A, A95,'Data Combined - all-runs'!$B:$B, B95,'Data Combined - all-runs'!$C:$C, C95, 'Data Combined - all-runs'!$D:$D, D95, 'Data Combined - all-runs'!$E:$E, E95)</f>
        <v>934</v>
      </c>
      <c r="I95" s="5" t="str">
        <f>AVERAGEIFS('Data Combined - all-runs'!$I:$I, 'Data Combined - all-runs'!$A:$A, A95,'Data Combined - all-runs'!$B:$B, B95,'Data Combined - all-runs'!$C:$C, C95, 'Data Combined - all-runs'!$D:$D, D95, 'Data Combined - all-runs'!$E:$E, E95)</f>
        <v>#DIV/0!</v>
      </c>
      <c r="J95" s="5">
        <f>AVERAGEIFS('Data Combined - all-runs'!$J:$J, 'Data Combined - all-runs'!$A:$A, A95,'Data Combined - all-runs'!$B:$B, B95,'Data Combined - all-runs'!$C:$C, C95, 'Data Combined - all-runs'!$D:$D, D95, 'Data Combined - all-runs'!$E:$E, E95)</f>
        <v>0</v>
      </c>
      <c r="K95" s="5">
        <f>AVERAGEIFS('Data Combined - all-runs'!$K:$K, 'Data Combined - all-runs'!$A:$A, A95,'Data Combined - all-runs'!$B:$B, B95,'Data Combined - all-runs'!$C:$C, C95, 'Data Combined - all-runs'!$D:$D, D95, 'Data Combined - all-runs'!$E:$E, E95)</f>
        <v>0.148970399</v>
      </c>
      <c r="L95" s="5">
        <f>AVERAGEIFS('Data Combined - all-runs'!$L:$L, 'Data Combined - all-runs'!$A:$A, A95,'Data Combined - all-runs'!$B:$B, B95,'Data Combined - all-runs'!$C:$C, C95, 'Data Combined - all-runs'!$D:$D, D95, 'Data Combined - all-runs'!$E:$E, E95)</f>
        <v>2821.087725</v>
      </c>
      <c r="M95" s="5">
        <f>AVERAGEIFS('Data Combined - all-runs'!$M:$M, 'Data Combined - all-runs'!$A:$A, A95,'Data Combined - all-runs'!$B:$B, B95,'Data Combined - all-runs'!$C:$C, C95, 'Data Combined - all-runs'!$D:$D, D95, 'Data Combined - all-runs'!$E:$E, E95)</f>
        <v>24</v>
      </c>
      <c r="N95" s="5">
        <f>AVERAGEIFS('Data Combined - all-runs'!$N:$N, 'Data Combined - all-runs'!$A:$A, A95,'Data Combined - all-runs'!$B:$B, B95,'Data Combined - all-runs'!$C:$C, C95, 'Data Combined - all-runs'!$D:$D, D95, 'Data Combined - all-runs'!$E:$E, E95)</f>
        <v>4</v>
      </c>
      <c r="O95" s="5">
        <f>AVERAGEIFS('Data Combined - all-runs'!$O:$O, 'Data Combined - all-runs'!$A:$A, A95,'Data Combined - all-runs'!$B:$B, B95,'Data Combined - all-runs'!$C:$C, C95, 'Data Combined - all-runs'!$D:$D, D95, 'Data Combined - all-runs'!$E:$E, E95)</f>
        <v>1036</v>
      </c>
      <c r="P95" s="5">
        <f>AVERAGEIFS('Data Combined - all-runs'!$P:$P, 'Data Combined - all-runs'!$A:$A, A95,'Data Combined - all-runs'!$B:$B, B95,'Data Combined - all-runs'!$C:$C, C95, 'Data Combined - all-runs'!$D:$D, D95, 'Data Combined - all-runs'!$E:$E, E95)</f>
        <v>3.861003861</v>
      </c>
      <c r="Q95" s="5">
        <f>AVERAGEIFS('Data Combined - all-runs'!$Q:$Q, 'Data Combined - all-runs'!$A:$A, A95,'Data Combined - all-runs'!$B:$B, B95,'Data Combined - all-runs'!$C:$C, C95, 'Data Combined - all-runs'!$D:$D, D95, 'Data Combined - all-runs'!$E:$E, E95)</f>
        <v>901.5444015</v>
      </c>
      <c r="R95" s="5">
        <f>AVERAGEIFS('Data Combined - all-runs'!$R:$R, 'Data Combined - all-runs'!$A:$A, A95,'Data Combined - all-runs'!$B:$B, B95,'Data Combined - all-runs'!$C:$C, C95, 'Data Combined - all-runs'!$D:$D, D95, 'Data Combined - all-runs'!$E:$E, E95)</f>
        <v>233.5</v>
      </c>
      <c r="S95" s="5">
        <f>AVERAGEIFS('Data Combined - all-runs'!$S:$S, 'Data Combined - all-runs'!$A:$A, A95,'Data Combined - all-runs'!$B:$B, B95,'Data Combined - all-runs'!$C:$C, C95, 'Data Combined - all-runs'!$D:$D, D95, 'Data Combined - all-runs'!$E:$E, E95)</f>
        <v>0</v>
      </c>
      <c r="T95" s="5" t="str">
        <f>AVERAGEIFS('Data Combined - all-runs'!$T:$T, 'Data Combined - all-runs'!$A:$A, A95,'Data Combined - all-runs'!$B:$B, B95,'Data Combined - all-runs'!$C:$C, C95, 'Data Combined - all-runs'!$D:$D, D95, 'Data Combined - all-runs'!$E:$E, E95)</f>
        <v>#DIV/0!</v>
      </c>
      <c r="U95" s="5" t="b">
        <f t="shared" si="1"/>
        <v>0</v>
      </c>
      <c r="V95" s="5" t="b">
        <f t="shared" si="2"/>
        <v>0</v>
      </c>
      <c r="W95" s="5" t="b">
        <f t="shared" si="3"/>
        <v>1</v>
      </c>
    </row>
    <row r="96">
      <c r="A96" s="2" t="s">
        <v>32</v>
      </c>
      <c r="B96" s="2" t="s">
        <v>114</v>
      </c>
      <c r="C96" s="2" t="s">
        <v>23</v>
      </c>
      <c r="D96" s="2" t="s">
        <v>64</v>
      </c>
      <c r="E96" s="2" t="s">
        <v>47</v>
      </c>
      <c r="H96" s="5">
        <f>AVERAGEIFS('Data Combined - all-runs'!$H:$H, 'Data Combined - all-runs'!$A:$A, A96,'Data Combined - all-runs'!$B:$B, B96,'Data Combined - all-runs'!$C:$C, C96, 'Data Combined - all-runs'!$D:$D, D96, 'Data Combined - all-runs'!$E:$E, E96)</f>
        <v>2594.5</v>
      </c>
      <c r="I96" s="5" t="str">
        <f>AVERAGEIFS('Data Combined - all-runs'!$I:$I, 'Data Combined - all-runs'!$A:$A, A96,'Data Combined - all-runs'!$B:$B, B96,'Data Combined - all-runs'!$C:$C, C96, 'Data Combined - all-runs'!$D:$D, D96, 'Data Combined - all-runs'!$E:$E, E96)</f>
        <v>#DIV/0!</v>
      </c>
      <c r="J96" s="5">
        <f>AVERAGEIFS('Data Combined - all-runs'!$J:$J, 'Data Combined - all-runs'!$A:$A, A96,'Data Combined - all-runs'!$B:$B, B96,'Data Combined - all-runs'!$C:$C, C96, 'Data Combined - all-runs'!$D:$D, D96, 'Data Combined - all-runs'!$E:$E, E96)</f>
        <v>2000</v>
      </c>
      <c r="K96" s="5">
        <f>AVERAGEIFS('Data Combined - all-runs'!$K:$K, 'Data Combined - all-runs'!$A:$A, A96,'Data Combined - all-runs'!$B:$B, B96,'Data Combined - all-runs'!$C:$C, C96, 'Data Combined - all-runs'!$D:$D, D96, 'Data Combined - all-runs'!$E:$E, E96)</f>
        <v>0.05879171817</v>
      </c>
      <c r="L96" s="5">
        <f>AVERAGEIFS('Data Combined - all-runs'!$L:$L, 'Data Combined - all-runs'!$A:$A, A96,'Data Combined - all-runs'!$B:$B, B96,'Data Combined - all-runs'!$C:$C, C96, 'Data Combined - all-runs'!$D:$D, D96, 'Data Combined - all-runs'!$E:$E, E96)</f>
        <v>123375.1656</v>
      </c>
      <c r="M96" s="5">
        <f>AVERAGEIFS('Data Combined - all-runs'!$M:$M, 'Data Combined - all-runs'!$A:$A, A96,'Data Combined - all-runs'!$B:$B, B96,'Data Combined - all-runs'!$C:$C, C96, 'Data Combined - all-runs'!$D:$D, D96, 'Data Combined - all-runs'!$E:$E, E96)</f>
        <v>46</v>
      </c>
      <c r="N96" s="5">
        <f>AVERAGEIFS('Data Combined - all-runs'!$N:$N, 'Data Combined - all-runs'!$A:$A, A96,'Data Combined - all-runs'!$B:$B, B96,'Data Combined - all-runs'!$C:$C, C96, 'Data Combined - all-runs'!$D:$D, D96, 'Data Combined - all-runs'!$E:$E, E96)</f>
        <v>3</v>
      </c>
      <c r="O96" s="5">
        <f>AVERAGEIFS('Data Combined - all-runs'!$O:$O, 'Data Combined - all-runs'!$A:$A, A96,'Data Combined - all-runs'!$B:$B, B96,'Data Combined - all-runs'!$C:$C, C96, 'Data Combined - all-runs'!$D:$D, D96, 'Data Combined - all-runs'!$E:$E, E96)</f>
        <v>654.5</v>
      </c>
      <c r="P96" s="5">
        <f>AVERAGEIFS('Data Combined - all-runs'!$P:$P, 'Data Combined - all-runs'!$A:$A, A96,'Data Combined - all-runs'!$B:$B, B96,'Data Combined - all-runs'!$C:$C, C96, 'Data Combined - all-runs'!$D:$D, D96, 'Data Combined - all-runs'!$E:$E, E96)</f>
        <v>3.708281829</v>
      </c>
      <c r="Q96" s="5">
        <f>AVERAGEIFS('Data Combined - all-runs'!$Q:$Q, 'Data Combined - all-runs'!$A:$A, A96,'Data Combined - all-runs'!$B:$B, B96,'Data Combined - all-runs'!$C:$C, C96, 'Data Combined - all-runs'!$D:$D, D96, 'Data Combined - all-runs'!$E:$E, E96)</f>
        <v>4734.857849</v>
      </c>
      <c r="R96" s="5">
        <f>AVERAGEIFS('Data Combined - all-runs'!$R:$R, 'Data Combined - all-runs'!$A:$A, A96,'Data Combined - all-runs'!$B:$B, B96,'Data Combined - all-runs'!$C:$C, C96, 'Data Combined - all-runs'!$D:$D, D96, 'Data Combined - all-runs'!$E:$E, E96)</f>
        <v>198.1666667</v>
      </c>
      <c r="S96" s="5">
        <f>AVERAGEIFS('Data Combined - all-runs'!$S:$S, 'Data Combined - all-runs'!$A:$A, A96,'Data Combined - all-runs'!$B:$B, B96,'Data Combined - all-runs'!$C:$C, C96, 'Data Combined - all-runs'!$D:$D, D96, 'Data Combined - all-runs'!$E:$E, E96)</f>
        <v>0.5</v>
      </c>
      <c r="T96" s="5" t="str">
        <f>AVERAGEIFS('Data Combined - all-runs'!$T:$T, 'Data Combined - all-runs'!$A:$A, A96,'Data Combined - all-runs'!$B:$B, B96,'Data Combined - all-runs'!$C:$C, C96, 'Data Combined - all-runs'!$D:$D, D96, 'Data Combined - all-runs'!$E:$E, E96)</f>
        <v>#DIV/0!</v>
      </c>
      <c r="U96" s="5" t="b">
        <f t="shared" si="1"/>
        <v>0</v>
      </c>
      <c r="V96" s="5" t="b">
        <f t="shared" si="2"/>
        <v>0</v>
      </c>
      <c r="W96" s="5" t="b">
        <f t="shared" si="3"/>
        <v>1</v>
      </c>
    </row>
    <row r="97">
      <c r="A97" s="2" t="s">
        <v>32</v>
      </c>
      <c r="B97" s="2" t="s">
        <v>114</v>
      </c>
      <c r="C97" s="2" t="s">
        <v>23</v>
      </c>
      <c r="D97" s="2" t="s">
        <v>64</v>
      </c>
      <c r="E97" s="2" t="s">
        <v>51</v>
      </c>
      <c r="H97" s="5">
        <f>AVERAGEIFS('Data Combined - all-runs'!$H:$H, 'Data Combined - all-runs'!$A:$A, A97,'Data Combined - all-runs'!$B:$B, B97,'Data Combined - all-runs'!$C:$C, C97, 'Data Combined - all-runs'!$D:$D, D97, 'Data Combined - all-runs'!$E:$E, E97)</f>
        <v>835</v>
      </c>
      <c r="I97" s="5" t="str">
        <f>AVERAGEIFS('Data Combined - all-runs'!$I:$I, 'Data Combined - all-runs'!$A:$A, A97,'Data Combined - all-runs'!$B:$B, B97,'Data Combined - all-runs'!$C:$C, C97, 'Data Combined - all-runs'!$D:$D, D97, 'Data Combined - all-runs'!$E:$E, E97)</f>
        <v>#DIV/0!</v>
      </c>
      <c r="J97" s="5">
        <f>AVERAGEIFS('Data Combined - all-runs'!$J:$J, 'Data Combined - all-runs'!$A:$A, A97,'Data Combined - all-runs'!$B:$B, B97,'Data Combined - all-runs'!$C:$C, C97, 'Data Combined - all-runs'!$D:$D, D97, 'Data Combined - all-runs'!$E:$E, E97)</f>
        <v>0</v>
      </c>
      <c r="K97" s="5">
        <f>AVERAGEIFS('Data Combined - all-runs'!$K:$K, 'Data Combined - all-runs'!$A:$A, A97,'Data Combined - all-runs'!$B:$B, B97,'Data Combined - all-runs'!$C:$C, C97, 'Data Combined - all-runs'!$D:$D, D97, 'Data Combined - all-runs'!$E:$E, E97)</f>
        <v>0.06427444795</v>
      </c>
      <c r="L97" s="5">
        <f>AVERAGEIFS('Data Combined - all-runs'!$L:$L, 'Data Combined - all-runs'!$A:$A, A97,'Data Combined - all-runs'!$B:$B, B97,'Data Combined - all-runs'!$C:$C, C97, 'Data Combined - all-runs'!$D:$D, D97, 'Data Combined - all-runs'!$E:$E, E97)</f>
        <v>3436.203079</v>
      </c>
      <c r="M97" s="5">
        <f>AVERAGEIFS('Data Combined - all-runs'!$M:$M, 'Data Combined - all-runs'!$A:$A, A97,'Data Combined - all-runs'!$B:$B, B97,'Data Combined - all-runs'!$C:$C, C97, 'Data Combined - all-runs'!$D:$D, D97, 'Data Combined - all-runs'!$E:$E, E97)</f>
        <v>40</v>
      </c>
      <c r="N97" s="5">
        <f>AVERAGEIFS('Data Combined - all-runs'!$N:$N, 'Data Combined - all-runs'!$A:$A, A97,'Data Combined - all-runs'!$B:$B, B97,'Data Combined - all-runs'!$C:$C, C97, 'Data Combined - all-runs'!$D:$D, D97, 'Data Combined - all-runs'!$E:$E, E97)</f>
        <v>6</v>
      </c>
      <c r="O97" s="5">
        <f>AVERAGEIFS('Data Combined - all-runs'!$O:$O, 'Data Combined - all-runs'!$A:$A, A97,'Data Combined - all-runs'!$B:$B, B97,'Data Combined - all-runs'!$C:$C, C97, 'Data Combined - all-runs'!$D:$D, D97, 'Data Combined - all-runs'!$E:$E, E97)</f>
        <v>951</v>
      </c>
      <c r="P97" s="5">
        <f>AVERAGEIFS('Data Combined - all-runs'!$P:$P, 'Data Combined - all-runs'!$A:$A, A97,'Data Combined - all-runs'!$B:$B, B97,'Data Combined - all-runs'!$C:$C, C97, 'Data Combined - all-runs'!$D:$D, D97, 'Data Combined - all-runs'!$E:$E, E97)</f>
        <v>6.309148265</v>
      </c>
      <c r="Q97" s="5">
        <f>AVERAGEIFS('Data Combined - all-runs'!$Q:$Q, 'Data Combined - all-runs'!$A:$A, A97,'Data Combined - all-runs'!$B:$B, B97,'Data Combined - all-runs'!$C:$C, C97, 'Data Combined - all-runs'!$D:$D, D97, 'Data Combined - all-runs'!$E:$E, E97)</f>
        <v>878.0231335</v>
      </c>
      <c r="R97" s="5">
        <f>AVERAGEIFS('Data Combined - all-runs'!$R:$R, 'Data Combined - all-runs'!$A:$A, A97,'Data Combined - all-runs'!$B:$B, B97,'Data Combined - all-runs'!$C:$C, C97, 'Data Combined - all-runs'!$D:$D, D97, 'Data Combined - all-runs'!$E:$E, E97)</f>
        <v>139.1666667</v>
      </c>
      <c r="S97" s="5">
        <f>AVERAGEIFS('Data Combined - all-runs'!$S:$S, 'Data Combined - all-runs'!$A:$A, A97,'Data Combined - all-runs'!$B:$B, B97,'Data Combined - all-runs'!$C:$C, C97, 'Data Combined - all-runs'!$D:$D, D97, 'Data Combined - all-runs'!$E:$E, E97)</f>
        <v>0</v>
      </c>
      <c r="T97" s="5" t="str">
        <f>AVERAGEIFS('Data Combined - all-runs'!$T:$T, 'Data Combined - all-runs'!$A:$A, A97,'Data Combined - all-runs'!$B:$B, B97,'Data Combined - all-runs'!$C:$C, C97, 'Data Combined - all-runs'!$D:$D, D97, 'Data Combined - all-runs'!$E:$E, E97)</f>
        <v>#DIV/0!</v>
      </c>
      <c r="U97" s="5" t="b">
        <f t="shared" si="1"/>
        <v>0</v>
      </c>
      <c r="V97" s="5" t="b">
        <f t="shared" si="2"/>
        <v>0</v>
      </c>
      <c r="W97" s="5" t="b">
        <f t="shared" si="3"/>
        <v>1</v>
      </c>
    </row>
    <row r="98">
      <c r="A98" s="2" t="s">
        <v>32</v>
      </c>
      <c r="B98" s="2" t="s">
        <v>114</v>
      </c>
      <c r="C98" s="2" t="s">
        <v>23</v>
      </c>
      <c r="D98" s="2" t="s">
        <v>102</v>
      </c>
      <c r="E98" s="2" t="s">
        <v>25</v>
      </c>
      <c r="H98" s="5">
        <f>AVERAGEIFS('Data Combined - all-runs'!$H:$H, 'Data Combined - all-runs'!$A:$A, A98,'Data Combined - all-runs'!$B:$B, B98,'Data Combined - all-runs'!$C:$C, C98, 'Data Combined - all-runs'!$D:$D, D98, 'Data Combined - all-runs'!$E:$E, E98)</f>
        <v>95</v>
      </c>
      <c r="I98" s="5" t="str">
        <f>AVERAGEIFS('Data Combined - all-runs'!$I:$I, 'Data Combined - all-runs'!$A:$A, A98,'Data Combined - all-runs'!$B:$B, B98,'Data Combined - all-runs'!$C:$C, C98, 'Data Combined - all-runs'!$D:$D, D98, 'Data Combined - all-runs'!$E:$E, E98)</f>
        <v>#DIV/0!</v>
      </c>
      <c r="J98" s="5">
        <f>AVERAGEIFS('Data Combined - all-runs'!$J:$J, 'Data Combined - all-runs'!$A:$A, A98,'Data Combined - all-runs'!$B:$B, B98,'Data Combined - all-runs'!$C:$C, C98, 'Data Combined - all-runs'!$D:$D, D98, 'Data Combined - all-runs'!$E:$E, E98)</f>
        <v>0</v>
      </c>
      <c r="K98" s="5">
        <f>AVERAGEIFS('Data Combined - all-runs'!$K:$K, 'Data Combined - all-runs'!$A:$A, A98,'Data Combined - all-runs'!$B:$B, B98,'Data Combined - all-runs'!$C:$C, C98, 'Data Combined - all-runs'!$D:$D, D98, 'Data Combined - all-runs'!$E:$E, E98)</f>
        <v>0.1196261682</v>
      </c>
      <c r="L98" s="5">
        <f>AVERAGEIFS('Data Combined - all-runs'!$L:$L, 'Data Combined - all-runs'!$A:$A, A98,'Data Combined - all-runs'!$B:$B, B98,'Data Combined - all-runs'!$C:$C, C98, 'Data Combined - all-runs'!$D:$D, D98, 'Data Combined - all-runs'!$E:$E, E98)</f>
        <v>404.2197306</v>
      </c>
      <c r="M98" s="5">
        <f>AVERAGEIFS('Data Combined - all-runs'!$M:$M, 'Data Combined - all-runs'!$A:$A, A98,'Data Combined - all-runs'!$B:$B, B98,'Data Combined - all-runs'!$C:$C, C98, 'Data Combined - all-runs'!$D:$D, D98, 'Data Combined - all-runs'!$E:$E, E98)</f>
        <v>35</v>
      </c>
      <c r="N98" s="5">
        <f>AVERAGEIFS('Data Combined - all-runs'!$N:$N, 'Data Combined - all-runs'!$A:$A, A98,'Data Combined - all-runs'!$B:$B, B98,'Data Combined - all-runs'!$C:$C, C98, 'Data Combined - all-runs'!$D:$D, D98, 'Data Combined - all-runs'!$E:$E, E98)</f>
        <v>1</v>
      </c>
      <c r="O98" s="5">
        <f>AVERAGEIFS('Data Combined - all-runs'!$O:$O, 'Data Combined - all-runs'!$A:$A, A98,'Data Combined - all-runs'!$B:$B, B98,'Data Combined - all-runs'!$C:$C, C98, 'Data Combined - all-runs'!$D:$D, D98, 'Data Combined - all-runs'!$E:$E, E98)</f>
        <v>535</v>
      </c>
      <c r="P98" s="5">
        <f>AVERAGEIFS('Data Combined - all-runs'!$P:$P, 'Data Combined - all-runs'!$A:$A, A98,'Data Combined - all-runs'!$B:$B, B98,'Data Combined - all-runs'!$C:$C, C98, 'Data Combined - all-runs'!$D:$D, D98, 'Data Combined - all-runs'!$E:$E, E98)</f>
        <v>1.869158879</v>
      </c>
      <c r="Q98" s="5">
        <f>AVERAGEIFS('Data Combined - all-runs'!$Q:$Q, 'Data Combined - all-runs'!$A:$A, A98,'Data Combined - all-runs'!$B:$B, B98,'Data Combined - all-runs'!$C:$C, C98, 'Data Combined - all-runs'!$D:$D, D98, 'Data Combined - all-runs'!$E:$E, E98)</f>
        <v>177.5700935</v>
      </c>
      <c r="R98" s="5">
        <f>AVERAGEIFS('Data Combined - all-runs'!$R:$R, 'Data Combined - all-runs'!$A:$A, A98,'Data Combined - all-runs'!$B:$B, B98,'Data Combined - all-runs'!$C:$C, C98, 'Data Combined - all-runs'!$D:$D, D98, 'Data Combined - all-runs'!$E:$E, E98)</f>
        <v>95</v>
      </c>
      <c r="S98" s="5">
        <f>AVERAGEIFS('Data Combined - all-runs'!$S:$S, 'Data Combined - all-runs'!$A:$A, A98,'Data Combined - all-runs'!$B:$B, B98,'Data Combined - all-runs'!$C:$C, C98, 'Data Combined - all-runs'!$D:$D, D98, 'Data Combined - all-runs'!$E:$E, E98)</f>
        <v>0</v>
      </c>
      <c r="T98" s="5" t="str">
        <f>AVERAGEIFS('Data Combined - all-runs'!$T:$T, 'Data Combined - all-runs'!$A:$A, A98,'Data Combined - all-runs'!$B:$B, B98,'Data Combined - all-runs'!$C:$C, C98, 'Data Combined - all-runs'!$D:$D, D98, 'Data Combined - all-runs'!$E:$E, E98)</f>
        <v>#DIV/0!</v>
      </c>
      <c r="U98" s="5" t="b">
        <f t="shared" si="1"/>
        <v>0</v>
      </c>
      <c r="V98" s="5" t="b">
        <f t="shared" si="2"/>
        <v>0</v>
      </c>
      <c r="W98" s="5" t="b">
        <f t="shared" si="3"/>
        <v>1</v>
      </c>
    </row>
    <row r="99">
      <c r="A99" s="2" t="s">
        <v>32</v>
      </c>
      <c r="B99" s="2" t="s">
        <v>114</v>
      </c>
      <c r="C99" s="2" t="s">
        <v>23</v>
      </c>
      <c r="D99" s="2" t="s">
        <v>102</v>
      </c>
      <c r="E99" s="2" t="s">
        <v>39</v>
      </c>
      <c r="H99" s="5">
        <f>AVERAGEIFS('Data Combined - all-runs'!$H:$H, 'Data Combined - all-runs'!$A:$A, A99,'Data Combined - all-runs'!$B:$B, B99,'Data Combined - all-runs'!$C:$C, C99, 'Data Combined - all-runs'!$D:$D, D99, 'Data Combined - all-runs'!$E:$E, E99)</f>
        <v>207</v>
      </c>
      <c r="I99" s="5" t="str">
        <f>AVERAGEIFS('Data Combined - all-runs'!$I:$I, 'Data Combined - all-runs'!$A:$A, A99,'Data Combined - all-runs'!$B:$B, B99,'Data Combined - all-runs'!$C:$C, C99, 'Data Combined - all-runs'!$D:$D, D99, 'Data Combined - all-runs'!$E:$E, E99)</f>
        <v>#DIV/0!</v>
      </c>
      <c r="J99" s="5">
        <f>AVERAGEIFS('Data Combined - all-runs'!$J:$J, 'Data Combined - all-runs'!$A:$A, A99,'Data Combined - all-runs'!$B:$B, B99,'Data Combined - all-runs'!$C:$C, C99, 'Data Combined - all-runs'!$D:$D, D99, 'Data Combined - all-runs'!$E:$E, E99)</f>
        <v>0</v>
      </c>
      <c r="K99" s="5">
        <f>AVERAGEIFS('Data Combined - all-runs'!$K:$K, 'Data Combined - all-runs'!$A:$A, A99,'Data Combined - all-runs'!$B:$B, B99,'Data Combined - all-runs'!$C:$C, C99, 'Data Combined - all-runs'!$D:$D, D99, 'Data Combined - all-runs'!$E:$E, E99)</f>
        <v>0.1070804196</v>
      </c>
      <c r="L99" s="5">
        <f>AVERAGEIFS('Data Combined - all-runs'!$L:$L, 'Data Combined - all-runs'!$A:$A, A99,'Data Combined - all-runs'!$B:$B, B99,'Data Combined - all-runs'!$C:$C, C99, 'Data Combined - all-runs'!$D:$D, D99, 'Data Combined - all-runs'!$E:$E, E99)</f>
        <v>1125.119814</v>
      </c>
      <c r="M99" s="5">
        <f>AVERAGEIFS('Data Combined - all-runs'!$M:$M, 'Data Combined - all-runs'!$A:$A, A99,'Data Combined - all-runs'!$B:$B, B99,'Data Combined - all-runs'!$C:$C, C99, 'Data Combined - all-runs'!$D:$D, D99, 'Data Combined - all-runs'!$E:$E, E99)</f>
        <v>72</v>
      </c>
      <c r="N99" s="5">
        <f>AVERAGEIFS('Data Combined - all-runs'!$N:$N, 'Data Combined - all-runs'!$A:$A, A99,'Data Combined - all-runs'!$B:$B, B99,'Data Combined - all-runs'!$C:$C, C99, 'Data Combined - all-runs'!$D:$D, D99, 'Data Combined - all-runs'!$E:$E, E99)</f>
        <v>1</v>
      </c>
      <c r="O99" s="5">
        <f>AVERAGEIFS('Data Combined - all-runs'!$O:$O, 'Data Combined - all-runs'!$A:$A, A99,'Data Combined - all-runs'!$B:$B, B99,'Data Combined - all-runs'!$C:$C, C99, 'Data Combined - all-runs'!$D:$D, D99, 'Data Combined - all-runs'!$E:$E, E99)</f>
        <v>572</v>
      </c>
      <c r="P99" s="5">
        <f>AVERAGEIFS('Data Combined - all-runs'!$P:$P, 'Data Combined - all-runs'!$A:$A, A99,'Data Combined - all-runs'!$B:$B, B99,'Data Combined - all-runs'!$C:$C, C99, 'Data Combined - all-runs'!$D:$D, D99, 'Data Combined - all-runs'!$E:$E, E99)</f>
        <v>1.748251748</v>
      </c>
      <c r="Q99" s="5">
        <f>AVERAGEIFS('Data Combined - all-runs'!$Q:$Q, 'Data Combined - all-runs'!$A:$A, A99,'Data Combined - all-runs'!$B:$B, B99,'Data Combined - all-runs'!$C:$C, C99, 'Data Combined - all-runs'!$D:$D, D99, 'Data Combined - all-runs'!$E:$E, E99)</f>
        <v>361.8881119</v>
      </c>
      <c r="R99" s="5">
        <f>AVERAGEIFS('Data Combined - all-runs'!$R:$R, 'Data Combined - all-runs'!$A:$A, A99,'Data Combined - all-runs'!$B:$B, B99,'Data Combined - all-runs'!$C:$C, C99, 'Data Combined - all-runs'!$D:$D, D99, 'Data Combined - all-runs'!$E:$E, E99)</f>
        <v>207</v>
      </c>
      <c r="S99" s="5">
        <f>AVERAGEIFS('Data Combined - all-runs'!$S:$S, 'Data Combined - all-runs'!$A:$A, A99,'Data Combined - all-runs'!$B:$B, B99,'Data Combined - all-runs'!$C:$C, C99, 'Data Combined - all-runs'!$D:$D, D99, 'Data Combined - all-runs'!$E:$E, E99)</f>
        <v>0</v>
      </c>
      <c r="T99" s="5" t="str">
        <f>AVERAGEIFS('Data Combined - all-runs'!$T:$T, 'Data Combined - all-runs'!$A:$A, A99,'Data Combined - all-runs'!$B:$B, B99,'Data Combined - all-runs'!$C:$C, C99, 'Data Combined - all-runs'!$D:$D, D99, 'Data Combined - all-runs'!$E:$E, E99)</f>
        <v>#DIV/0!</v>
      </c>
      <c r="U99" s="5" t="b">
        <f t="shared" si="1"/>
        <v>0</v>
      </c>
      <c r="V99" s="5" t="b">
        <f t="shared" si="2"/>
        <v>0</v>
      </c>
      <c r="W99" s="5" t="b">
        <f t="shared" si="3"/>
        <v>1</v>
      </c>
    </row>
    <row r="100">
      <c r="A100" s="2" t="s">
        <v>32</v>
      </c>
      <c r="B100" s="2" t="s">
        <v>114</v>
      </c>
      <c r="C100" s="2" t="s">
        <v>23</v>
      </c>
      <c r="D100" s="2" t="s">
        <v>102</v>
      </c>
      <c r="E100" s="2" t="s">
        <v>43</v>
      </c>
      <c r="H100" s="5">
        <f>AVERAGEIFS('Data Combined - all-runs'!$H:$H, 'Data Combined - all-runs'!$A:$A, A100,'Data Combined - all-runs'!$B:$B, B100,'Data Combined - all-runs'!$C:$C, C100, 'Data Combined - all-runs'!$D:$D, D100, 'Data Combined - all-runs'!$E:$E, E100)</f>
        <v>1084</v>
      </c>
      <c r="I100" s="5" t="str">
        <f>AVERAGEIFS('Data Combined - all-runs'!$I:$I, 'Data Combined - all-runs'!$A:$A, A100,'Data Combined - all-runs'!$B:$B, B100,'Data Combined - all-runs'!$C:$C, C100, 'Data Combined - all-runs'!$D:$D, D100, 'Data Combined - all-runs'!$E:$E, E100)</f>
        <v>#DIV/0!</v>
      </c>
      <c r="J100" s="5">
        <f>AVERAGEIFS('Data Combined - all-runs'!$J:$J, 'Data Combined - all-runs'!$A:$A, A100,'Data Combined - all-runs'!$B:$B, B100,'Data Combined - all-runs'!$C:$C, C100, 'Data Combined - all-runs'!$D:$D, D100, 'Data Combined - all-runs'!$E:$E, E100)</f>
        <v>0</v>
      </c>
      <c r="K100" s="5">
        <f>AVERAGEIFS('Data Combined - all-runs'!$K:$K, 'Data Combined - all-runs'!$A:$A, A100,'Data Combined - all-runs'!$B:$B, B100,'Data Combined - all-runs'!$C:$C, C100, 'Data Combined - all-runs'!$D:$D, D100, 'Data Combined - all-runs'!$E:$E, E100)</f>
        <v>0.08604536489</v>
      </c>
      <c r="L100" s="5">
        <f>AVERAGEIFS('Data Combined - all-runs'!$L:$L, 'Data Combined - all-runs'!$A:$A, A100,'Data Combined - all-runs'!$B:$B, B100,'Data Combined - all-runs'!$C:$C, C100, 'Data Combined - all-runs'!$D:$D, D100, 'Data Combined - all-runs'!$E:$E, E100)</f>
        <v>7388.734601</v>
      </c>
      <c r="M100" s="5">
        <f>AVERAGEIFS('Data Combined - all-runs'!$M:$M, 'Data Combined - all-runs'!$A:$A, A100,'Data Combined - all-runs'!$B:$B, B100,'Data Combined - all-runs'!$C:$C, C100, 'Data Combined - all-runs'!$D:$D, D100, 'Data Combined - all-runs'!$E:$E, E100)</f>
        <v>41</v>
      </c>
      <c r="N100" s="5">
        <f>AVERAGEIFS('Data Combined - all-runs'!$N:$N, 'Data Combined - all-runs'!$A:$A, A100,'Data Combined - all-runs'!$B:$B, B100,'Data Combined - all-runs'!$C:$C, C100, 'Data Combined - all-runs'!$D:$D, D100, 'Data Combined - all-runs'!$E:$E, E100)</f>
        <v>10</v>
      </c>
      <c r="O100" s="5">
        <f>AVERAGEIFS('Data Combined - all-runs'!$O:$O, 'Data Combined - all-runs'!$A:$A, A100,'Data Combined - all-runs'!$B:$B, B100,'Data Combined - all-runs'!$C:$C, C100, 'Data Combined - all-runs'!$D:$D, D100, 'Data Combined - all-runs'!$E:$E, E100)</f>
        <v>1352</v>
      </c>
      <c r="P100" s="5">
        <f>AVERAGEIFS('Data Combined - all-runs'!$P:$P, 'Data Combined - all-runs'!$A:$A, A100,'Data Combined - all-runs'!$B:$B, B100,'Data Combined - all-runs'!$C:$C, C100, 'Data Combined - all-runs'!$D:$D, D100, 'Data Combined - all-runs'!$E:$E, E100)</f>
        <v>7.396449704</v>
      </c>
      <c r="Q100" s="5">
        <f>AVERAGEIFS('Data Combined - all-runs'!$Q:$Q, 'Data Combined - all-runs'!$A:$A, A100,'Data Combined - all-runs'!$B:$B, B100,'Data Combined - all-runs'!$C:$C, C100, 'Data Combined - all-runs'!$D:$D, D100, 'Data Combined - all-runs'!$E:$E, E100)</f>
        <v>801.7751479</v>
      </c>
      <c r="R100" s="5">
        <f>AVERAGEIFS('Data Combined - all-runs'!$R:$R, 'Data Combined - all-runs'!$A:$A, A100,'Data Combined - all-runs'!$B:$B, B100,'Data Combined - all-runs'!$C:$C, C100, 'Data Combined - all-runs'!$D:$D, D100, 'Data Combined - all-runs'!$E:$E, E100)</f>
        <v>108.4</v>
      </c>
      <c r="S100" s="5">
        <f>AVERAGEIFS('Data Combined - all-runs'!$S:$S, 'Data Combined - all-runs'!$A:$A, A100,'Data Combined - all-runs'!$B:$B, B100,'Data Combined - all-runs'!$C:$C, C100, 'Data Combined - all-runs'!$D:$D, D100, 'Data Combined - all-runs'!$E:$E, E100)</f>
        <v>0</v>
      </c>
      <c r="T100" s="5" t="str">
        <f>AVERAGEIFS('Data Combined - all-runs'!$T:$T, 'Data Combined - all-runs'!$A:$A, A100,'Data Combined - all-runs'!$B:$B, B100,'Data Combined - all-runs'!$C:$C, C100, 'Data Combined - all-runs'!$D:$D, D100, 'Data Combined - all-runs'!$E:$E, E100)</f>
        <v>#DIV/0!</v>
      </c>
      <c r="U100" s="5" t="b">
        <f t="shared" si="1"/>
        <v>0</v>
      </c>
      <c r="V100" s="5" t="b">
        <f t="shared" si="2"/>
        <v>0</v>
      </c>
      <c r="W100" s="5" t="b">
        <f t="shared" si="3"/>
        <v>1</v>
      </c>
    </row>
    <row r="101">
      <c r="A101" s="2" t="s">
        <v>32</v>
      </c>
      <c r="B101" s="2" t="s">
        <v>114</v>
      </c>
      <c r="C101" s="2" t="s">
        <v>23</v>
      </c>
      <c r="D101" s="2" t="s">
        <v>102</v>
      </c>
      <c r="E101" s="2" t="s">
        <v>34</v>
      </c>
      <c r="H101" s="5">
        <f>AVERAGEIFS('Data Combined - all-runs'!$H:$H, 'Data Combined - all-runs'!$A:$A, A101,'Data Combined - all-runs'!$B:$B, B101,'Data Combined - all-runs'!$C:$C, C101, 'Data Combined - all-runs'!$D:$D, D101, 'Data Combined - all-runs'!$E:$E, E101)</f>
        <v>2167</v>
      </c>
      <c r="I101" s="5" t="str">
        <f>AVERAGEIFS('Data Combined - all-runs'!$I:$I, 'Data Combined - all-runs'!$A:$A, A101,'Data Combined - all-runs'!$B:$B, B101,'Data Combined - all-runs'!$C:$C, C101, 'Data Combined - all-runs'!$D:$D, D101, 'Data Combined - all-runs'!$E:$E, E101)</f>
        <v>#DIV/0!</v>
      </c>
      <c r="J101" s="5">
        <f>AVERAGEIFS('Data Combined - all-runs'!$J:$J, 'Data Combined - all-runs'!$A:$A, A101,'Data Combined - all-runs'!$B:$B, B101,'Data Combined - all-runs'!$C:$C, C101, 'Data Combined - all-runs'!$D:$D, D101, 'Data Combined - all-runs'!$E:$E, E101)</f>
        <v>0</v>
      </c>
      <c r="K101" s="5">
        <f>AVERAGEIFS('Data Combined - all-runs'!$K:$K, 'Data Combined - all-runs'!$A:$A, A101,'Data Combined - all-runs'!$B:$B, B101,'Data Combined - all-runs'!$C:$C, C101, 'Data Combined - all-runs'!$D:$D, D101, 'Data Combined - all-runs'!$E:$E, E101)</f>
        <v>0.1697979798</v>
      </c>
      <c r="L101" s="5">
        <f>AVERAGEIFS('Data Combined - all-runs'!$L:$L, 'Data Combined - all-runs'!$A:$A, A101,'Data Combined - all-runs'!$B:$B, B101,'Data Combined - all-runs'!$C:$C, C101, 'Data Combined - all-runs'!$D:$D, D101, 'Data Combined - all-runs'!$E:$E, E101)</f>
        <v>12284.02278</v>
      </c>
      <c r="M101" s="5">
        <f>AVERAGEIFS('Data Combined - all-runs'!$M:$M, 'Data Combined - all-runs'!$A:$A, A101,'Data Combined - all-runs'!$B:$B, B101,'Data Combined - all-runs'!$C:$C, C101, 'Data Combined - all-runs'!$D:$D, D101, 'Data Combined - all-runs'!$E:$E, E101)</f>
        <v>24</v>
      </c>
      <c r="N101" s="5">
        <f>AVERAGEIFS('Data Combined - all-runs'!$N:$N, 'Data Combined - all-runs'!$A:$A, A101,'Data Combined - all-runs'!$B:$B, B101,'Data Combined - all-runs'!$C:$C, C101, 'Data Combined - all-runs'!$D:$D, D101, 'Data Combined - all-runs'!$E:$E, E101)</f>
        <v>12</v>
      </c>
      <c r="O101" s="5">
        <f>AVERAGEIFS('Data Combined - all-runs'!$O:$O, 'Data Combined - all-runs'!$A:$A, A101,'Data Combined - all-runs'!$B:$B, B101,'Data Combined - all-runs'!$C:$C, C101, 'Data Combined - all-runs'!$D:$D, D101, 'Data Combined - all-runs'!$E:$E, E101)</f>
        <v>1650</v>
      </c>
      <c r="P101" s="5">
        <f>AVERAGEIFS('Data Combined - all-runs'!$P:$P, 'Data Combined - all-runs'!$A:$A, A101,'Data Combined - all-runs'!$B:$B, B101,'Data Combined - all-runs'!$C:$C, C101, 'Data Combined - all-runs'!$D:$D, D101, 'Data Combined - all-runs'!$E:$E, E101)</f>
        <v>7.272727273</v>
      </c>
      <c r="Q101" s="5">
        <f>AVERAGEIFS('Data Combined - all-runs'!$Q:$Q, 'Data Combined - all-runs'!$A:$A, A101,'Data Combined - all-runs'!$B:$B, B101,'Data Combined - all-runs'!$C:$C, C101, 'Data Combined - all-runs'!$D:$D, D101, 'Data Combined - all-runs'!$E:$E, E101)</f>
        <v>1313.333333</v>
      </c>
      <c r="R101" s="5">
        <f>AVERAGEIFS('Data Combined - all-runs'!$R:$R, 'Data Combined - all-runs'!$A:$A, A101,'Data Combined - all-runs'!$B:$B, B101,'Data Combined - all-runs'!$C:$C, C101, 'Data Combined - all-runs'!$D:$D, D101, 'Data Combined - all-runs'!$E:$E, E101)</f>
        <v>180.5833333</v>
      </c>
      <c r="S101" s="5">
        <f>AVERAGEIFS('Data Combined - all-runs'!$S:$S, 'Data Combined - all-runs'!$A:$A, A101,'Data Combined - all-runs'!$B:$B, B101,'Data Combined - all-runs'!$C:$C, C101, 'Data Combined - all-runs'!$D:$D, D101, 'Data Combined - all-runs'!$E:$E, E101)</f>
        <v>0</v>
      </c>
      <c r="T101" s="5" t="str">
        <f>AVERAGEIFS('Data Combined - all-runs'!$T:$T, 'Data Combined - all-runs'!$A:$A, A101,'Data Combined - all-runs'!$B:$B, B101,'Data Combined - all-runs'!$C:$C, C101, 'Data Combined - all-runs'!$D:$D, D101, 'Data Combined - all-runs'!$E:$E, E101)</f>
        <v>#DIV/0!</v>
      </c>
      <c r="U101" s="5" t="b">
        <f t="shared" si="1"/>
        <v>0</v>
      </c>
      <c r="V101" s="5" t="b">
        <f t="shared" si="2"/>
        <v>0</v>
      </c>
      <c r="W101" s="5" t="b">
        <f t="shared" si="3"/>
        <v>1</v>
      </c>
    </row>
    <row r="102">
      <c r="A102" s="2" t="s">
        <v>32</v>
      </c>
      <c r="B102" s="2" t="s">
        <v>114</v>
      </c>
      <c r="C102" s="2" t="s">
        <v>23</v>
      </c>
      <c r="D102" s="2" t="s">
        <v>102</v>
      </c>
      <c r="E102" s="2" t="s">
        <v>47</v>
      </c>
      <c r="H102" s="5">
        <f>AVERAGEIFS('Data Combined - all-runs'!$H:$H, 'Data Combined - all-runs'!$A:$A, A102,'Data Combined - all-runs'!$B:$B, B102,'Data Combined - all-runs'!$C:$C, C102, 'Data Combined - all-runs'!$D:$D, D102, 'Data Combined - all-runs'!$E:$E, E102)</f>
        <v>1158</v>
      </c>
      <c r="I102" s="5" t="str">
        <f>AVERAGEIFS('Data Combined - all-runs'!$I:$I, 'Data Combined - all-runs'!$A:$A, A102,'Data Combined - all-runs'!$B:$B, B102,'Data Combined - all-runs'!$C:$C, C102, 'Data Combined - all-runs'!$D:$D, D102, 'Data Combined - all-runs'!$E:$E, E102)</f>
        <v>#DIV/0!</v>
      </c>
      <c r="J102" s="5">
        <f>AVERAGEIFS('Data Combined - all-runs'!$J:$J, 'Data Combined - all-runs'!$A:$A, A102,'Data Combined - all-runs'!$B:$B, B102,'Data Combined - all-runs'!$C:$C, C102, 'Data Combined - all-runs'!$D:$D, D102, 'Data Combined - all-runs'!$E:$E, E102)</f>
        <v>0</v>
      </c>
      <c r="K102" s="5">
        <f>AVERAGEIFS('Data Combined - all-runs'!$K:$K, 'Data Combined - all-runs'!$A:$A, A102,'Data Combined - all-runs'!$B:$B, B102,'Data Combined - all-runs'!$C:$C, C102, 'Data Combined - all-runs'!$D:$D, D102, 'Data Combined - all-runs'!$E:$E, E102)</f>
        <v>0.1639344262</v>
      </c>
      <c r="L102" s="5">
        <f>AVERAGEIFS('Data Combined - all-runs'!$L:$L, 'Data Combined - all-runs'!$A:$A, A102,'Data Combined - all-runs'!$B:$B, B102,'Data Combined - all-runs'!$C:$C, C102, 'Data Combined - all-runs'!$D:$D, D102, 'Data Combined - all-runs'!$E:$E, E102)</f>
        <v>9276.23914</v>
      </c>
      <c r="M102" s="5">
        <f>AVERAGEIFS('Data Combined - all-runs'!$M:$M, 'Data Combined - all-runs'!$A:$A, A102,'Data Combined - all-runs'!$B:$B, B102,'Data Combined - all-runs'!$C:$C, C102, 'Data Combined - all-runs'!$D:$D, D102, 'Data Combined - all-runs'!$E:$E, E102)</f>
        <v>46</v>
      </c>
      <c r="N102" s="5">
        <f>AVERAGEIFS('Data Combined - all-runs'!$N:$N, 'Data Combined - all-runs'!$A:$A, A102,'Data Combined - all-runs'!$B:$B, B102,'Data Combined - all-runs'!$C:$C, C102, 'Data Combined - all-runs'!$D:$D, D102, 'Data Combined - all-runs'!$E:$E, E102)</f>
        <v>4</v>
      </c>
      <c r="O102" s="5">
        <f>AVERAGEIFS('Data Combined - all-runs'!$O:$O, 'Data Combined - all-runs'!$A:$A, A102,'Data Combined - all-runs'!$B:$B, B102,'Data Combined - all-runs'!$C:$C, C102, 'Data Combined - all-runs'!$D:$D, D102, 'Data Combined - all-runs'!$E:$E, E102)</f>
        <v>610</v>
      </c>
      <c r="P102" s="5">
        <f>AVERAGEIFS('Data Combined - all-runs'!$P:$P, 'Data Combined - all-runs'!$A:$A, A102,'Data Combined - all-runs'!$B:$B, B102,'Data Combined - all-runs'!$C:$C, C102, 'Data Combined - all-runs'!$D:$D, D102, 'Data Combined - all-runs'!$E:$E, E102)</f>
        <v>6.557377049</v>
      </c>
      <c r="Q102" s="5">
        <f>AVERAGEIFS('Data Combined - all-runs'!$Q:$Q, 'Data Combined - all-runs'!$A:$A, A102,'Data Combined - all-runs'!$B:$B, B102,'Data Combined - all-runs'!$C:$C, C102, 'Data Combined - all-runs'!$D:$D, D102, 'Data Combined - all-runs'!$E:$E, E102)</f>
        <v>1898.360656</v>
      </c>
      <c r="R102" s="5">
        <f>AVERAGEIFS('Data Combined - all-runs'!$R:$R, 'Data Combined - all-runs'!$A:$A, A102,'Data Combined - all-runs'!$B:$B, B102,'Data Combined - all-runs'!$C:$C, C102, 'Data Combined - all-runs'!$D:$D, D102, 'Data Combined - all-runs'!$E:$E, E102)</f>
        <v>289.5</v>
      </c>
      <c r="S102" s="5">
        <f>AVERAGEIFS('Data Combined - all-runs'!$S:$S, 'Data Combined - all-runs'!$A:$A, A102,'Data Combined - all-runs'!$B:$B, B102,'Data Combined - all-runs'!$C:$C, C102, 'Data Combined - all-runs'!$D:$D, D102, 'Data Combined - all-runs'!$E:$E, E102)</f>
        <v>0</v>
      </c>
      <c r="T102" s="5" t="str">
        <f>AVERAGEIFS('Data Combined - all-runs'!$T:$T, 'Data Combined - all-runs'!$A:$A, A102,'Data Combined - all-runs'!$B:$B, B102,'Data Combined - all-runs'!$C:$C, C102, 'Data Combined - all-runs'!$D:$D, D102, 'Data Combined - all-runs'!$E:$E, E102)</f>
        <v>#DIV/0!</v>
      </c>
      <c r="U102" s="5" t="b">
        <f t="shared" si="1"/>
        <v>0</v>
      </c>
      <c r="V102" s="5" t="b">
        <f t="shared" si="2"/>
        <v>0</v>
      </c>
      <c r="W102" s="5" t="b">
        <f t="shared" si="3"/>
        <v>1</v>
      </c>
    </row>
    <row r="103">
      <c r="A103" s="2" t="s">
        <v>32</v>
      </c>
      <c r="B103" s="2" t="s">
        <v>114</v>
      </c>
      <c r="C103" s="2" t="s">
        <v>23</v>
      </c>
      <c r="D103" s="2" t="s">
        <v>102</v>
      </c>
      <c r="E103" s="2" t="s">
        <v>51</v>
      </c>
      <c r="H103" s="5">
        <f>AVERAGEIFS('Data Combined - all-runs'!$H:$H, 'Data Combined - all-runs'!$A:$A, A103,'Data Combined - all-runs'!$B:$B, B103,'Data Combined - all-runs'!$C:$C, C103, 'Data Combined - all-runs'!$D:$D, D103, 'Data Combined - all-runs'!$E:$E, E103)</f>
        <v>391</v>
      </c>
      <c r="I103" s="5" t="str">
        <f>AVERAGEIFS('Data Combined - all-runs'!$I:$I, 'Data Combined - all-runs'!$A:$A, A103,'Data Combined - all-runs'!$B:$B, B103,'Data Combined - all-runs'!$C:$C, C103, 'Data Combined - all-runs'!$D:$D, D103, 'Data Combined - all-runs'!$E:$E, E103)</f>
        <v>#DIV/0!</v>
      </c>
      <c r="J103" s="5">
        <f>AVERAGEIFS('Data Combined - all-runs'!$J:$J, 'Data Combined - all-runs'!$A:$A, A103,'Data Combined - all-runs'!$B:$B, B103,'Data Combined - all-runs'!$C:$C, C103, 'Data Combined - all-runs'!$D:$D, D103, 'Data Combined - all-runs'!$E:$E, E103)</f>
        <v>0</v>
      </c>
      <c r="K103" s="5">
        <f>AVERAGEIFS('Data Combined - all-runs'!$K:$K, 'Data Combined - all-runs'!$A:$A, A103,'Data Combined - all-runs'!$B:$B, B103,'Data Combined - all-runs'!$C:$C, C103, 'Data Combined - all-runs'!$D:$D, D103, 'Data Combined - all-runs'!$E:$E, E103)</f>
        <v>0.06586234177</v>
      </c>
      <c r="L103" s="5">
        <f>AVERAGEIFS('Data Combined - all-runs'!$L:$L, 'Data Combined - all-runs'!$A:$A, A103,'Data Combined - all-runs'!$B:$B, B103,'Data Combined - all-runs'!$C:$C, C103, 'Data Combined - all-runs'!$D:$D, D103, 'Data Combined - all-runs'!$E:$E, E103)</f>
        <v>2852.352299</v>
      </c>
      <c r="M103" s="5">
        <f>AVERAGEIFS('Data Combined - all-runs'!$M:$M, 'Data Combined - all-runs'!$A:$A, A103,'Data Combined - all-runs'!$B:$B, B103,'Data Combined - all-runs'!$C:$C, C103, 'Data Combined - all-runs'!$D:$D, D103, 'Data Combined - all-runs'!$E:$E, E103)</f>
        <v>32</v>
      </c>
      <c r="N103" s="5">
        <f>AVERAGEIFS('Data Combined - all-runs'!$N:$N, 'Data Combined - all-runs'!$A:$A, A103,'Data Combined - all-runs'!$B:$B, B103,'Data Combined - all-runs'!$C:$C, C103, 'Data Combined - all-runs'!$D:$D, D103, 'Data Combined - all-runs'!$E:$E, E103)</f>
        <v>4</v>
      </c>
      <c r="O103" s="5">
        <f>AVERAGEIFS('Data Combined - all-runs'!$O:$O, 'Data Combined - all-runs'!$A:$A, A103,'Data Combined - all-runs'!$B:$B, B103,'Data Combined - all-runs'!$C:$C, C103, 'Data Combined - all-runs'!$D:$D, D103, 'Data Combined - all-runs'!$E:$E, E103)</f>
        <v>632</v>
      </c>
      <c r="P103" s="5">
        <f>AVERAGEIFS('Data Combined - all-runs'!$P:$P, 'Data Combined - all-runs'!$A:$A, A103,'Data Combined - all-runs'!$B:$B, B103,'Data Combined - all-runs'!$C:$C, C103, 'Data Combined - all-runs'!$D:$D, D103, 'Data Combined - all-runs'!$E:$E, E103)</f>
        <v>6.329113924</v>
      </c>
      <c r="Q103" s="5">
        <f>AVERAGEIFS('Data Combined - all-runs'!$Q:$Q, 'Data Combined - all-runs'!$A:$A, A103,'Data Combined - all-runs'!$B:$B, B103,'Data Combined - all-runs'!$C:$C, C103, 'Data Combined - all-runs'!$D:$D, D103, 'Data Combined - all-runs'!$E:$E, E103)</f>
        <v>618.6708861</v>
      </c>
      <c r="R103" s="5">
        <f>AVERAGEIFS('Data Combined - all-runs'!$R:$R, 'Data Combined - all-runs'!$A:$A, A103,'Data Combined - all-runs'!$B:$B, B103,'Data Combined - all-runs'!$C:$C, C103, 'Data Combined - all-runs'!$D:$D, D103, 'Data Combined - all-runs'!$E:$E, E103)</f>
        <v>97.75</v>
      </c>
      <c r="S103" s="5">
        <f>AVERAGEIFS('Data Combined - all-runs'!$S:$S, 'Data Combined - all-runs'!$A:$A, A103,'Data Combined - all-runs'!$B:$B, B103,'Data Combined - all-runs'!$C:$C, C103, 'Data Combined - all-runs'!$D:$D, D103, 'Data Combined - all-runs'!$E:$E, E103)</f>
        <v>0</v>
      </c>
      <c r="T103" s="5" t="str">
        <f>AVERAGEIFS('Data Combined - all-runs'!$T:$T, 'Data Combined - all-runs'!$A:$A, A103,'Data Combined - all-runs'!$B:$B, B103,'Data Combined - all-runs'!$C:$C, C103, 'Data Combined - all-runs'!$D:$D, D103, 'Data Combined - all-runs'!$E:$E, E103)</f>
        <v>#DIV/0!</v>
      </c>
      <c r="U103" s="5" t="b">
        <f t="shared" si="1"/>
        <v>0</v>
      </c>
      <c r="V103" s="5" t="b">
        <f t="shared" si="2"/>
        <v>0</v>
      </c>
      <c r="W103" s="5" t="b">
        <f t="shared" si="3"/>
        <v>1</v>
      </c>
    </row>
    <row r="104">
      <c r="A104" s="2" t="s">
        <v>32</v>
      </c>
      <c r="B104" s="2" t="s">
        <v>114</v>
      </c>
      <c r="C104" s="2" t="s">
        <v>23</v>
      </c>
      <c r="D104" s="2" t="s">
        <v>118</v>
      </c>
      <c r="E104" s="2" t="s">
        <v>25</v>
      </c>
      <c r="H104" s="5">
        <f>AVERAGEIFS('Data Combined - all-runs'!$H:$H, 'Data Combined - all-runs'!$A:$A, A104,'Data Combined - all-runs'!$B:$B, B104,'Data Combined - all-runs'!$C:$C, C104, 'Data Combined - all-runs'!$D:$D, D104, 'Data Combined - all-runs'!$E:$E, E104)</f>
        <v>182</v>
      </c>
      <c r="I104" s="5" t="str">
        <f>AVERAGEIFS('Data Combined - all-runs'!$I:$I, 'Data Combined - all-runs'!$A:$A, A104,'Data Combined - all-runs'!$B:$B, B104,'Data Combined - all-runs'!$C:$C, C104, 'Data Combined - all-runs'!$D:$D, D104, 'Data Combined - all-runs'!$E:$E, E104)</f>
        <v>#DIV/0!</v>
      </c>
      <c r="J104" s="5">
        <f>AVERAGEIFS('Data Combined - all-runs'!$J:$J, 'Data Combined - all-runs'!$A:$A, A104,'Data Combined - all-runs'!$B:$B, B104,'Data Combined - all-runs'!$C:$C, C104, 'Data Combined - all-runs'!$D:$D, D104, 'Data Combined - all-runs'!$E:$E, E104)</f>
        <v>0</v>
      </c>
      <c r="K104" s="5">
        <f>AVERAGEIFS('Data Combined - all-runs'!$K:$K, 'Data Combined - all-runs'!$A:$A, A104,'Data Combined - all-runs'!$B:$B, B104,'Data Combined - all-runs'!$C:$C, C104, 'Data Combined - all-runs'!$D:$D, D104, 'Data Combined - all-runs'!$E:$E, E104)</f>
        <v>0.09252336449</v>
      </c>
      <c r="L104" s="5">
        <f>AVERAGEIFS('Data Combined - all-runs'!$L:$L, 'Data Combined - all-runs'!$A:$A, A104,'Data Combined - all-runs'!$B:$B, B104,'Data Combined - all-runs'!$C:$C, C104, 'Data Combined - all-runs'!$D:$D, D104, 'Data Combined - all-runs'!$E:$E, E104)</f>
        <v>364.649878</v>
      </c>
      <c r="M104" s="5">
        <f>AVERAGEIFS('Data Combined - all-runs'!$M:$M, 'Data Combined - all-runs'!$A:$A, A104,'Data Combined - all-runs'!$B:$B, B104,'Data Combined - all-runs'!$C:$C, C104, 'Data Combined - all-runs'!$D:$D, D104, 'Data Combined - all-runs'!$E:$E, E104)</f>
        <v>35</v>
      </c>
      <c r="N104" s="5">
        <f>AVERAGEIFS('Data Combined - all-runs'!$N:$N, 'Data Combined - all-runs'!$A:$A, A104,'Data Combined - all-runs'!$B:$B, B104,'Data Combined - all-runs'!$C:$C, C104, 'Data Combined - all-runs'!$D:$D, D104, 'Data Combined - all-runs'!$E:$E, E104)</f>
        <v>1</v>
      </c>
      <c r="O104" s="5">
        <f>AVERAGEIFS('Data Combined - all-runs'!$O:$O, 'Data Combined - all-runs'!$A:$A, A104,'Data Combined - all-runs'!$B:$B, B104,'Data Combined - all-runs'!$C:$C, C104, 'Data Combined - all-runs'!$D:$D, D104, 'Data Combined - all-runs'!$E:$E, E104)</f>
        <v>535</v>
      </c>
      <c r="P104" s="5">
        <f>AVERAGEIFS('Data Combined - all-runs'!$P:$P, 'Data Combined - all-runs'!$A:$A, A104,'Data Combined - all-runs'!$B:$B, B104,'Data Combined - all-runs'!$C:$C, C104, 'Data Combined - all-runs'!$D:$D, D104, 'Data Combined - all-runs'!$E:$E, E104)</f>
        <v>1.869158879</v>
      </c>
      <c r="Q104" s="5">
        <f>AVERAGEIFS('Data Combined - all-runs'!$Q:$Q, 'Data Combined - all-runs'!$A:$A, A104,'Data Combined - all-runs'!$B:$B, B104,'Data Combined - all-runs'!$C:$C, C104, 'Data Combined - all-runs'!$D:$D, D104, 'Data Combined - all-runs'!$E:$E, E104)</f>
        <v>340.1869159</v>
      </c>
      <c r="R104" s="5">
        <f>AVERAGEIFS('Data Combined - all-runs'!$R:$R, 'Data Combined - all-runs'!$A:$A, A104,'Data Combined - all-runs'!$B:$B, B104,'Data Combined - all-runs'!$C:$C, C104, 'Data Combined - all-runs'!$D:$D, D104, 'Data Combined - all-runs'!$E:$E, E104)</f>
        <v>182</v>
      </c>
      <c r="S104" s="5">
        <f>AVERAGEIFS('Data Combined - all-runs'!$S:$S, 'Data Combined - all-runs'!$A:$A, A104,'Data Combined - all-runs'!$B:$B, B104,'Data Combined - all-runs'!$C:$C, C104, 'Data Combined - all-runs'!$D:$D, D104, 'Data Combined - all-runs'!$E:$E, E104)</f>
        <v>0</v>
      </c>
      <c r="T104" s="5" t="str">
        <f>AVERAGEIFS('Data Combined - all-runs'!$T:$T, 'Data Combined - all-runs'!$A:$A, A104,'Data Combined - all-runs'!$B:$B, B104,'Data Combined - all-runs'!$C:$C, C104, 'Data Combined - all-runs'!$D:$D, D104, 'Data Combined - all-runs'!$E:$E, E104)</f>
        <v>#DIV/0!</v>
      </c>
      <c r="U104" s="5" t="b">
        <f t="shared" si="1"/>
        <v>0</v>
      </c>
      <c r="V104" s="5" t="b">
        <f t="shared" si="2"/>
        <v>0</v>
      </c>
      <c r="W104" s="5" t="b">
        <f t="shared" si="3"/>
        <v>1</v>
      </c>
    </row>
    <row r="105">
      <c r="A105" s="2" t="s">
        <v>32</v>
      </c>
      <c r="B105" s="2" t="s">
        <v>114</v>
      </c>
      <c r="C105" s="2" t="s">
        <v>23</v>
      </c>
      <c r="D105" s="2" t="s">
        <v>118</v>
      </c>
      <c r="E105" s="2" t="s">
        <v>39</v>
      </c>
      <c r="H105" s="5">
        <f>AVERAGEIFS('Data Combined - all-runs'!$H:$H, 'Data Combined - all-runs'!$A:$A, A105,'Data Combined - all-runs'!$B:$B, B105,'Data Combined - all-runs'!$C:$C, C105, 'Data Combined - all-runs'!$D:$D, D105, 'Data Combined - all-runs'!$E:$E, E105)</f>
        <v>399</v>
      </c>
      <c r="I105" s="5" t="str">
        <f>AVERAGEIFS('Data Combined - all-runs'!$I:$I, 'Data Combined - all-runs'!$A:$A, A105,'Data Combined - all-runs'!$B:$B, B105,'Data Combined - all-runs'!$C:$C, C105, 'Data Combined - all-runs'!$D:$D, D105, 'Data Combined - all-runs'!$E:$E, E105)</f>
        <v>#DIV/0!</v>
      </c>
      <c r="J105" s="5">
        <f>AVERAGEIFS('Data Combined - all-runs'!$J:$J, 'Data Combined - all-runs'!$A:$A, A105,'Data Combined - all-runs'!$B:$B, B105,'Data Combined - all-runs'!$C:$C, C105, 'Data Combined - all-runs'!$D:$D, D105, 'Data Combined - all-runs'!$E:$E, E105)</f>
        <v>0</v>
      </c>
      <c r="K105" s="5">
        <f>AVERAGEIFS('Data Combined - all-runs'!$K:$K, 'Data Combined - all-runs'!$A:$A, A105,'Data Combined - all-runs'!$B:$B, B105,'Data Combined - all-runs'!$C:$C, C105, 'Data Combined - all-runs'!$D:$D, D105, 'Data Combined - all-runs'!$E:$E, E105)</f>
        <v>0.1048301486</v>
      </c>
      <c r="L105" s="5">
        <f>AVERAGEIFS('Data Combined - all-runs'!$L:$L, 'Data Combined - all-runs'!$A:$A, A105,'Data Combined - all-runs'!$B:$B, B105,'Data Combined - all-runs'!$C:$C, C105, 'Data Combined - all-runs'!$D:$D, D105, 'Data Combined - all-runs'!$E:$E, E105)</f>
        <v>1005.141296</v>
      </c>
      <c r="M105" s="5">
        <f>AVERAGEIFS('Data Combined - all-runs'!$M:$M, 'Data Combined - all-runs'!$A:$A, A105,'Data Combined - all-runs'!$B:$B, B105,'Data Combined - all-runs'!$C:$C, C105, 'Data Combined - all-runs'!$D:$D, D105, 'Data Combined - all-runs'!$E:$E, E105)</f>
        <v>72</v>
      </c>
      <c r="N105" s="5">
        <f>AVERAGEIFS('Data Combined - all-runs'!$N:$N, 'Data Combined - all-runs'!$A:$A, A105,'Data Combined - all-runs'!$B:$B, B105,'Data Combined - all-runs'!$C:$C, C105, 'Data Combined - all-runs'!$D:$D, D105, 'Data Combined - all-runs'!$E:$E, E105)</f>
        <v>2</v>
      </c>
      <c r="O105" s="5">
        <f>AVERAGEIFS('Data Combined - all-runs'!$O:$O, 'Data Combined - all-runs'!$A:$A, A105,'Data Combined - all-runs'!$B:$B, B105,'Data Combined - all-runs'!$C:$C, C105, 'Data Combined - all-runs'!$D:$D, D105, 'Data Combined - all-runs'!$E:$E, E105)</f>
        <v>942</v>
      </c>
      <c r="P105" s="5">
        <f>AVERAGEIFS('Data Combined - all-runs'!$P:$P, 'Data Combined - all-runs'!$A:$A, A105,'Data Combined - all-runs'!$B:$B, B105,'Data Combined - all-runs'!$C:$C, C105, 'Data Combined - all-runs'!$D:$D, D105, 'Data Combined - all-runs'!$E:$E, E105)</f>
        <v>2.123142251</v>
      </c>
      <c r="Q105" s="5">
        <f>AVERAGEIFS('Data Combined - all-runs'!$Q:$Q, 'Data Combined - all-runs'!$A:$A, A105,'Data Combined - all-runs'!$B:$B, B105,'Data Combined - all-runs'!$C:$C, C105, 'Data Combined - all-runs'!$D:$D, D105, 'Data Combined - all-runs'!$E:$E, E105)</f>
        <v>423.566879</v>
      </c>
      <c r="R105" s="5">
        <f>AVERAGEIFS('Data Combined - all-runs'!$R:$R, 'Data Combined - all-runs'!$A:$A, A105,'Data Combined - all-runs'!$B:$B, B105,'Data Combined - all-runs'!$C:$C, C105, 'Data Combined - all-runs'!$D:$D, D105, 'Data Combined - all-runs'!$E:$E, E105)</f>
        <v>199.5</v>
      </c>
      <c r="S105" s="5">
        <f>AVERAGEIFS('Data Combined - all-runs'!$S:$S, 'Data Combined - all-runs'!$A:$A, A105,'Data Combined - all-runs'!$B:$B, B105,'Data Combined - all-runs'!$C:$C, C105, 'Data Combined - all-runs'!$D:$D, D105, 'Data Combined - all-runs'!$E:$E, E105)</f>
        <v>0</v>
      </c>
      <c r="T105" s="5" t="str">
        <f>AVERAGEIFS('Data Combined - all-runs'!$T:$T, 'Data Combined - all-runs'!$A:$A, A105,'Data Combined - all-runs'!$B:$B, B105,'Data Combined - all-runs'!$C:$C, C105, 'Data Combined - all-runs'!$D:$D, D105, 'Data Combined - all-runs'!$E:$E, E105)</f>
        <v>#DIV/0!</v>
      </c>
      <c r="U105" s="5" t="b">
        <f t="shared" si="1"/>
        <v>0</v>
      </c>
      <c r="V105" s="5" t="b">
        <f t="shared" si="2"/>
        <v>0</v>
      </c>
      <c r="W105" s="5" t="b">
        <f t="shared" si="3"/>
        <v>1</v>
      </c>
    </row>
    <row r="106">
      <c r="A106" s="2" t="s">
        <v>32</v>
      </c>
      <c r="B106" s="2" t="s">
        <v>114</v>
      </c>
      <c r="C106" s="2" t="s">
        <v>23</v>
      </c>
      <c r="D106" s="2" t="s">
        <v>118</v>
      </c>
      <c r="E106" s="2" t="s">
        <v>43</v>
      </c>
      <c r="H106" s="5">
        <f>AVERAGEIFS('Data Combined - all-runs'!$H:$H, 'Data Combined - all-runs'!$A:$A, A106,'Data Combined - all-runs'!$B:$B, B106,'Data Combined - all-runs'!$C:$C, C106, 'Data Combined - all-runs'!$D:$D, D106, 'Data Combined - all-runs'!$E:$E, E106)</f>
        <v>1801</v>
      </c>
      <c r="I106" s="5" t="str">
        <f>AVERAGEIFS('Data Combined - all-runs'!$I:$I, 'Data Combined - all-runs'!$A:$A, A106,'Data Combined - all-runs'!$B:$B, B106,'Data Combined - all-runs'!$C:$C, C106, 'Data Combined - all-runs'!$D:$D, D106, 'Data Combined - all-runs'!$E:$E, E106)</f>
        <v>#DIV/0!</v>
      </c>
      <c r="J106" s="5">
        <f>AVERAGEIFS('Data Combined - all-runs'!$J:$J, 'Data Combined - all-runs'!$A:$A, A106,'Data Combined - all-runs'!$B:$B, B106,'Data Combined - all-runs'!$C:$C, C106, 'Data Combined - all-runs'!$D:$D, D106, 'Data Combined - all-runs'!$E:$E, E106)</f>
        <v>0</v>
      </c>
      <c r="K106" s="5">
        <f>AVERAGEIFS('Data Combined - all-runs'!$K:$K, 'Data Combined - all-runs'!$A:$A, A106,'Data Combined - all-runs'!$B:$B, B106,'Data Combined - all-runs'!$C:$C, C106, 'Data Combined - all-runs'!$D:$D, D106, 'Data Combined - all-runs'!$E:$E, E106)</f>
        <v>0.05731668268</v>
      </c>
      <c r="L106" s="5">
        <f>AVERAGEIFS('Data Combined - all-runs'!$L:$L, 'Data Combined - all-runs'!$A:$A, A106,'Data Combined - all-runs'!$B:$B, B106,'Data Combined - all-runs'!$C:$C, C106, 'Data Combined - all-runs'!$D:$D, D106, 'Data Combined - all-runs'!$E:$E, E106)</f>
        <v>4848.588948</v>
      </c>
      <c r="M106" s="5">
        <f>AVERAGEIFS('Data Combined - all-runs'!$M:$M, 'Data Combined - all-runs'!$A:$A, A106,'Data Combined - all-runs'!$B:$B, B106,'Data Combined - all-runs'!$C:$C, C106, 'Data Combined - all-runs'!$D:$D, D106, 'Data Combined - all-runs'!$E:$E, E106)</f>
        <v>41</v>
      </c>
      <c r="N106" s="5">
        <f>AVERAGEIFS('Data Combined - all-runs'!$N:$N, 'Data Combined - all-runs'!$A:$A, A106,'Data Combined - all-runs'!$B:$B, B106,'Data Combined - all-runs'!$C:$C, C106, 'Data Combined - all-runs'!$D:$D, D106, 'Data Combined - all-runs'!$E:$E, E106)</f>
        <v>9</v>
      </c>
      <c r="O106" s="5">
        <f>AVERAGEIFS('Data Combined - all-runs'!$O:$O, 'Data Combined - all-runs'!$A:$A, A106,'Data Combined - all-runs'!$B:$B, B106,'Data Combined - all-runs'!$C:$C, C106, 'Data Combined - all-runs'!$D:$D, D106, 'Data Combined - all-runs'!$E:$E, E106)</f>
        <v>1041</v>
      </c>
      <c r="P106" s="5">
        <f>AVERAGEIFS('Data Combined - all-runs'!$P:$P, 'Data Combined - all-runs'!$A:$A, A106,'Data Combined - all-runs'!$B:$B, B106,'Data Combined - all-runs'!$C:$C, C106, 'Data Combined - all-runs'!$D:$D, D106, 'Data Combined - all-runs'!$E:$E, E106)</f>
        <v>8.645533141</v>
      </c>
      <c r="Q106" s="5">
        <f>AVERAGEIFS('Data Combined - all-runs'!$Q:$Q, 'Data Combined - all-runs'!$A:$A, A106,'Data Combined - all-runs'!$B:$B, B106,'Data Combined - all-runs'!$C:$C, C106, 'Data Combined - all-runs'!$D:$D, D106, 'Data Combined - all-runs'!$E:$E, E106)</f>
        <v>1730.067243</v>
      </c>
      <c r="R106" s="5">
        <f>AVERAGEIFS('Data Combined - all-runs'!$R:$R, 'Data Combined - all-runs'!$A:$A, A106,'Data Combined - all-runs'!$B:$B, B106,'Data Combined - all-runs'!$C:$C, C106, 'Data Combined - all-runs'!$D:$D, D106, 'Data Combined - all-runs'!$E:$E, E106)</f>
        <v>200.1111111</v>
      </c>
      <c r="S106" s="5">
        <f>AVERAGEIFS('Data Combined - all-runs'!$S:$S, 'Data Combined - all-runs'!$A:$A, A106,'Data Combined - all-runs'!$B:$B, B106,'Data Combined - all-runs'!$C:$C, C106, 'Data Combined - all-runs'!$D:$D, D106, 'Data Combined - all-runs'!$E:$E, E106)</f>
        <v>0</v>
      </c>
      <c r="T106" s="5" t="str">
        <f>AVERAGEIFS('Data Combined - all-runs'!$T:$T, 'Data Combined - all-runs'!$A:$A, A106,'Data Combined - all-runs'!$B:$B, B106,'Data Combined - all-runs'!$C:$C, C106, 'Data Combined - all-runs'!$D:$D, D106, 'Data Combined - all-runs'!$E:$E, E106)</f>
        <v>#DIV/0!</v>
      </c>
      <c r="U106" s="5" t="b">
        <f t="shared" si="1"/>
        <v>0</v>
      </c>
      <c r="V106" s="5" t="b">
        <f t="shared" si="2"/>
        <v>0</v>
      </c>
      <c r="W106" s="5" t="b">
        <f t="shared" si="3"/>
        <v>1</v>
      </c>
    </row>
    <row r="107">
      <c r="A107" s="2" t="s">
        <v>32</v>
      </c>
      <c r="B107" s="2" t="s">
        <v>114</v>
      </c>
      <c r="C107" s="2" t="s">
        <v>23</v>
      </c>
      <c r="D107" s="2" t="s">
        <v>118</v>
      </c>
      <c r="E107" s="2" t="s">
        <v>34</v>
      </c>
      <c r="H107" s="5">
        <f>AVERAGEIFS('Data Combined - all-runs'!$H:$H, 'Data Combined - all-runs'!$A:$A, A107,'Data Combined - all-runs'!$B:$B, B107,'Data Combined - all-runs'!$C:$C, C107, 'Data Combined - all-runs'!$D:$D, D107, 'Data Combined - all-runs'!$E:$E, E107)</f>
        <v>2114</v>
      </c>
      <c r="I107" s="5" t="str">
        <f>AVERAGEIFS('Data Combined - all-runs'!$I:$I, 'Data Combined - all-runs'!$A:$A, A107,'Data Combined - all-runs'!$B:$B, B107,'Data Combined - all-runs'!$C:$C, C107, 'Data Combined - all-runs'!$D:$D, D107, 'Data Combined - all-runs'!$E:$E, E107)</f>
        <v>#DIV/0!</v>
      </c>
      <c r="J107" s="5">
        <f>AVERAGEIFS('Data Combined - all-runs'!$J:$J, 'Data Combined - all-runs'!$A:$A, A107,'Data Combined - all-runs'!$B:$B, B107,'Data Combined - all-runs'!$C:$C, C107, 'Data Combined - all-runs'!$D:$D, D107, 'Data Combined - all-runs'!$E:$E, E107)</f>
        <v>0</v>
      </c>
      <c r="K107" s="5">
        <f>AVERAGEIFS('Data Combined - all-runs'!$K:$K, 'Data Combined - all-runs'!$A:$A, A107,'Data Combined - all-runs'!$B:$B, B107,'Data Combined - all-runs'!$C:$C, C107, 'Data Combined - all-runs'!$D:$D, D107, 'Data Combined - all-runs'!$E:$E, E107)</f>
        <v>0.1332453826</v>
      </c>
      <c r="L107" s="5">
        <f>AVERAGEIFS('Data Combined - all-runs'!$L:$L, 'Data Combined - all-runs'!$A:$A, A107,'Data Combined - all-runs'!$B:$B, B107,'Data Combined - all-runs'!$C:$C, C107, 'Data Combined - all-runs'!$D:$D, D107, 'Data Combined - all-runs'!$E:$E, E107)</f>
        <v>5450.192497</v>
      </c>
      <c r="M107" s="5">
        <f>AVERAGEIFS('Data Combined - all-runs'!$M:$M, 'Data Combined - all-runs'!$A:$A, A107,'Data Combined - all-runs'!$B:$B, B107,'Data Combined - all-runs'!$C:$C, C107, 'Data Combined - all-runs'!$D:$D, D107, 'Data Combined - all-runs'!$E:$E, E107)</f>
        <v>24</v>
      </c>
      <c r="N107" s="5">
        <f>AVERAGEIFS('Data Combined - all-runs'!$N:$N, 'Data Combined - all-runs'!$A:$A, A107,'Data Combined - all-runs'!$B:$B, B107,'Data Combined - all-runs'!$C:$C, C107, 'Data Combined - all-runs'!$D:$D, D107, 'Data Combined - all-runs'!$E:$E, E107)</f>
        <v>9</v>
      </c>
      <c r="O107" s="5">
        <f>AVERAGEIFS('Data Combined - all-runs'!$O:$O, 'Data Combined - all-runs'!$A:$A, A107,'Data Combined - all-runs'!$B:$B, B107,'Data Combined - all-runs'!$C:$C, C107, 'Data Combined - all-runs'!$D:$D, D107, 'Data Combined - all-runs'!$E:$E, E107)</f>
        <v>1137</v>
      </c>
      <c r="P107" s="5">
        <f>AVERAGEIFS('Data Combined - all-runs'!$P:$P, 'Data Combined - all-runs'!$A:$A, A107,'Data Combined - all-runs'!$B:$B, B107,'Data Combined - all-runs'!$C:$C, C107, 'Data Combined - all-runs'!$D:$D, D107, 'Data Combined - all-runs'!$E:$E, E107)</f>
        <v>7.915567282</v>
      </c>
      <c r="Q107" s="5">
        <f>AVERAGEIFS('Data Combined - all-runs'!$Q:$Q, 'Data Combined - all-runs'!$A:$A, A107,'Data Combined - all-runs'!$B:$B, B107,'Data Combined - all-runs'!$C:$C, C107, 'Data Combined - all-runs'!$D:$D, D107, 'Data Combined - all-runs'!$E:$E, E107)</f>
        <v>1859.278804</v>
      </c>
      <c r="R107" s="5">
        <f>AVERAGEIFS('Data Combined - all-runs'!$R:$R, 'Data Combined - all-runs'!$A:$A, A107,'Data Combined - all-runs'!$B:$B, B107,'Data Combined - all-runs'!$C:$C, C107, 'Data Combined - all-runs'!$D:$D, D107, 'Data Combined - all-runs'!$E:$E, E107)</f>
        <v>234.8888889</v>
      </c>
      <c r="S107" s="5">
        <f>AVERAGEIFS('Data Combined - all-runs'!$S:$S, 'Data Combined - all-runs'!$A:$A, A107,'Data Combined - all-runs'!$B:$B, B107,'Data Combined - all-runs'!$C:$C, C107, 'Data Combined - all-runs'!$D:$D, D107, 'Data Combined - all-runs'!$E:$E, E107)</f>
        <v>0</v>
      </c>
      <c r="T107" s="5" t="str">
        <f>AVERAGEIFS('Data Combined - all-runs'!$T:$T, 'Data Combined - all-runs'!$A:$A, A107,'Data Combined - all-runs'!$B:$B, B107,'Data Combined - all-runs'!$C:$C, C107, 'Data Combined - all-runs'!$D:$D, D107, 'Data Combined - all-runs'!$E:$E, E107)</f>
        <v>#DIV/0!</v>
      </c>
      <c r="U107" s="5" t="b">
        <f t="shared" si="1"/>
        <v>0</v>
      </c>
      <c r="V107" s="5" t="b">
        <f t="shared" si="2"/>
        <v>0</v>
      </c>
      <c r="W107" s="5" t="b">
        <f t="shared" si="3"/>
        <v>1</v>
      </c>
    </row>
    <row r="108">
      <c r="A108" s="2" t="s">
        <v>32</v>
      </c>
      <c r="B108" s="2" t="s">
        <v>114</v>
      </c>
      <c r="C108" s="2" t="s">
        <v>23</v>
      </c>
      <c r="D108" s="2" t="s">
        <v>118</v>
      </c>
      <c r="E108" s="2" t="s">
        <v>47</v>
      </c>
      <c r="H108" s="5">
        <f>AVERAGEIFS('Data Combined - all-runs'!$H:$H, 'Data Combined - all-runs'!$A:$A, A108,'Data Combined - all-runs'!$B:$B, B108,'Data Combined - all-runs'!$C:$C, C108, 'Data Combined - all-runs'!$D:$D, D108, 'Data Combined - all-runs'!$E:$E, E108)</f>
        <v>1362</v>
      </c>
      <c r="I108" s="5" t="str">
        <f>AVERAGEIFS('Data Combined - all-runs'!$I:$I, 'Data Combined - all-runs'!$A:$A, A108,'Data Combined - all-runs'!$B:$B, B108,'Data Combined - all-runs'!$C:$C, C108, 'Data Combined - all-runs'!$D:$D, D108, 'Data Combined - all-runs'!$E:$E, E108)</f>
        <v>#DIV/0!</v>
      </c>
      <c r="J108" s="5">
        <f>AVERAGEIFS('Data Combined - all-runs'!$J:$J, 'Data Combined - all-runs'!$A:$A, A108,'Data Combined - all-runs'!$B:$B, B108,'Data Combined - all-runs'!$C:$C, C108, 'Data Combined - all-runs'!$D:$D, D108, 'Data Combined - all-runs'!$E:$E, E108)</f>
        <v>0</v>
      </c>
      <c r="K108" s="5">
        <f>AVERAGEIFS('Data Combined - all-runs'!$K:$K, 'Data Combined - all-runs'!$A:$A, A108,'Data Combined - all-runs'!$B:$B, B108,'Data Combined - all-runs'!$C:$C, C108, 'Data Combined - all-runs'!$D:$D, D108, 'Data Combined - all-runs'!$E:$E, E108)</f>
        <v>0.1486125934</v>
      </c>
      <c r="L108" s="5">
        <f>AVERAGEIFS('Data Combined - all-runs'!$L:$L, 'Data Combined - all-runs'!$A:$A, A108,'Data Combined - all-runs'!$B:$B, B108,'Data Combined - all-runs'!$C:$C, C108, 'Data Combined - all-runs'!$D:$D, D108, 'Data Combined - all-runs'!$E:$E, E108)</f>
        <v>4947.017602</v>
      </c>
      <c r="M108" s="5">
        <f>AVERAGEIFS('Data Combined - all-runs'!$M:$M, 'Data Combined - all-runs'!$A:$A, A108,'Data Combined - all-runs'!$B:$B, B108,'Data Combined - all-runs'!$C:$C, C108, 'Data Combined - all-runs'!$D:$D, D108, 'Data Combined - all-runs'!$E:$E, E108)</f>
        <v>49</v>
      </c>
      <c r="N108" s="5">
        <f>AVERAGEIFS('Data Combined - all-runs'!$N:$N, 'Data Combined - all-runs'!$A:$A, A108,'Data Combined - all-runs'!$B:$B, B108,'Data Combined - all-runs'!$C:$C, C108, 'Data Combined - all-runs'!$D:$D, D108, 'Data Combined - all-runs'!$E:$E, E108)</f>
        <v>5</v>
      </c>
      <c r="O108" s="5">
        <f>AVERAGEIFS('Data Combined - all-runs'!$O:$O, 'Data Combined - all-runs'!$A:$A, A108,'Data Combined - all-runs'!$B:$B, B108,'Data Combined - all-runs'!$C:$C, C108, 'Data Combined - all-runs'!$D:$D, D108, 'Data Combined - all-runs'!$E:$E, E108)</f>
        <v>937</v>
      </c>
      <c r="P108" s="5">
        <f>AVERAGEIFS('Data Combined - all-runs'!$P:$P, 'Data Combined - all-runs'!$A:$A, A108,'Data Combined - all-runs'!$B:$B, B108,'Data Combined - all-runs'!$C:$C, C108, 'Data Combined - all-runs'!$D:$D, D108, 'Data Combined - all-runs'!$E:$E, E108)</f>
        <v>5.336179296</v>
      </c>
      <c r="Q108" s="5">
        <f>AVERAGEIFS('Data Combined - all-runs'!$Q:$Q, 'Data Combined - all-runs'!$A:$A, A108,'Data Combined - all-runs'!$B:$B, B108,'Data Combined - all-runs'!$C:$C, C108, 'Data Combined - all-runs'!$D:$D, D108, 'Data Combined - all-runs'!$E:$E, E108)</f>
        <v>1453.57524</v>
      </c>
      <c r="R108" s="5">
        <f>AVERAGEIFS('Data Combined - all-runs'!$R:$R, 'Data Combined - all-runs'!$A:$A, A108,'Data Combined - all-runs'!$B:$B, B108,'Data Combined - all-runs'!$C:$C, C108, 'Data Combined - all-runs'!$D:$D, D108, 'Data Combined - all-runs'!$E:$E, E108)</f>
        <v>272.4</v>
      </c>
      <c r="S108" s="5">
        <f>AVERAGEIFS('Data Combined - all-runs'!$S:$S, 'Data Combined - all-runs'!$A:$A, A108,'Data Combined - all-runs'!$B:$B, B108,'Data Combined - all-runs'!$C:$C, C108, 'Data Combined - all-runs'!$D:$D, D108, 'Data Combined - all-runs'!$E:$E, E108)</f>
        <v>0</v>
      </c>
      <c r="T108" s="5" t="str">
        <f>AVERAGEIFS('Data Combined - all-runs'!$T:$T, 'Data Combined - all-runs'!$A:$A, A108,'Data Combined - all-runs'!$B:$B, B108,'Data Combined - all-runs'!$C:$C, C108, 'Data Combined - all-runs'!$D:$D, D108, 'Data Combined - all-runs'!$E:$E, E108)</f>
        <v>#DIV/0!</v>
      </c>
      <c r="U108" s="5" t="b">
        <f t="shared" si="1"/>
        <v>0</v>
      </c>
      <c r="V108" s="5" t="b">
        <f t="shared" si="2"/>
        <v>0</v>
      </c>
      <c r="W108" s="5" t="b">
        <f t="shared" si="3"/>
        <v>1</v>
      </c>
    </row>
    <row r="109">
      <c r="A109" s="2" t="s">
        <v>32</v>
      </c>
      <c r="B109" s="2" t="s">
        <v>114</v>
      </c>
      <c r="C109" s="2" t="s">
        <v>23</v>
      </c>
      <c r="D109" s="2" t="s">
        <v>118</v>
      </c>
      <c r="E109" s="2" t="s">
        <v>51</v>
      </c>
      <c r="H109" s="5">
        <f>AVERAGEIFS('Data Combined - all-runs'!$H:$H, 'Data Combined - all-runs'!$A:$A, A109,'Data Combined - all-runs'!$B:$B, B109,'Data Combined - all-runs'!$C:$C, C109, 'Data Combined - all-runs'!$D:$D, D109, 'Data Combined - all-runs'!$E:$E, E109)</f>
        <v>614</v>
      </c>
      <c r="I109" s="5" t="str">
        <f>AVERAGEIFS('Data Combined - all-runs'!$I:$I, 'Data Combined - all-runs'!$A:$A, A109,'Data Combined - all-runs'!$B:$B, B109,'Data Combined - all-runs'!$C:$C, C109, 'Data Combined - all-runs'!$D:$D, D109, 'Data Combined - all-runs'!$E:$E, E109)</f>
        <v>#DIV/0!</v>
      </c>
      <c r="J109" s="5">
        <f>AVERAGEIFS('Data Combined - all-runs'!$J:$J, 'Data Combined - all-runs'!$A:$A, A109,'Data Combined - all-runs'!$B:$B, B109,'Data Combined - all-runs'!$C:$C, C109, 'Data Combined - all-runs'!$D:$D, D109, 'Data Combined - all-runs'!$E:$E, E109)</f>
        <v>0</v>
      </c>
      <c r="K109" s="5">
        <f>AVERAGEIFS('Data Combined - all-runs'!$K:$K, 'Data Combined - all-runs'!$A:$A, A109,'Data Combined - all-runs'!$B:$B, B109,'Data Combined - all-runs'!$C:$C, C109, 'Data Combined - all-runs'!$D:$D, D109, 'Data Combined - all-runs'!$E:$E, E109)</f>
        <v>0.06852248394</v>
      </c>
      <c r="L109" s="5">
        <f>AVERAGEIFS('Data Combined - all-runs'!$L:$L, 'Data Combined - all-runs'!$A:$A, A109,'Data Combined - all-runs'!$B:$B, B109,'Data Combined - all-runs'!$C:$C, C109, 'Data Combined - all-runs'!$D:$D, D109, 'Data Combined - all-runs'!$E:$E, E109)</f>
        <v>2319.597104</v>
      </c>
      <c r="M109" s="5">
        <f>AVERAGEIFS('Data Combined - all-runs'!$M:$M, 'Data Combined - all-runs'!$A:$A, A109,'Data Combined - all-runs'!$B:$B, B109,'Data Combined - all-runs'!$C:$C, C109, 'Data Combined - all-runs'!$D:$D, D109, 'Data Combined - all-runs'!$E:$E, E109)</f>
        <v>32</v>
      </c>
      <c r="N109" s="5">
        <f>AVERAGEIFS('Data Combined - all-runs'!$N:$N, 'Data Combined - all-runs'!$A:$A, A109,'Data Combined - all-runs'!$B:$B, B109,'Data Combined - all-runs'!$C:$C, C109, 'Data Combined - all-runs'!$D:$D, D109, 'Data Combined - all-runs'!$E:$E, E109)</f>
        <v>5</v>
      </c>
      <c r="O109" s="5">
        <f>AVERAGEIFS('Data Combined - all-runs'!$O:$O, 'Data Combined - all-runs'!$A:$A, A109,'Data Combined - all-runs'!$B:$B, B109,'Data Combined - all-runs'!$C:$C, C109, 'Data Combined - all-runs'!$D:$D, D109, 'Data Combined - all-runs'!$E:$E, E109)</f>
        <v>934</v>
      </c>
      <c r="P109" s="5">
        <f>AVERAGEIFS('Data Combined - all-runs'!$P:$P, 'Data Combined - all-runs'!$A:$A, A109,'Data Combined - all-runs'!$B:$B, B109,'Data Combined - all-runs'!$C:$C, C109, 'Data Combined - all-runs'!$D:$D, D109, 'Data Combined - all-runs'!$E:$E, E109)</f>
        <v>5.353319058</v>
      </c>
      <c r="Q109" s="5">
        <f>AVERAGEIFS('Data Combined - all-runs'!$Q:$Q, 'Data Combined - all-runs'!$A:$A, A109,'Data Combined - all-runs'!$B:$B, B109,'Data Combined - all-runs'!$C:$C, C109, 'Data Combined - all-runs'!$D:$D, D109, 'Data Combined - all-runs'!$E:$E, E109)</f>
        <v>657.3875803</v>
      </c>
      <c r="R109" s="5">
        <f>AVERAGEIFS('Data Combined - all-runs'!$R:$R, 'Data Combined - all-runs'!$A:$A, A109,'Data Combined - all-runs'!$B:$B, B109,'Data Combined - all-runs'!$C:$C, C109, 'Data Combined - all-runs'!$D:$D, D109, 'Data Combined - all-runs'!$E:$E, E109)</f>
        <v>122.8</v>
      </c>
      <c r="S109" s="5">
        <f>AVERAGEIFS('Data Combined - all-runs'!$S:$S, 'Data Combined - all-runs'!$A:$A, A109,'Data Combined - all-runs'!$B:$B, B109,'Data Combined - all-runs'!$C:$C, C109, 'Data Combined - all-runs'!$D:$D, D109, 'Data Combined - all-runs'!$E:$E, E109)</f>
        <v>0</v>
      </c>
      <c r="T109" s="5" t="str">
        <f>AVERAGEIFS('Data Combined - all-runs'!$T:$T, 'Data Combined - all-runs'!$A:$A, A109,'Data Combined - all-runs'!$B:$B, B109,'Data Combined - all-runs'!$C:$C, C109, 'Data Combined - all-runs'!$D:$D, D109, 'Data Combined - all-runs'!$E:$E, E109)</f>
        <v>#DIV/0!</v>
      </c>
      <c r="U109" s="5" t="b">
        <f t="shared" si="1"/>
        <v>0</v>
      </c>
      <c r="V109" s="5" t="b">
        <f t="shared" si="2"/>
        <v>0</v>
      </c>
      <c r="W109" s="5" t="b">
        <f t="shared" si="3"/>
        <v>1</v>
      </c>
    </row>
    <row r="110">
      <c r="A110" s="2" t="s">
        <v>32</v>
      </c>
      <c r="B110" s="2" t="s">
        <v>114</v>
      </c>
      <c r="C110" s="2" t="s">
        <v>35</v>
      </c>
      <c r="D110" s="2" t="s">
        <v>24</v>
      </c>
      <c r="E110" s="2" t="s">
        <v>25</v>
      </c>
      <c r="H110" s="5" t="str">
        <f>AVERAGEIFS('Data Combined - all-runs'!$H:$H, 'Data Combined - all-runs'!$A:$A, A110,'Data Combined - all-runs'!$B:$B, B110,'Data Combined - all-runs'!$C:$C, C110, 'Data Combined - all-runs'!$D:$D, D110, 'Data Combined - all-runs'!$E:$E, E110)</f>
        <v>#DIV/0!</v>
      </c>
      <c r="I110" s="5" t="str">
        <f>AVERAGEIFS('Data Combined - all-runs'!$I:$I, 'Data Combined - all-runs'!$A:$A, A110,'Data Combined - all-runs'!$B:$B, B110,'Data Combined - all-runs'!$C:$C, C110, 'Data Combined - all-runs'!$D:$D, D110, 'Data Combined - all-runs'!$E:$E, E110)</f>
        <v>#DIV/0!</v>
      </c>
      <c r="J110" s="5" t="str">
        <f>AVERAGEIFS('Data Combined - all-runs'!$J:$J, 'Data Combined - all-runs'!$A:$A, A110,'Data Combined - all-runs'!$B:$B, B110,'Data Combined - all-runs'!$C:$C, C110, 'Data Combined - all-runs'!$D:$D, D110, 'Data Combined - all-runs'!$E:$E, E110)</f>
        <v>#DIV/0!</v>
      </c>
      <c r="K110" s="5" t="str">
        <f>AVERAGEIFS('Data Combined - all-runs'!$K:$K, 'Data Combined - all-runs'!$A:$A, A110,'Data Combined - all-runs'!$B:$B, B110,'Data Combined - all-runs'!$C:$C, C110, 'Data Combined - all-runs'!$D:$D, D110, 'Data Combined - all-runs'!$E:$E, E110)</f>
        <v>#DIV/0!</v>
      </c>
      <c r="L110" s="5" t="str">
        <f>AVERAGEIFS('Data Combined - all-runs'!$L:$L, 'Data Combined - all-runs'!$A:$A, A110,'Data Combined - all-runs'!$B:$B, B110,'Data Combined - all-runs'!$C:$C, C110, 'Data Combined - all-runs'!$D:$D, D110, 'Data Combined - all-runs'!$E:$E, E110)</f>
        <v>#DIV/0!</v>
      </c>
      <c r="M110" s="5" t="str">
        <f>AVERAGEIFS('Data Combined - all-runs'!$M:$M, 'Data Combined - all-runs'!$A:$A, A110,'Data Combined - all-runs'!$B:$B, B110,'Data Combined - all-runs'!$C:$C, C110, 'Data Combined - all-runs'!$D:$D, D110, 'Data Combined - all-runs'!$E:$E, E110)</f>
        <v>#DIV/0!</v>
      </c>
      <c r="N110" s="5" t="str">
        <f>AVERAGEIFS('Data Combined - all-runs'!$N:$N, 'Data Combined - all-runs'!$A:$A, A110,'Data Combined - all-runs'!$B:$B, B110,'Data Combined - all-runs'!$C:$C, C110, 'Data Combined - all-runs'!$D:$D, D110, 'Data Combined - all-runs'!$E:$E, E110)</f>
        <v>#DIV/0!</v>
      </c>
      <c r="O110" s="5" t="str">
        <f>AVERAGEIFS('Data Combined - all-runs'!$O:$O, 'Data Combined - all-runs'!$A:$A, A110,'Data Combined - all-runs'!$B:$B, B110,'Data Combined - all-runs'!$C:$C, C110, 'Data Combined - all-runs'!$D:$D, D110, 'Data Combined - all-runs'!$E:$E, E110)</f>
        <v>#DIV/0!</v>
      </c>
      <c r="P110" s="5" t="str">
        <f>AVERAGEIFS('Data Combined - all-runs'!$P:$P, 'Data Combined - all-runs'!$A:$A, A110,'Data Combined - all-runs'!$B:$B, B110,'Data Combined - all-runs'!$C:$C, C110, 'Data Combined - all-runs'!$D:$D, D110, 'Data Combined - all-runs'!$E:$E, E110)</f>
        <v>#DIV/0!</v>
      </c>
      <c r="Q110" s="5" t="str">
        <f>AVERAGEIFS('Data Combined - all-runs'!$Q:$Q, 'Data Combined - all-runs'!$A:$A, A110,'Data Combined - all-runs'!$B:$B, B110,'Data Combined - all-runs'!$C:$C, C110, 'Data Combined - all-runs'!$D:$D, D110, 'Data Combined - all-runs'!$E:$E, E110)</f>
        <v>#DIV/0!</v>
      </c>
      <c r="R110" s="5" t="str">
        <f>AVERAGEIFS('Data Combined - all-runs'!$R:$R, 'Data Combined - all-runs'!$A:$A, A110,'Data Combined - all-runs'!$B:$B, B110,'Data Combined - all-runs'!$C:$C, C110, 'Data Combined - all-runs'!$D:$D, D110, 'Data Combined - all-runs'!$E:$E, E110)</f>
        <v>#DIV/0!</v>
      </c>
      <c r="S110" s="5" t="str">
        <f>AVERAGEIFS('Data Combined - all-runs'!$S:$S, 'Data Combined - all-runs'!$A:$A, A110,'Data Combined - all-runs'!$B:$B, B110,'Data Combined - all-runs'!$C:$C, C110, 'Data Combined - all-runs'!$D:$D, D110, 'Data Combined - all-runs'!$E:$E, E110)</f>
        <v>#DIV/0!</v>
      </c>
      <c r="T110" s="5" t="str">
        <f>AVERAGEIFS('Data Combined - all-runs'!$T:$T, 'Data Combined - all-runs'!$A:$A, A110,'Data Combined - all-runs'!$B:$B, B110,'Data Combined - all-runs'!$C:$C, C110, 'Data Combined - all-runs'!$D:$D, D110, 'Data Combined - all-runs'!$E:$E, E110)</f>
        <v>#DIV/0!</v>
      </c>
      <c r="U110" s="5" t="b">
        <f t="shared" si="1"/>
        <v>0</v>
      </c>
      <c r="V110" s="5" t="b">
        <f t="shared" si="2"/>
        <v>0</v>
      </c>
      <c r="W110" s="5" t="b">
        <f t="shared" si="3"/>
        <v>0</v>
      </c>
    </row>
    <row r="111">
      <c r="A111" s="2" t="s">
        <v>32</v>
      </c>
      <c r="B111" s="2" t="s">
        <v>114</v>
      </c>
      <c r="C111" s="2" t="s">
        <v>35</v>
      </c>
      <c r="D111" s="2" t="s">
        <v>24</v>
      </c>
      <c r="E111" s="2" t="s">
        <v>39</v>
      </c>
      <c r="H111" s="5" t="str">
        <f>AVERAGEIFS('Data Combined - all-runs'!$H:$H, 'Data Combined - all-runs'!$A:$A, A111,'Data Combined - all-runs'!$B:$B, B111,'Data Combined - all-runs'!$C:$C, C111, 'Data Combined - all-runs'!$D:$D, D111, 'Data Combined - all-runs'!$E:$E, E111)</f>
        <v>#DIV/0!</v>
      </c>
      <c r="I111" s="5" t="str">
        <f>AVERAGEIFS('Data Combined - all-runs'!$I:$I, 'Data Combined - all-runs'!$A:$A, A111,'Data Combined - all-runs'!$B:$B, B111,'Data Combined - all-runs'!$C:$C, C111, 'Data Combined - all-runs'!$D:$D, D111, 'Data Combined - all-runs'!$E:$E, E111)</f>
        <v>#DIV/0!</v>
      </c>
      <c r="J111" s="5" t="str">
        <f>AVERAGEIFS('Data Combined - all-runs'!$J:$J, 'Data Combined - all-runs'!$A:$A, A111,'Data Combined - all-runs'!$B:$B, B111,'Data Combined - all-runs'!$C:$C, C111, 'Data Combined - all-runs'!$D:$D, D111, 'Data Combined - all-runs'!$E:$E, E111)</f>
        <v>#DIV/0!</v>
      </c>
      <c r="K111" s="5" t="str">
        <f>AVERAGEIFS('Data Combined - all-runs'!$K:$K, 'Data Combined - all-runs'!$A:$A, A111,'Data Combined - all-runs'!$B:$B, B111,'Data Combined - all-runs'!$C:$C, C111, 'Data Combined - all-runs'!$D:$D, D111, 'Data Combined - all-runs'!$E:$E, E111)</f>
        <v>#DIV/0!</v>
      </c>
      <c r="L111" s="5" t="str">
        <f>AVERAGEIFS('Data Combined - all-runs'!$L:$L, 'Data Combined - all-runs'!$A:$A, A111,'Data Combined - all-runs'!$B:$B, B111,'Data Combined - all-runs'!$C:$C, C111, 'Data Combined - all-runs'!$D:$D, D111, 'Data Combined - all-runs'!$E:$E, E111)</f>
        <v>#DIV/0!</v>
      </c>
      <c r="M111" s="5" t="str">
        <f>AVERAGEIFS('Data Combined - all-runs'!$M:$M, 'Data Combined - all-runs'!$A:$A, A111,'Data Combined - all-runs'!$B:$B, B111,'Data Combined - all-runs'!$C:$C, C111, 'Data Combined - all-runs'!$D:$D, D111, 'Data Combined - all-runs'!$E:$E, E111)</f>
        <v>#DIV/0!</v>
      </c>
      <c r="N111" s="5" t="str">
        <f>AVERAGEIFS('Data Combined - all-runs'!$N:$N, 'Data Combined - all-runs'!$A:$A, A111,'Data Combined - all-runs'!$B:$B, B111,'Data Combined - all-runs'!$C:$C, C111, 'Data Combined - all-runs'!$D:$D, D111, 'Data Combined - all-runs'!$E:$E, E111)</f>
        <v>#DIV/0!</v>
      </c>
      <c r="O111" s="5" t="str">
        <f>AVERAGEIFS('Data Combined - all-runs'!$O:$O, 'Data Combined - all-runs'!$A:$A, A111,'Data Combined - all-runs'!$B:$B, B111,'Data Combined - all-runs'!$C:$C, C111, 'Data Combined - all-runs'!$D:$D, D111, 'Data Combined - all-runs'!$E:$E, E111)</f>
        <v>#DIV/0!</v>
      </c>
      <c r="P111" s="5" t="str">
        <f>AVERAGEIFS('Data Combined - all-runs'!$P:$P, 'Data Combined - all-runs'!$A:$A, A111,'Data Combined - all-runs'!$B:$B, B111,'Data Combined - all-runs'!$C:$C, C111, 'Data Combined - all-runs'!$D:$D, D111, 'Data Combined - all-runs'!$E:$E, E111)</f>
        <v>#DIV/0!</v>
      </c>
      <c r="Q111" s="5" t="str">
        <f>AVERAGEIFS('Data Combined - all-runs'!$Q:$Q, 'Data Combined - all-runs'!$A:$A, A111,'Data Combined - all-runs'!$B:$B, B111,'Data Combined - all-runs'!$C:$C, C111, 'Data Combined - all-runs'!$D:$D, D111, 'Data Combined - all-runs'!$E:$E, E111)</f>
        <v>#DIV/0!</v>
      </c>
      <c r="R111" s="5" t="str">
        <f>AVERAGEIFS('Data Combined - all-runs'!$R:$R, 'Data Combined - all-runs'!$A:$A, A111,'Data Combined - all-runs'!$B:$B, B111,'Data Combined - all-runs'!$C:$C, C111, 'Data Combined - all-runs'!$D:$D, D111, 'Data Combined - all-runs'!$E:$E, E111)</f>
        <v>#DIV/0!</v>
      </c>
      <c r="S111" s="5" t="str">
        <f>AVERAGEIFS('Data Combined - all-runs'!$S:$S, 'Data Combined - all-runs'!$A:$A, A111,'Data Combined - all-runs'!$B:$B, B111,'Data Combined - all-runs'!$C:$C, C111, 'Data Combined - all-runs'!$D:$D, D111, 'Data Combined - all-runs'!$E:$E, E111)</f>
        <v>#DIV/0!</v>
      </c>
      <c r="T111" s="5" t="str">
        <f>AVERAGEIFS('Data Combined - all-runs'!$T:$T, 'Data Combined - all-runs'!$A:$A, A111,'Data Combined - all-runs'!$B:$B, B111,'Data Combined - all-runs'!$C:$C, C111, 'Data Combined - all-runs'!$D:$D, D111, 'Data Combined - all-runs'!$E:$E, E111)</f>
        <v>#DIV/0!</v>
      </c>
      <c r="U111" s="5" t="b">
        <f t="shared" si="1"/>
        <v>0</v>
      </c>
      <c r="V111" s="5" t="b">
        <f t="shared" si="2"/>
        <v>0</v>
      </c>
      <c r="W111" s="5" t="b">
        <f t="shared" si="3"/>
        <v>0</v>
      </c>
    </row>
    <row r="112">
      <c r="A112" s="2" t="s">
        <v>32</v>
      </c>
      <c r="B112" s="2" t="s">
        <v>114</v>
      </c>
      <c r="C112" s="2" t="s">
        <v>35</v>
      </c>
      <c r="D112" s="2" t="s">
        <v>24</v>
      </c>
      <c r="E112" s="2" t="s">
        <v>43</v>
      </c>
      <c r="H112" s="5" t="str">
        <f>AVERAGEIFS('Data Combined - all-runs'!$H:$H, 'Data Combined - all-runs'!$A:$A, A112,'Data Combined - all-runs'!$B:$B, B112,'Data Combined - all-runs'!$C:$C, C112, 'Data Combined - all-runs'!$D:$D, D112, 'Data Combined - all-runs'!$E:$E, E112)</f>
        <v>#DIV/0!</v>
      </c>
      <c r="I112" s="5" t="str">
        <f>AVERAGEIFS('Data Combined - all-runs'!$I:$I, 'Data Combined - all-runs'!$A:$A, A112,'Data Combined - all-runs'!$B:$B, B112,'Data Combined - all-runs'!$C:$C, C112, 'Data Combined - all-runs'!$D:$D, D112, 'Data Combined - all-runs'!$E:$E, E112)</f>
        <v>#DIV/0!</v>
      </c>
      <c r="J112" s="5" t="str">
        <f>AVERAGEIFS('Data Combined - all-runs'!$J:$J, 'Data Combined - all-runs'!$A:$A, A112,'Data Combined - all-runs'!$B:$B, B112,'Data Combined - all-runs'!$C:$C, C112, 'Data Combined - all-runs'!$D:$D, D112, 'Data Combined - all-runs'!$E:$E, E112)</f>
        <v>#DIV/0!</v>
      </c>
      <c r="K112" s="5" t="str">
        <f>AVERAGEIFS('Data Combined - all-runs'!$K:$K, 'Data Combined - all-runs'!$A:$A, A112,'Data Combined - all-runs'!$B:$B, B112,'Data Combined - all-runs'!$C:$C, C112, 'Data Combined - all-runs'!$D:$D, D112, 'Data Combined - all-runs'!$E:$E, E112)</f>
        <v>#DIV/0!</v>
      </c>
      <c r="L112" s="5" t="str">
        <f>AVERAGEIFS('Data Combined - all-runs'!$L:$L, 'Data Combined - all-runs'!$A:$A, A112,'Data Combined - all-runs'!$B:$B, B112,'Data Combined - all-runs'!$C:$C, C112, 'Data Combined - all-runs'!$D:$D, D112, 'Data Combined - all-runs'!$E:$E, E112)</f>
        <v>#DIV/0!</v>
      </c>
      <c r="M112" s="5" t="str">
        <f>AVERAGEIFS('Data Combined - all-runs'!$M:$M, 'Data Combined - all-runs'!$A:$A, A112,'Data Combined - all-runs'!$B:$B, B112,'Data Combined - all-runs'!$C:$C, C112, 'Data Combined - all-runs'!$D:$D, D112, 'Data Combined - all-runs'!$E:$E, E112)</f>
        <v>#DIV/0!</v>
      </c>
      <c r="N112" s="5" t="str">
        <f>AVERAGEIFS('Data Combined - all-runs'!$N:$N, 'Data Combined - all-runs'!$A:$A, A112,'Data Combined - all-runs'!$B:$B, B112,'Data Combined - all-runs'!$C:$C, C112, 'Data Combined - all-runs'!$D:$D, D112, 'Data Combined - all-runs'!$E:$E, E112)</f>
        <v>#DIV/0!</v>
      </c>
      <c r="O112" s="5" t="str">
        <f>AVERAGEIFS('Data Combined - all-runs'!$O:$O, 'Data Combined - all-runs'!$A:$A, A112,'Data Combined - all-runs'!$B:$B, B112,'Data Combined - all-runs'!$C:$C, C112, 'Data Combined - all-runs'!$D:$D, D112, 'Data Combined - all-runs'!$E:$E, E112)</f>
        <v>#DIV/0!</v>
      </c>
      <c r="P112" s="5" t="str">
        <f>AVERAGEIFS('Data Combined - all-runs'!$P:$P, 'Data Combined - all-runs'!$A:$A, A112,'Data Combined - all-runs'!$B:$B, B112,'Data Combined - all-runs'!$C:$C, C112, 'Data Combined - all-runs'!$D:$D, D112, 'Data Combined - all-runs'!$E:$E, E112)</f>
        <v>#DIV/0!</v>
      </c>
      <c r="Q112" s="5" t="str">
        <f>AVERAGEIFS('Data Combined - all-runs'!$Q:$Q, 'Data Combined - all-runs'!$A:$A, A112,'Data Combined - all-runs'!$B:$B, B112,'Data Combined - all-runs'!$C:$C, C112, 'Data Combined - all-runs'!$D:$D, D112, 'Data Combined - all-runs'!$E:$E, E112)</f>
        <v>#DIV/0!</v>
      </c>
      <c r="R112" s="5" t="str">
        <f>AVERAGEIFS('Data Combined - all-runs'!$R:$R, 'Data Combined - all-runs'!$A:$A, A112,'Data Combined - all-runs'!$B:$B, B112,'Data Combined - all-runs'!$C:$C, C112, 'Data Combined - all-runs'!$D:$D, D112, 'Data Combined - all-runs'!$E:$E, E112)</f>
        <v>#DIV/0!</v>
      </c>
      <c r="S112" s="5" t="str">
        <f>AVERAGEIFS('Data Combined - all-runs'!$S:$S, 'Data Combined - all-runs'!$A:$A, A112,'Data Combined - all-runs'!$B:$B, B112,'Data Combined - all-runs'!$C:$C, C112, 'Data Combined - all-runs'!$D:$D, D112, 'Data Combined - all-runs'!$E:$E, E112)</f>
        <v>#DIV/0!</v>
      </c>
      <c r="T112" s="5" t="str">
        <f>AVERAGEIFS('Data Combined - all-runs'!$T:$T, 'Data Combined - all-runs'!$A:$A, A112,'Data Combined - all-runs'!$B:$B, B112,'Data Combined - all-runs'!$C:$C, C112, 'Data Combined - all-runs'!$D:$D, D112, 'Data Combined - all-runs'!$E:$E, E112)</f>
        <v>#DIV/0!</v>
      </c>
      <c r="U112" s="5" t="b">
        <f t="shared" si="1"/>
        <v>0</v>
      </c>
      <c r="V112" s="5" t="b">
        <f t="shared" si="2"/>
        <v>0</v>
      </c>
      <c r="W112" s="5" t="b">
        <f t="shared" si="3"/>
        <v>0</v>
      </c>
    </row>
    <row r="113">
      <c r="A113" s="2" t="s">
        <v>32</v>
      </c>
      <c r="B113" s="2" t="s">
        <v>114</v>
      </c>
      <c r="C113" s="2" t="s">
        <v>35</v>
      </c>
      <c r="D113" s="2" t="s">
        <v>24</v>
      </c>
      <c r="E113" s="2" t="s">
        <v>34</v>
      </c>
      <c r="H113" s="5" t="str">
        <f>AVERAGEIFS('Data Combined - all-runs'!$H:$H, 'Data Combined - all-runs'!$A:$A, A113,'Data Combined - all-runs'!$B:$B, B113,'Data Combined - all-runs'!$C:$C, C113, 'Data Combined - all-runs'!$D:$D, D113, 'Data Combined - all-runs'!$E:$E, E113)</f>
        <v>#DIV/0!</v>
      </c>
      <c r="I113" s="5" t="str">
        <f>AVERAGEIFS('Data Combined - all-runs'!$I:$I, 'Data Combined - all-runs'!$A:$A, A113,'Data Combined - all-runs'!$B:$B, B113,'Data Combined - all-runs'!$C:$C, C113, 'Data Combined - all-runs'!$D:$D, D113, 'Data Combined - all-runs'!$E:$E, E113)</f>
        <v>#DIV/0!</v>
      </c>
      <c r="J113" s="5" t="str">
        <f>AVERAGEIFS('Data Combined - all-runs'!$J:$J, 'Data Combined - all-runs'!$A:$A, A113,'Data Combined - all-runs'!$B:$B, B113,'Data Combined - all-runs'!$C:$C, C113, 'Data Combined - all-runs'!$D:$D, D113, 'Data Combined - all-runs'!$E:$E, E113)</f>
        <v>#DIV/0!</v>
      </c>
      <c r="K113" s="5" t="str">
        <f>AVERAGEIFS('Data Combined - all-runs'!$K:$K, 'Data Combined - all-runs'!$A:$A, A113,'Data Combined - all-runs'!$B:$B, B113,'Data Combined - all-runs'!$C:$C, C113, 'Data Combined - all-runs'!$D:$D, D113, 'Data Combined - all-runs'!$E:$E, E113)</f>
        <v>#DIV/0!</v>
      </c>
      <c r="L113" s="5" t="str">
        <f>AVERAGEIFS('Data Combined - all-runs'!$L:$L, 'Data Combined - all-runs'!$A:$A, A113,'Data Combined - all-runs'!$B:$B, B113,'Data Combined - all-runs'!$C:$C, C113, 'Data Combined - all-runs'!$D:$D, D113, 'Data Combined - all-runs'!$E:$E, E113)</f>
        <v>#DIV/0!</v>
      </c>
      <c r="M113" s="5" t="str">
        <f>AVERAGEIFS('Data Combined - all-runs'!$M:$M, 'Data Combined - all-runs'!$A:$A, A113,'Data Combined - all-runs'!$B:$B, B113,'Data Combined - all-runs'!$C:$C, C113, 'Data Combined - all-runs'!$D:$D, D113, 'Data Combined - all-runs'!$E:$E, E113)</f>
        <v>#DIV/0!</v>
      </c>
      <c r="N113" s="5" t="str">
        <f>AVERAGEIFS('Data Combined - all-runs'!$N:$N, 'Data Combined - all-runs'!$A:$A, A113,'Data Combined - all-runs'!$B:$B, B113,'Data Combined - all-runs'!$C:$C, C113, 'Data Combined - all-runs'!$D:$D, D113, 'Data Combined - all-runs'!$E:$E, E113)</f>
        <v>#DIV/0!</v>
      </c>
      <c r="O113" s="5" t="str">
        <f>AVERAGEIFS('Data Combined - all-runs'!$O:$O, 'Data Combined - all-runs'!$A:$A, A113,'Data Combined - all-runs'!$B:$B, B113,'Data Combined - all-runs'!$C:$C, C113, 'Data Combined - all-runs'!$D:$D, D113, 'Data Combined - all-runs'!$E:$E, E113)</f>
        <v>#DIV/0!</v>
      </c>
      <c r="P113" s="5" t="str">
        <f>AVERAGEIFS('Data Combined - all-runs'!$P:$P, 'Data Combined - all-runs'!$A:$A, A113,'Data Combined - all-runs'!$B:$B, B113,'Data Combined - all-runs'!$C:$C, C113, 'Data Combined - all-runs'!$D:$D, D113, 'Data Combined - all-runs'!$E:$E, E113)</f>
        <v>#DIV/0!</v>
      </c>
      <c r="Q113" s="5" t="str">
        <f>AVERAGEIFS('Data Combined - all-runs'!$Q:$Q, 'Data Combined - all-runs'!$A:$A, A113,'Data Combined - all-runs'!$B:$B, B113,'Data Combined - all-runs'!$C:$C, C113, 'Data Combined - all-runs'!$D:$D, D113, 'Data Combined - all-runs'!$E:$E, E113)</f>
        <v>#DIV/0!</v>
      </c>
      <c r="R113" s="5" t="str">
        <f>AVERAGEIFS('Data Combined - all-runs'!$R:$R, 'Data Combined - all-runs'!$A:$A, A113,'Data Combined - all-runs'!$B:$B, B113,'Data Combined - all-runs'!$C:$C, C113, 'Data Combined - all-runs'!$D:$D, D113, 'Data Combined - all-runs'!$E:$E, E113)</f>
        <v>#DIV/0!</v>
      </c>
      <c r="S113" s="5" t="str">
        <f>AVERAGEIFS('Data Combined - all-runs'!$S:$S, 'Data Combined - all-runs'!$A:$A, A113,'Data Combined - all-runs'!$B:$B, B113,'Data Combined - all-runs'!$C:$C, C113, 'Data Combined - all-runs'!$D:$D, D113, 'Data Combined - all-runs'!$E:$E, E113)</f>
        <v>#DIV/0!</v>
      </c>
      <c r="T113" s="5" t="str">
        <f>AVERAGEIFS('Data Combined - all-runs'!$T:$T, 'Data Combined - all-runs'!$A:$A, A113,'Data Combined - all-runs'!$B:$B, B113,'Data Combined - all-runs'!$C:$C, C113, 'Data Combined - all-runs'!$D:$D, D113, 'Data Combined - all-runs'!$E:$E, E113)</f>
        <v>#DIV/0!</v>
      </c>
      <c r="U113" s="5" t="b">
        <f t="shared" si="1"/>
        <v>0</v>
      </c>
      <c r="V113" s="5" t="b">
        <f t="shared" si="2"/>
        <v>0</v>
      </c>
      <c r="W113" s="5" t="b">
        <f t="shared" si="3"/>
        <v>0</v>
      </c>
    </row>
    <row r="114">
      <c r="A114" s="2" t="s">
        <v>32</v>
      </c>
      <c r="B114" s="2" t="s">
        <v>114</v>
      </c>
      <c r="C114" s="2" t="s">
        <v>35</v>
      </c>
      <c r="D114" s="2" t="s">
        <v>24</v>
      </c>
      <c r="E114" s="2" t="s">
        <v>47</v>
      </c>
      <c r="H114" s="5" t="str">
        <f>AVERAGEIFS('Data Combined - all-runs'!$H:$H, 'Data Combined - all-runs'!$A:$A, A114,'Data Combined - all-runs'!$B:$B, B114,'Data Combined - all-runs'!$C:$C, C114, 'Data Combined - all-runs'!$D:$D, D114, 'Data Combined - all-runs'!$E:$E, E114)</f>
        <v>#DIV/0!</v>
      </c>
      <c r="I114" s="5" t="str">
        <f>AVERAGEIFS('Data Combined - all-runs'!$I:$I, 'Data Combined - all-runs'!$A:$A, A114,'Data Combined - all-runs'!$B:$B, B114,'Data Combined - all-runs'!$C:$C, C114, 'Data Combined - all-runs'!$D:$D, D114, 'Data Combined - all-runs'!$E:$E, E114)</f>
        <v>#DIV/0!</v>
      </c>
      <c r="J114" s="5" t="str">
        <f>AVERAGEIFS('Data Combined - all-runs'!$J:$J, 'Data Combined - all-runs'!$A:$A, A114,'Data Combined - all-runs'!$B:$B, B114,'Data Combined - all-runs'!$C:$C, C114, 'Data Combined - all-runs'!$D:$D, D114, 'Data Combined - all-runs'!$E:$E, E114)</f>
        <v>#DIV/0!</v>
      </c>
      <c r="K114" s="5" t="str">
        <f>AVERAGEIFS('Data Combined - all-runs'!$K:$K, 'Data Combined - all-runs'!$A:$A, A114,'Data Combined - all-runs'!$B:$B, B114,'Data Combined - all-runs'!$C:$C, C114, 'Data Combined - all-runs'!$D:$D, D114, 'Data Combined - all-runs'!$E:$E, E114)</f>
        <v>#DIV/0!</v>
      </c>
      <c r="L114" s="5" t="str">
        <f>AVERAGEIFS('Data Combined - all-runs'!$L:$L, 'Data Combined - all-runs'!$A:$A, A114,'Data Combined - all-runs'!$B:$B, B114,'Data Combined - all-runs'!$C:$C, C114, 'Data Combined - all-runs'!$D:$D, D114, 'Data Combined - all-runs'!$E:$E, E114)</f>
        <v>#DIV/0!</v>
      </c>
      <c r="M114" s="5" t="str">
        <f>AVERAGEIFS('Data Combined - all-runs'!$M:$M, 'Data Combined - all-runs'!$A:$A, A114,'Data Combined - all-runs'!$B:$B, B114,'Data Combined - all-runs'!$C:$C, C114, 'Data Combined - all-runs'!$D:$D, D114, 'Data Combined - all-runs'!$E:$E, E114)</f>
        <v>#DIV/0!</v>
      </c>
      <c r="N114" s="5" t="str">
        <f>AVERAGEIFS('Data Combined - all-runs'!$N:$N, 'Data Combined - all-runs'!$A:$A, A114,'Data Combined - all-runs'!$B:$B, B114,'Data Combined - all-runs'!$C:$C, C114, 'Data Combined - all-runs'!$D:$D, D114, 'Data Combined - all-runs'!$E:$E, E114)</f>
        <v>#DIV/0!</v>
      </c>
      <c r="O114" s="5" t="str">
        <f>AVERAGEIFS('Data Combined - all-runs'!$O:$O, 'Data Combined - all-runs'!$A:$A, A114,'Data Combined - all-runs'!$B:$B, B114,'Data Combined - all-runs'!$C:$C, C114, 'Data Combined - all-runs'!$D:$D, D114, 'Data Combined - all-runs'!$E:$E, E114)</f>
        <v>#DIV/0!</v>
      </c>
      <c r="P114" s="5" t="str">
        <f>AVERAGEIFS('Data Combined - all-runs'!$P:$P, 'Data Combined - all-runs'!$A:$A, A114,'Data Combined - all-runs'!$B:$B, B114,'Data Combined - all-runs'!$C:$C, C114, 'Data Combined - all-runs'!$D:$D, D114, 'Data Combined - all-runs'!$E:$E, E114)</f>
        <v>#DIV/0!</v>
      </c>
      <c r="Q114" s="5" t="str">
        <f>AVERAGEIFS('Data Combined - all-runs'!$Q:$Q, 'Data Combined - all-runs'!$A:$A, A114,'Data Combined - all-runs'!$B:$B, B114,'Data Combined - all-runs'!$C:$C, C114, 'Data Combined - all-runs'!$D:$D, D114, 'Data Combined - all-runs'!$E:$E, E114)</f>
        <v>#DIV/0!</v>
      </c>
      <c r="R114" s="5" t="str">
        <f>AVERAGEIFS('Data Combined - all-runs'!$R:$R, 'Data Combined - all-runs'!$A:$A, A114,'Data Combined - all-runs'!$B:$B, B114,'Data Combined - all-runs'!$C:$C, C114, 'Data Combined - all-runs'!$D:$D, D114, 'Data Combined - all-runs'!$E:$E, E114)</f>
        <v>#DIV/0!</v>
      </c>
      <c r="S114" s="5" t="str">
        <f>AVERAGEIFS('Data Combined - all-runs'!$S:$S, 'Data Combined - all-runs'!$A:$A, A114,'Data Combined - all-runs'!$B:$B, B114,'Data Combined - all-runs'!$C:$C, C114, 'Data Combined - all-runs'!$D:$D, D114, 'Data Combined - all-runs'!$E:$E, E114)</f>
        <v>#DIV/0!</v>
      </c>
      <c r="T114" s="5" t="str">
        <f>AVERAGEIFS('Data Combined - all-runs'!$T:$T, 'Data Combined - all-runs'!$A:$A, A114,'Data Combined - all-runs'!$B:$B, B114,'Data Combined - all-runs'!$C:$C, C114, 'Data Combined - all-runs'!$D:$D, D114, 'Data Combined - all-runs'!$E:$E, E114)</f>
        <v>#DIV/0!</v>
      </c>
      <c r="U114" s="5" t="b">
        <f t="shared" si="1"/>
        <v>0</v>
      </c>
      <c r="V114" s="5" t="b">
        <f t="shared" si="2"/>
        <v>0</v>
      </c>
      <c r="W114" s="5" t="b">
        <f t="shared" si="3"/>
        <v>0</v>
      </c>
    </row>
    <row r="115">
      <c r="A115" s="2" t="s">
        <v>32</v>
      </c>
      <c r="B115" s="2" t="s">
        <v>114</v>
      </c>
      <c r="C115" s="2" t="s">
        <v>35</v>
      </c>
      <c r="D115" s="2" t="s">
        <v>24</v>
      </c>
      <c r="E115" s="2" t="s">
        <v>51</v>
      </c>
      <c r="H115" s="5" t="str">
        <f>AVERAGEIFS('Data Combined - all-runs'!$H:$H, 'Data Combined - all-runs'!$A:$A, A115,'Data Combined - all-runs'!$B:$B, B115,'Data Combined - all-runs'!$C:$C, C115, 'Data Combined - all-runs'!$D:$D, D115, 'Data Combined - all-runs'!$E:$E, E115)</f>
        <v>#DIV/0!</v>
      </c>
      <c r="I115" s="5" t="str">
        <f>AVERAGEIFS('Data Combined - all-runs'!$I:$I, 'Data Combined - all-runs'!$A:$A, A115,'Data Combined - all-runs'!$B:$B, B115,'Data Combined - all-runs'!$C:$C, C115, 'Data Combined - all-runs'!$D:$D, D115, 'Data Combined - all-runs'!$E:$E, E115)</f>
        <v>#DIV/0!</v>
      </c>
      <c r="J115" s="5" t="str">
        <f>AVERAGEIFS('Data Combined - all-runs'!$J:$J, 'Data Combined - all-runs'!$A:$A, A115,'Data Combined - all-runs'!$B:$B, B115,'Data Combined - all-runs'!$C:$C, C115, 'Data Combined - all-runs'!$D:$D, D115, 'Data Combined - all-runs'!$E:$E, E115)</f>
        <v>#DIV/0!</v>
      </c>
      <c r="K115" s="5" t="str">
        <f>AVERAGEIFS('Data Combined - all-runs'!$K:$K, 'Data Combined - all-runs'!$A:$A, A115,'Data Combined - all-runs'!$B:$B, B115,'Data Combined - all-runs'!$C:$C, C115, 'Data Combined - all-runs'!$D:$D, D115, 'Data Combined - all-runs'!$E:$E, E115)</f>
        <v>#DIV/0!</v>
      </c>
      <c r="L115" s="5" t="str">
        <f>AVERAGEIFS('Data Combined - all-runs'!$L:$L, 'Data Combined - all-runs'!$A:$A, A115,'Data Combined - all-runs'!$B:$B, B115,'Data Combined - all-runs'!$C:$C, C115, 'Data Combined - all-runs'!$D:$D, D115, 'Data Combined - all-runs'!$E:$E, E115)</f>
        <v>#DIV/0!</v>
      </c>
      <c r="M115" s="5" t="str">
        <f>AVERAGEIFS('Data Combined - all-runs'!$M:$M, 'Data Combined - all-runs'!$A:$A, A115,'Data Combined - all-runs'!$B:$B, B115,'Data Combined - all-runs'!$C:$C, C115, 'Data Combined - all-runs'!$D:$D, D115, 'Data Combined - all-runs'!$E:$E, E115)</f>
        <v>#DIV/0!</v>
      </c>
      <c r="N115" s="5" t="str">
        <f>AVERAGEIFS('Data Combined - all-runs'!$N:$N, 'Data Combined - all-runs'!$A:$A, A115,'Data Combined - all-runs'!$B:$B, B115,'Data Combined - all-runs'!$C:$C, C115, 'Data Combined - all-runs'!$D:$D, D115, 'Data Combined - all-runs'!$E:$E, E115)</f>
        <v>#DIV/0!</v>
      </c>
      <c r="O115" s="5" t="str">
        <f>AVERAGEIFS('Data Combined - all-runs'!$O:$O, 'Data Combined - all-runs'!$A:$A, A115,'Data Combined - all-runs'!$B:$B, B115,'Data Combined - all-runs'!$C:$C, C115, 'Data Combined - all-runs'!$D:$D, D115, 'Data Combined - all-runs'!$E:$E, E115)</f>
        <v>#DIV/0!</v>
      </c>
      <c r="P115" s="5" t="str">
        <f>AVERAGEIFS('Data Combined - all-runs'!$P:$P, 'Data Combined - all-runs'!$A:$A, A115,'Data Combined - all-runs'!$B:$B, B115,'Data Combined - all-runs'!$C:$C, C115, 'Data Combined - all-runs'!$D:$D, D115, 'Data Combined - all-runs'!$E:$E, E115)</f>
        <v>#DIV/0!</v>
      </c>
      <c r="Q115" s="5" t="str">
        <f>AVERAGEIFS('Data Combined - all-runs'!$Q:$Q, 'Data Combined - all-runs'!$A:$A, A115,'Data Combined - all-runs'!$B:$B, B115,'Data Combined - all-runs'!$C:$C, C115, 'Data Combined - all-runs'!$D:$D, D115, 'Data Combined - all-runs'!$E:$E, E115)</f>
        <v>#DIV/0!</v>
      </c>
      <c r="R115" s="5" t="str">
        <f>AVERAGEIFS('Data Combined - all-runs'!$R:$R, 'Data Combined - all-runs'!$A:$A, A115,'Data Combined - all-runs'!$B:$B, B115,'Data Combined - all-runs'!$C:$C, C115, 'Data Combined - all-runs'!$D:$D, D115, 'Data Combined - all-runs'!$E:$E, E115)</f>
        <v>#DIV/0!</v>
      </c>
      <c r="S115" s="5" t="str">
        <f>AVERAGEIFS('Data Combined - all-runs'!$S:$S, 'Data Combined - all-runs'!$A:$A, A115,'Data Combined - all-runs'!$B:$B, B115,'Data Combined - all-runs'!$C:$C, C115, 'Data Combined - all-runs'!$D:$D, D115, 'Data Combined - all-runs'!$E:$E, E115)</f>
        <v>#DIV/0!</v>
      </c>
      <c r="T115" s="5" t="str">
        <f>AVERAGEIFS('Data Combined - all-runs'!$T:$T, 'Data Combined - all-runs'!$A:$A, A115,'Data Combined - all-runs'!$B:$B, B115,'Data Combined - all-runs'!$C:$C, C115, 'Data Combined - all-runs'!$D:$D, D115, 'Data Combined - all-runs'!$E:$E, E115)</f>
        <v>#DIV/0!</v>
      </c>
      <c r="U115" s="5" t="b">
        <f t="shared" si="1"/>
        <v>0</v>
      </c>
      <c r="V115" s="5" t="b">
        <f t="shared" si="2"/>
        <v>0</v>
      </c>
      <c r="W115" s="5" t="b">
        <f t="shared" si="3"/>
        <v>0</v>
      </c>
    </row>
    <row r="116">
      <c r="A116" s="2" t="s">
        <v>32</v>
      </c>
      <c r="B116" s="2" t="s">
        <v>114</v>
      </c>
      <c r="C116" s="2" t="s">
        <v>35</v>
      </c>
      <c r="D116" s="2" t="s">
        <v>54</v>
      </c>
      <c r="E116" s="2" t="s">
        <v>25</v>
      </c>
      <c r="H116" s="5" t="str">
        <f>AVERAGEIFS('Data Combined - all-runs'!$H:$H, 'Data Combined - all-runs'!$A:$A, A116,'Data Combined - all-runs'!$B:$B, B116,'Data Combined - all-runs'!$C:$C, C116, 'Data Combined - all-runs'!$D:$D, D116, 'Data Combined - all-runs'!$E:$E, E116)</f>
        <v>#DIV/0!</v>
      </c>
      <c r="I116" s="5" t="str">
        <f>AVERAGEIFS('Data Combined - all-runs'!$I:$I, 'Data Combined - all-runs'!$A:$A, A116,'Data Combined - all-runs'!$B:$B, B116,'Data Combined - all-runs'!$C:$C, C116, 'Data Combined - all-runs'!$D:$D, D116, 'Data Combined - all-runs'!$E:$E, E116)</f>
        <v>#DIV/0!</v>
      </c>
      <c r="J116" s="5" t="str">
        <f>AVERAGEIFS('Data Combined - all-runs'!$J:$J, 'Data Combined - all-runs'!$A:$A, A116,'Data Combined - all-runs'!$B:$B, B116,'Data Combined - all-runs'!$C:$C, C116, 'Data Combined - all-runs'!$D:$D, D116, 'Data Combined - all-runs'!$E:$E, E116)</f>
        <v>#DIV/0!</v>
      </c>
      <c r="K116" s="5" t="str">
        <f>AVERAGEIFS('Data Combined - all-runs'!$K:$K, 'Data Combined - all-runs'!$A:$A, A116,'Data Combined - all-runs'!$B:$B, B116,'Data Combined - all-runs'!$C:$C, C116, 'Data Combined - all-runs'!$D:$D, D116, 'Data Combined - all-runs'!$E:$E, E116)</f>
        <v>#DIV/0!</v>
      </c>
      <c r="L116" s="5" t="str">
        <f>AVERAGEIFS('Data Combined - all-runs'!$L:$L, 'Data Combined - all-runs'!$A:$A, A116,'Data Combined - all-runs'!$B:$B, B116,'Data Combined - all-runs'!$C:$C, C116, 'Data Combined - all-runs'!$D:$D, D116, 'Data Combined - all-runs'!$E:$E, E116)</f>
        <v>#DIV/0!</v>
      </c>
      <c r="M116" s="5" t="str">
        <f>AVERAGEIFS('Data Combined - all-runs'!$M:$M, 'Data Combined - all-runs'!$A:$A, A116,'Data Combined - all-runs'!$B:$B, B116,'Data Combined - all-runs'!$C:$C, C116, 'Data Combined - all-runs'!$D:$D, D116, 'Data Combined - all-runs'!$E:$E, E116)</f>
        <v>#DIV/0!</v>
      </c>
      <c r="N116" s="5" t="str">
        <f>AVERAGEIFS('Data Combined - all-runs'!$N:$N, 'Data Combined - all-runs'!$A:$A, A116,'Data Combined - all-runs'!$B:$B, B116,'Data Combined - all-runs'!$C:$C, C116, 'Data Combined - all-runs'!$D:$D, D116, 'Data Combined - all-runs'!$E:$E, E116)</f>
        <v>#DIV/0!</v>
      </c>
      <c r="O116" s="5" t="str">
        <f>AVERAGEIFS('Data Combined - all-runs'!$O:$O, 'Data Combined - all-runs'!$A:$A, A116,'Data Combined - all-runs'!$B:$B, B116,'Data Combined - all-runs'!$C:$C, C116, 'Data Combined - all-runs'!$D:$D, D116, 'Data Combined - all-runs'!$E:$E, E116)</f>
        <v>#DIV/0!</v>
      </c>
      <c r="P116" s="5" t="str">
        <f>AVERAGEIFS('Data Combined - all-runs'!$P:$P, 'Data Combined - all-runs'!$A:$A, A116,'Data Combined - all-runs'!$B:$B, B116,'Data Combined - all-runs'!$C:$C, C116, 'Data Combined - all-runs'!$D:$D, D116, 'Data Combined - all-runs'!$E:$E, E116)</f>
        <v>#DIV/0!</v>
      </c>
      <c r="Q116" s="5" t="str">
        <f>AVERAGEIFS('Data Combined - all-runs'!$Q:$Q, 'Data Combined - all-runs'!$A:$A, A116,'Data Combined - all-runs'!$B:$B, B116,'Data Combined - all-runs'!$C:$C, C116, 'Data Combined - all-runs'!$D:$D, D116, 'Data Combined - all-runs'!$E:$E, E116)</f>
        <v>#DIV/0!</v>
      </c>
      <c r="R116" s="5" t="str">
        <f>AVERAGEIFS('Data Combined - all-runs'!$R:$R, 'Data Combined - all-runs'!$A:$A, A116,'Data Combined - all-runs'!$B:$B, B116,'Data Combined - all-runs'!$C:$C, C116, 'Data Combined - all-runs'!$D:$D, D116, 'Data Combined - all-runs'!$E:$E, E116)</f>
        <v>#DIV/0!</v>
      </c>
      <c r="S116" s="5" t="str">
        <f>AVERAGEIFS('Data Combined - all-runs'!$S:$S, 'Data Combined - all-runs'!$A:$A, A116,'Data Combined - all-runs'!$B:$B, B116,'Data Combined - all-runs'!$C:$C, C116, 'Data Combined - all-runs'!$D:$D, D116, 'Data Combined - all-runs'!$E:$E, E116)</f>
        <v>#DIV/0!</v>
      </c>
      <c r="T116" s="5" t="str">
        <f>AVERAGEIFS('Data Combined - all-runs'!$T:$T, 'Data Combined - all-runs'!$A:$A, A116,'Data Combined - all-runs'!$B:$B, B116,'Data Combined - all-runs'!$C:$C, C116, 'Data Combined - all-runs'!$D:$D, D116, 'Data Combined - all-runs'!$E:$E, E116)</f>
        <v>#DIV/0!</v>
      </c>
      <c r="U116" s="5" t="b">
        <f t="shared" si="1"/>
        <v>0</v>
      </c>
      <c r="V116" s="5" t="b">
        <f t="shared" si="2"/>
        <v>0</v>
      </c>
      <c r="W116" s="5" t="b">
        <f t="shared" si="3"/>
        <v>0</v>
      </c>
    </row>
    <row r="117">
      <c r="A117" s="2" t="s">
        <v>32</v>
      </c>
      <c r="B117" s="2" t="s">
        <v>114</v>
      </c>
      <c r="C117" s="2" t="s">
        <v>35</v>
      </c>
      <c r="D117" s="2" t="s">
        <v>54</v>
      </c>
      <c r="E117" s="2" t="s">
        <v>39</v>
      </c>
      <c r="H117" s="5" t="str">
        <f>AVERAGEIFS('Data Combined - all-runs'!$H:$H, 'Data Combined - all-runs'!$A:$A, A117,'Data Combined - all-runs'!$B:$B, B117,'Data Combined - all-runs'!$C:$C, C117, 'Data Combined - all-runs'!$D:$D, D117, 'Data Combined - all-runs'!$E:$E, E117)</f>
        <v>#DIV/0!</v>
      </c>
      <c r="I117" s="5" t="str">
        <f>AVERAGEIFS('Data Combined - all-runs'!$I:$I, 'Data Combined - all-runs'!$A:$A, A117,'Data Combined - all-runs'!$B:$B, B117,'Data Combined - all-runs'!$C:$C, C117, 'Data Combined - all-runs'!$D:$D, D117, 'Data Combined - all-runs'!$E:$E, E117)</f>
        <v>#DIV/0!</v>
      </c>
      <c r="J117" s="5" t="str">
        <f>AVERAGEIFS('Data Combined - all-runs'!$J:$J, 'Data Combined - all-runs'!$A:$A, A117,'Data Combined - all-runs'!$B:$B, B117,'Data Combined - all-runs'!$C:$C, C117, 'Data Combined - all-runs'!$D:$D, D117, 'Data Combined - all-runs'!$E:$E, E117)</f>
        <v>#DIV/0!</v>
      </c>
      <c r="K117" s="5" t="str">
        <f>AVERAGEIFS('Data Combined - all-runs'!$K:$K, 'Data Combined - all-runs'!$A:$A, A117,'Data Combined - all-runs'!$B:$B, B117,'Data Combined - all-runs'!$C:$C, C117, 'Data Combined - all-runs'!$D:$D, D117, 'Data Combined - all-runs'!$E:$E, E117)</f>
        <v>#DIV/0!</v>
      </c>
      <c r="L117" s="5" t="str">
        <f>AVERAGEIFS('Data Combined - all-runs'!$L:$L, 'Data Combined - all-runs'!$A:$A, A117,'Data Combined - all-runs'!$B:$B, B117,'Data Combined - all-runs'!$C:$C, C117, 'Data Combined - all-runs'!$D:$D, D117, 'Data Combined - all-runs'!$E:$E, E117)</f>
        <v>#DIV/0!</v>
      </c>
      <c r="M117" s="5" t="str">
        <f>AVERAGEIFS('Data Combined - all-runs'!$M:$M, 'Data Combined - all-runs'!$A:$A, A117,'Data Combined - all-runs'!$B:$B, B117,'Data Combined - all-runs'!$C:$C, C117, 'Data Combined - all-runs'!$D:$D, D117, 'Data Combined - all-runs'!$E:$E, E117)</f>
        <v>#DIV/0!</v>
      </c>
      <c r="N117" s="5" t="str">
        <f>AVERAGEIFS('Data Combined - all-runs'!$N:$N, 'Data Combined - all-runs'!$A:$A, A117,'Data Combined - all-runs'!$B:$B, B117,'Data Combined - all-runs'!$C:$C, C117, 'Data Combined - all-runs'!$D:$D, D117, 'Data Combined - all-runs'!$E:$E, E117)</f>
        <v>#DIV/0!</v>
      </c>
      <c r="O117" s="5" t="str">
        <f>AVERAGEIFS('Data Combined - all-runs'!$O:$O, 'Data Combined - all-runs'!$A:$A, A117,'Data Combined - all-runs'!$B:$B, B117,'Data Combined - all-runs'!$C:$C, C117, 'Data Combined - all-runs'!$D:$D, D117, 'Data Combined - all-runs'!$E:$E, E117)</f>
        <v>#DIV/0!</v>
      </c>
      <c r="P117" s="5" t="str">
        <f>AVERAGEIFS('Data Combined - all-runs'!$P:$P, 'Data Combined - all-runs'!$A:$A, A117,'Data Combined - all-runs'!$B:$B, B117,'Data Combined - all-runs'!$C:$C, C117, 'Data Combined - all-runs'!$D:$D, D117, 'Data Combined - all-runs'!$E:$E, E117)</f>
        <v>#DIV/0!</v>
      </c>
      <c r="Q117" s="5" t="str">
        <f>AVERAGEIFS('Data Combined - all-runs'!$Q:$Q, 'Data Combined - all-runs'!$A:$A, A117,'Data Combined - all-runs'!$B:$B, B117,'Data Combined - all-runs'!$C:$C, C117, 'Data Combined - all-runs'!$D:$D, D117, 'Data Combined - all-runs'!$E:$E, E117)</f>
        <v>#DIV/0!</v>
      </c>
      <c r="R117" s="5" t="str">
        <f>AVERAGEIFS('Data Combined - all-runs'!$R:$R, 'Data Combined - all-runs'!$A:$A, A117,'Data Combined - all-runs'!$B:$B, B117,'Data Combined - all-runs'!$C:$C, C117, 'Data Combined - all-runs'!$D:$D, D117, 'Data Combined - all-runs'!$E:$E, E117)</f>
        <v>#DIV/0!</v>
      </c>
      <c r="S117" s="5" t="str">
        <f>AVERAGEIFS('Data Combined - all-runs'!$S:$S, 'Data Combined - all-runs'!$A:$A, A117,'Data Combined - all-runs'!$B:$B, B117,'Data Combined - all-runs'!$C:$C, C117, 'Data Combined - all-runs'!$D:$D, D117, 'Data Combined - all-runs'!$E:$E, E117)</f>
        <v>#DIV/0!</v>
      </c>
      <c r="T117" s="5" t="str">
        <f>AVERAGEIFS('Data Combined - all-runs'!$T:$T, 'Data Combined - all-runs'!$A:$A, A117,'Data Combined - all-runs'!$B:$B, B117,'Data Combined - all-runs'!$C:$C, C117, 'Data Combined - all-runs'!$D:$D, D117, 'Data Combined - all-runs'!$E:$E, E117)</f>
        <v>#DIV/0!</v>
      </c>
      <c r="U117" s="5" t="b">
        <f t="shared" si="1"/>
        <v>0</v>
      </c>
      <c r="V117" s="5" t="b">
        <f t="shared" si="2"/>
        <v>0</v>
      </c>
      <c r="W117" s="5" t="b">
        <f t="shared" si="3"/>
        <v>0</v>
      </c>
    </row>
    <row r="118">
      <c r="A118" s="2" t="s">
        <v>32</v>
      </c>
      <c r="B118" s="2" t="s">
        <v>114</v>
      </c>
      <c r="C118" s="2" t="s">
        <v>35</v>
      </c>
      <c r="D118" s="2" t="s">
        <v>54</v>
      </c>
      <c r="E118" s="2" t="s">
        <v>43</v>
      </c>
      <c r="H118" s="5" t="str">
        <f>AVERAGEIFS('Data Combined - all-runs'!$H:$H, 'Data Combined - all-runs'!$A:$A, A118,'Data Combined - all-runs'!$B:$B, B118,'Data Combined - all-runs'!$C:$C, C118, 'Data Combined - all-runs'!$D:$D, D118, 'Data Combined - all-runs'!$E:$E, E118)</f>
        <v>#DIV/0!</v>
      </c>
      <c r="I118" s="5" t="str">
        <f>AVERAGEIFS('Data Combined - all-runs'!$I:$I, 'Data Combined - all-runs'!$A:$A, A118,'Data Combined - all-runs'!$B:$B, B118,'Data Combined - all-runs'!$C:$C, C118, 'Data Combined - all-runs'!$D:$D, D118, 'Data Combined - all-runs'!$E:$E, E118)</f>
        <v>#DIV/0!</v>
      </c>
      <c r="J118" s="5" t="str">
        <f>AVERAGEIFS('Data Combined - all-runs'!$J:$J, 'Data Combined - all-runs'!$A:$A, A118,'Data Combined - all-runs'!$B:$B, B118,'Data Combined - all-runs'!$C:$C, C118, 'Data Combined - all-runs'!$D:$D, D118, 'Data Combined - all-runs'!$E:$E, E118)</f>
        <v>#DIV/0!</v>
      </c>
      <c r="K118" s="5" t="str">
        <f>AVERAGEIFS('Data Combined - all-runs'!$K:$K, 'Data Combined - all-runs'!$A:$A, A118,'Data Combined - all-runs'!$B:$B, B118,'Data Combined - all-runs'!$C:$C, C118, 'Data Combined - all-runs'!$D:$D, D118, 'Data Combined - all-runs'!$E:$E, E118)</f>
        <v>#DIV/0!</v>
      </c>
      <c r="L118" s="5" t="str">
        <f>AVERAGEIFS('Data Combined - all-runs'!$L:$L, 'Data Combined - all-runs'!$A:$A, A118,'Data Combined - all-runs'!$B:$B, B118,'Data Combined - all-runs'!$C:$C, C118, 'Data Combined - all-runs'!$D:$D, D118, 'Data Combined - all-runs'!$E:$E, E118)</f>
        <v>#DIV/0!</v>
      </c>
      <c r="M118" s="5" t="str">
        <f>AVERAGEIFS('Data Combined - all-runs'!$M:$M, 'Data Combined - all-runs'!$A:$A, A118,'Data Combined - all-runs'!$B:$B, B118,'Data Combined - all-runs'!$C:$C, C118, 'Data Combined - all-runs'!$D:$D, D118, 'Data Combined - all-runs'!$E:$E, E118)</f>
        <v>#DIV/0!</v>
      </c>
      <c r="N118" s="5" t="str">
        <f>AVERAGEIFS('Data Combined - all-runs'!$N:$N, 'Data Combined - all-runs'!$A:$A, A118,'Data Combined - all-runs'!$B:$B, B118,'Data Combined - all-runs'!$C:$C, C118, 'Data Combined - all-runs'!$D:$D, D118, 'Data Combined - all-runs'!$E:$E, E118)</f>
        <v>#DIV/0!</v>
      </c>
      <c r="O118" s="5" t="str">
        <f>AVERAGEIFS('Data Combined - all-runs'!$O:$O, 'Data Combined - all-runs'!$A:$A, A118,'Data Combined - all-runs'!$B:$B, B118,'Data Combined - all-runs'!$C:$C, C118, 'Data Combined - all-runs'!$D:$D, D118, 'Data Combined - all-runs'!$E:$E, E118)</f>
        <v>#DIV/0!</v>
      </c>
      <c r="P118" s="5" t="str">
        <f>AVERAGEIFS('Data Combined - all-runs'!$P:$P, 'Data Combined - all-runs'!$A:$A, A118,'Data Combined - all-runs'!$B:$B, B118,'Data Combined - all-runs'!$C:$C, C118, 'Data Combined - all-runs'!$D:$D, D118, 'Data Combined - all-runs'!$E:$E, E118)</f>
        <v>#DIV/0!</v>
      </c>
      <c r="Q118" s="5" t="str">
        <f>AVERAGEIFS('Data Combined - all-runs'!$Q:$Q, 'Data Combined - all-runs'!$A:$A, A118,'Data Combined - all-runs'!$B:$B, B118,'Data Combined - all-runs'!$C:$C, C118, 'Data Combined - all-runs'!$D:$D, D118, 'Data Combined - all-runs'!$E:$E, E118)</f>
        <v>#DIV/0!</v>
      </c>
      <c r="R118" s="5" t="str">
        <f>AVERAGEIFS('Data Combined - all-runs'!$R:$R, 'Data Combined - all-runs'!$A:$A, A118,'Data Combined - all-runs'!$B:$B, B118,'Data Combined - all-runs'!$C:$C, C118, 'Data Combined - all-runs'!$D:$D, D118, 'Data Combined - all-runs'!$E:$E, E118)</f>
        <v>#DIV/0!</v>
      </c>
      <c r="S118" s="5" t="str">
        <f>AVERAGEIFS('Data Combined - all-runs'!$S:$S, 'Data Combined - all-runs'!$A:$A, A118,'Data Combined - all-runs'!$B:$B, B118,'Data Combined - all-runs'!$C:$C, C118, 'Data Combined - all-runs'!$D:$D, D118, 'Data Combined - all-runs'!$E:$E, E118)</f>
        <v>#DIV/0!</v>
      </c>
      <c r="T118" s="5" t="str">
        <f>AVERAGEIFS('Data Combined - all-runs'!$T:$T, 'Data Combined - all-runs'!$A:$A, A118,'Data Combined - all-runs'!$B:$B, B118,'Data Combined - all-runs'!$C:$C, C118, 'Data Combined - all-runs'!$D:$D, D118, 'Data Combined - all-runs'!$E:$E, E118)</f>
        <v>#DIV/0!</v>
      </c>
      <c r="U118" s="5" t="b">
        <f t="shared" si="1"/>
        <v>0</v>
      </c>
      <c r="V118" s="5" t="b">
        <f t="shared" si="2"/>
        <v>0</v>
      </c>
      <c r="W118" s="5" t="b">
        <f t="shared" si="3"/>
        <v>0</v>
      </c>
    </row>
    <row r="119">
      <c r="A119" s="2" t="s">
        <v>32</v>
      </c>
      <c r="B119" s="2" t="s">
        <v>114</v>
      </c>
      <c r="C119" s="2" t="s">
        <v>35</v>
      </c>
      <c r="D119" s="2" t="s">
        <v>54</v>
      </c>
      <c r="E119" s="2" t="s">
        <v>34</v>
      </c>
      <c r="H119" s="5" t="str">
        <f>AVERAGEIFS('Data Combined - all-runs'!$H:$H, 'Data Combined - all-runs'!$A:$A, A119,'Data Combined - all-runs'!$B:$B, B119,'Data Combined - all-runs'!$C:$C, C119, 'Data Combined - all-runs'!$D:$D, D119, 'Data Combined - all-runs'!$E:$E, E119)</f>
        <v>#DIV/0!</v>
      </c>
      <c r="I119" s="5" t="str">
        <f>AVERAGEIFS('Data Combined - all-runs'!$I:$I, 'Data Combined - all-runs'!$A:$A, A119,'Data Combined - all-runs'!$B:$B, B119,'Data Combined - all-runs'!$C:$C, C119, 'Data Combined - all-runs'!$D:$D, D119, 'Data Combined - all-runs'!$E:$E, E119)</f>
        <v>#DIV/0!</v>
      </c>
      <c r="J119" s="5" t="str">
        <f>AVERAGEIFS('Data Combined - all-runs'!$J:$J, 'Data Combined - all-runs'!$A:$A, A119,'Data Combined - all-runs'!$B:$B, B119,'Data Combined - all-runs'!$C:$C, C119, 'Data Combined - all-runs'!$D:$D, D119, 'Data Combined - all-runs'!$E:$E, E119)</f>
        <v>#DIV/0!</v>
      </c>
      <c r="K119" s="5" t="str">
        <f>AVERAGEIFS('Data Combined - all-runs'!$K:$K, 'Data Combined - all-runs'!$A:$A, A119,'Data Combined - all-runs'!$B:$B, B119,'Data Combined - all-runs'!$C:$C, C119, 'Data Combined - all-runs'!$D:$D, D119, 'Data Combined - all-runs'!$E:$E, E119)</f>
        <v>#DIV/0!</v>
      </c>
      <c r="L119" s="5" t="str">
        <f>AVERAGEIFS('Data Combined - all-runs'!$L:$L, 'Data Combined - all-runs'!$A:$A, A119,'Data Combined - all-runs'!$B:$B, B119,'Data Combined - all-runs'!$C:$C, C119, 'Data Combined - all-runs'!$D:$D, D119, 'Data Combined - all-runs'!$E:$E, E119)</f>
        <v>#DIV/0!</v>
      </c>
      <c r="M119" s="5" t="str">
        <f>AVERAGEIFS('Data Combined - all-runs'!$M:$M, 'Data Combined - all-runs'!$A:$A, A119,'Data Combined - all-runs'!$B:$B, B119,'Data Combined - all-runs'!$C:$C, C119, 'Data Combined - all-runs'!$D:$D, D119, 'Data Combined - all-runs'!$E:$E, E119)</f>
        <v>#DIV/0!</v>
      </c>
      <c r="N119" s="5" t="str">
        <f>AVERAGEIFS('Data Combined - all-runs'!$N:$N, 'Data Combined - all-runs'!$A:$A, A119,'Data Combined - all-runs'!$B:$B, B119,'Data Combined - all-runs'!$C:$C, C119, 'Data Combined - all-runs'!$D:$D, D119, 'Data Combined - all-runs'!$E:$E, E119)</f>
        <v>#DIV/0!</v>
      </c>
      <c r="O119" s="5" t="str">
        <f>AVERAGEIFS('Data Combined - all-runs'!$O:$O, 'Data Combined - all-runs'!$A:$A, A119,'Data Combined - all-runs'!$B:$B, B119,'Data Combined - all-runs'!$C:$C, C119, 'Data Combined - all-runs'!$D:$D, D119, 'Data Combined - all-runs'!$E:$E, E119)</f>
        <v>#DIV/0!</v>
      </c>
      <c r="P119" s="5" t="str">
        <f>AVERAGEIFS('Data Combined - all-runs'!$P:$P, 'Data Combined - all-runs'!$A:$A, A119,'Data Combined - all-runs'!$B:$B, B119,'Data Combined - all-runs'!$C:$C, C119, 'Data Combined - all-runs'!$D:$D, D119, 'Data Combined - all-runs'!$E:$E, E119)</f>
        <v>#DIV/0!</v>
      </c>
      <c r="Q119" s="5" t="str">
        <f>AVERAGEIFS('Data Combined - all-runs'!$Q:$Q, 'Data Combined - all-runs'!$A:$A, A119,'Data Combined - all-runs'!$B:$B, B119,'Data Combined - all-runs'!$C:$C, C119, 'Data Combined - all-runs'!$D:$D, D119, 'Data Combined - all-runs'!$E:$E, E119)</f>
        <v>#DIV/0!</v>
      </c>
      <c r="R119" s="5" t="str">
        <f>AVERAGEIFS('Data Combined - all-runs'!$R:$R, 'Data Combined - all-runs'!$A:$A, A119,'Data Combined - all-runs'!$B:$B, B119,'Data Combined - all-runs'!$C:$C, C119, 'Data Combined - all-runs'!$D:$D, D119, 'Data Combined - all-runs'!$E:$E, E119)</f>
        <v>#DIV/0!</v>
      </c>
      <c r="S119" s="5" t="str">
        <f>AVERAGEIFS('Data Combined - all-runs'!$S:$S, 'Data Combined - all-runs'!$A:$A, A119,'Data Combined - all-runs'!$B:$B, B119,'Data Combined - all-runs'!$C:$C, C119, 'Data Combined - all-runs'!$D:$D, D119, 'Data Combined - all-runs'!$E:$E, E119)</f>
        <v>#DIV/0!</v>
      </c>
      <c r="T119" s="5" t="str">
        <f>AVERAGEIFS('Data Combined - all-runs'!$T:$T, 'Data Combined - all-runs'!$A:$A, A119,'Data Combined - all-runs'!$B:$B, B119,'Data Combined - all-runs'!$C:$C, C119, 'Data Combined - all-runs'!$D:$D, D119, 'Data Combined - all-runs'!$E:$E, E119)</f>
        <v>#DIV/0!</v>
      </c>
      <c r="U119" s="5" t="b">
        <f t="shared" si="1"/>
        <v>0</v>
      </c>
      <c r="V119" s="5" t="b">
        <f t="shared" si="2"/>
        <v>0</v>
      </c>
      <c r="W119" s="5" t="b">
        <f t="shared" si="3"/>
        <v>0</v>
      </c>
    </row>
    <row r="120">
      <c r="A120" s="2" t="s">
        <v>32</v>
      </c>
      <c r="B120" s="2" t="s">
        <v>114</v>
      </c>
      <c r="C120" s="2" t="s">
        <v>35</v>
      </c>
      <c r="D120" s="2" t="s">
        <v>54</v>
      </c>
      <c r="E120" s="2" t="s">
        <v>47</v>
      </c>
      <c r="H120" s="5" t="str">
        <f>AVERAGEIFS('Data Combined - all-runs'!$H:$H, 'Data Combined - all-runs'!$A:$A, A120,'Data Combined - all-runs'!$B:$B, B120,'Data Combined - all-runs'!$C:$C, C120, 'Data Combined - all-runs'!$D:$D, D120, 'Data Combined - all-runs'!$E:$E, E120)</f>
        <v>#DIV/0!</v>
      </c>
      <c r="I120" s="5" t="str">
        <f>AVERAGEIFS('Data Combined - all-runs'!$I:$I, 'Data Combined - all-runs'!$A:$A, A120,'Data Combined - all-runs'!$B:$B, B120,'Data Combined - all-runs'!$C:$C, C120, 'Data Combined - all-runs'!$D:$D, D120, 'Data Combined - all-runs'!$E:$E, E120)</f>
        <v>#DIV/0!</v>
      </c>
      <c r="J120" s="5" t="str">
        <f>AVERAGEIFS('Data Combined - all-runs'!$J:$J, 'Data Combined - all-runs'!$A:$A, A120,'Data Combined - all-runs'!$B:$B, B120,'Data Combined - all-runs'!$C:$C, C120, 'Data Combined - all-runs'!$D:$D, D120, 'Data Combined - all-runs'!$E:$E, E120)</f>
        <v>#DIV/0!</v>
      </c>
      <c r="K120" s="5" t="str">
        <f>AVERAGEIFS('Data Combined - all-runs'!$K:$K, 'Data Combined - all-runs'!$A:$A, A120,'Data Combined - all-runs'!$B:$B, B120,'Data Combined - all-runs'!$C:$C, C120, 'Data Combined - all-runs'!$D:$D, D120, 'Data Combined - all-runs'!$E:$E, E120)</f>
        <v>#DIV/0!</v>
      </c>
      <c r="L120" s="5" t="str">
        <f>AVERAGEIFS('Data Combined - all-runs'!$L:$L, 'Data Combined - all-runs'!$A:$A, A120,'Data Combined - all-runs'!$B:$B, B120,'Data Combined - all-runs'!$C:$C, C120, 'Data Combined - all-runs'!$D:$D, D120, 'Data Combined - all-runs'!$E:$E, E120)</f>
        <v>#DIV/0!</v>
      </c>
      <c r="M120" s="5" t="str">
        <f>AVERAGEIFS('Data Combined - all-runs'!$M:$M, 'Data Combined - all-runs'!$A:$A, A120,'Data Combined - all-runs'!$B:$B, B120,'Data Combined - all-runs'!$C:$C, C120, 'Data Combined - all-runs'!$D:$D, D120, 'Data Combined - all-runs'!$E:$E, E120)</f>
        <v>#DIV/0!</v>
      </c>
      <c r="N120" s="5" t="str">
        <f>AVERAGEIFS('Data Combined - all-runs'!$N:$N, 'Data Combined - all-runs'!$A:$A, A120,'Data Combined - all-runs'!$B:$B, B120,'Data Combined - all-runs'!$C:$C, C120, 'Data Combined - all-runs'!$D:$D, D120, 'Data Combined - all-runs'!$E:$E, E120)</f>
        <v>#DIV/0!</v>
      </c>
      <c r="O120" s="5" t="str">
        <f>AVERAGEIFS('Data Combined - all-runs'!$O:$O, 'Data Combined - all-runs'!$A:$A, A120,'Data Combined - all-runs'!$B:$B, B120,'Data Combined - all-runs'!$C:$C, C120, 'Data Combined - all-runs'!$D:$D, D120, 'Data Combined - all-runs'!$E:$E, E120)</f>
        <v>#DIV/0!</v>
      </c>
      <c r="P120" s="5" t="str">
        <f>AVERAGEIFS('Data Combined - all-runs'!$P:$P, 'Data Combined - all-runs'!$A:$A, A120,'Data Combined - all-runs'!$B:$B, B120,'Data Combined - all-runs'!$C:$C, C120, 'Data Combined - all-runs'!$D:$D, D120, 'Data Combined - all-runs'!$E:$E, E120)</f>
        <v>#DIV/0!</v>
      </c>
      <c r="Q120" s="5" t="str">
        <f>AVERAGEIFS('Data Combined - all-runs'!$Q:$Q, 'Data Combined - all-runs'!$A:$A, A120,'Data Combined - all-runs'!$B:$B, B120,'Data Combined - all-runs'!$C:$C, C120, 'Data Combined - all-runs'!$D:$D, D120, 'Data Combined - all-runs'!$E:$E, E120)</f>
        <v>#DIV/0!</v>
      </c>
      <c r="R120" s="5" t="str">
        <f>AVERAGEIFS('Data Combined - all-runs'!$R:$R, 'Data Combined - all-runs'!$A:$A, A120,'Data Combined - all-runs'!$B:$B, B120,'Data Combined - all-runs'!$C:$C, C120, 'Data Combined - all-runs'!$D:$D, D120, 'Data Combined - all-runs'!$E:$E, E120)</f>
        <v>#DIV/0!</v>
      </c>
      <c r="S120" s="5" t="str">
        <f>AVERAGEIFS('Data Combined - all-runs'!$S:$S, 'Data Combined - all-runs'!$A:$A, A120,'Data Combined - all-runs'!$B:$B, B120,'Data Combined - all-runs'!$C:$C, C120, 'Data Combined - all-runs'!$D:$D, D120, 'Data Combined - all-runs'!$E:$E, E120)</f>
        <v>#DIV/0!</v>
      </c>
      <c r="T120" s="5" t="str">
        <f>AVERAGEIFS('Data Combined - all-runs'!$T:$T, 'Data Combined - all-runs'!$A:$A, A120,'Data Combined - all-runs'!$B:$B, B120,'Data Combined - all-runs'!$C:$C, C120, 'Data Combined - all-runs'!$D:$D, D120, 'Data Combined - all-runs'!$E:$E, E120)</f>
        <v>#DIV/0!</v>
      </c>
      <c r="U120" s="5" t="b">
        <f t="shared" si="1"/>
        <v>0</v>
      </c>
      <c r="V120" s="5" t="b">
        <f t="shared" si="2"/>
        <v>0</v>
      </c>
      <c r="W120" s="5" t="b">
        <f t="shared" si="3"/>
        <v>0</v>
      </c>
    </row>
    <row r="121">
      <c r="A121" s="2" t="s">
        <v>32</v>
      </c>
      <c r="B121" s="2" t="s">
        <v>114</v>
      </c>
      <c r="C121" s="2" t="s">
        <v>35</v>
      </c>
      <c r="D121" s="2" t="s">
        <v>54</v>
      </c>
      <c r="E121" s="2" t="s">
        <v>51</v>
      </c>
      <c r="H121" s="5" t="str">
        <f>AVERAGEIFS('Data Combined - all-runs'!$H:$H, 'Data Combined - all-runs'!$A:$A, A121,'Data Combined - all-runs'!$B:$B, B121,'Data Combined - all-runs'!$C:$C, C121, 'Data Combined - all-runs'!$D:$D, D121, 'Data Combined - all-runs'!$E:$E, E121)</f>
        <v>#DIV/0!</v>
      </c>
      <c r="I121" s="5" t="str">
        <f>AVERAGEIFS('Data Combined - all-runs'!$I:$I, 'Data Combined - all-runs'!$A:$A, A121,'Data Combined - all-runs'!$B:$B, B121,'Data Combined - all-runs'!$C:$C, C121, 'Data Combined - all-runs'!$D:$D, D121, 'Data Combined - all-runs'!$E:$E, E121)</f>
        <v>#DIV/0!</v>
      </c>
      <c r="J121" s="5" t="str">
        <f>AVERAGEIFS('Data Combined - all-runs'!$J:$J, 'Data Combined - all-runs'!$A:$A, A121,'Data Combined - all-runs'!$B:$B, B121,'Data Combined - all-runs'!$C:$C, C121, 'Data Combined - all-runs'!$D:$D, D121, 'Data Combined - all-runs'!$E:$E, E121)</f>
        <v>#DIV/0!</v>
      </c>
      <c r="K121" s="5" t="str">
        <f>AVERAGEIFS('Data Combined - all-runs'!$K:$K, 'Data Combined - all-runs'!$A:$A, A121,'Data Combined - all-runs'!$B:$B, B121,'Data Combined - all-runs'!$C:$C, C121, 'Data Combined - all-runs'!$D:$D, D121, 'Data Combined - all-runs'!$E:$E, E121)</f>
        <v>#DIV/0!</v>
      </c>
      <c r="L121" s="5" t="str">
        <f>AVERAGEIFS('Data Combined - all-runs'!$L:$L, 'Data Combined - all-runs'!$A:$A, A121,'Data Combined - all-runs'!$B:$B, B121,'Data Combined - all-runs'!$C:$C, C121, 'Data Combined - all-runs'!$D:$D, D121, 'Data Combined - all-runs'!$E:$E, E121)</f>
        <v>#DIV/0!</v>
      </c>
      <c r="M121" s="5" t="str">
        <f>AVERAGEIFS('Data Combined - all-runs'!$M:$M, 'Data Combined - all-runs'!$A:$A, A121,'Data Combined - all-runs'!$B:$B, B121,'Data Combined - all-runs'!$C:$C, C121, 'Data Combined - all-runs'!$D:$D, D121, 'Data Combined - all-runs'!$E:$E, E121)</f>
        <v>#DIV/0!</v>
      </c>
      <c r="N121" s="5" t="str">
        <f>AVERAGEIFS('Data Combined - all-runs'!$N:$N, 'Data Combined - all-runs'!$A:$A, A121,'Data Combined - all-runs'!$B:$B, B121,'Data Combined - all-runs'!$C:$C, C121, 'Data Combined - all-runs'!$D:$D, D121, 'Data Combined - all-runs'!$E:$E, E121)</f>
        <v>#DIV/0!</v>
      </c>
      <c r="O121" s="5" t="str">
        <f>AVERAGEIFS('Data Combined - all-runs'!$O:$O, 'Data Combined - all-runs'!$A:$A, A121,'Data Combined - all-runs'!$B:$B, B121,'Data Combined - all-runs'!$C:$C, C121, 'Data Combined - all-runs'!$D:$D, D121, 'Data Combined - all-runs'!$E:$E, E121)</f>
        <v>#DIV/0!</v>
      </c>
      <c r="P121" s="5" t="str">
        <f>AVERAGEIFS('Data Combined - all-runs'!$P:$P, 'Data Combined - all-runs'!$A:$A, A121,'Data Combined - all-runs'!$B:$B, B121,'Data Combined - all-runs'!$C:$C, C121, 'Data Combined - all-runs'!$D:$D, D121, 'Data Combined - all-runs'!$E:$E, E121)</f>
        <v>#DIV/0!</v>
      </c>
      <c r="Q121" s="5" t="str">
        <f>AVERAGEIFS('Data Combined - all-runs'!$Q:$Q, 'Data Combined - all-runs'!$A:$A, A121,'Data Combined - all-runs'!$B:$B, B121,'Data Combined - all-runs'!$C:$C, C121, 'Data Combined - all-runs'!$D:$D, D121, 'Data Combined - all-runs'!$E:$E, E121)</f>
        <v>#DIV/0!</v>
      </c>
      <c r="R121" s="5" t="str">
        <f>AVERAGEIFS('Data Combined - all-runs'!$R:$R, 'Data Combined - all-runs'!$A:$A, A121,'Data Combined - all-runs'!$B:$B, B121,'Data Combined - all-runs'!$C:$C, C121, 'Data Combined - all-runs'!$D:$D, D121, 'Data Combined - all-runs'!$E:$E, E121)</f>
        <v>#DIV/0!</v>
      </c>
      <c r="S121" s="5" t="str">
        <f>AVERAGEIFS('Data Combined - all-runs'!$S:$S, 'Data Combined - all-runs'!$A:$A, A121,'Data Combined - all-runs'!$B:$B, B121,'Data Combined - all-runs'!$C:$C, C121, 'Data Combined - all-runs'!$D:$D, D121, 'Data Combined - all-runs'!$E:$E, E121)</f>
        <v>#DIV/0!</v>
      </c>
      <c r="T121" s="5" t="str">
        <f>AVERAGEIFS('Data Combined - all-runs'!$T:$T, 'Data Combined - all-runs'!$A:$A, A121,'Data Combined - all-runs'!$B:$B, B121,'Data Combined - all-runs'!$C:$C, C121, 'Data Combined - all-runs'!$D:$D, D121, 'Data Combined - all-runs'!$E:$E, E121)</f>
        <v>#DIV/0!</v>
      </c>
      <c r="U121" s="5" t="b">
        <f t="shared" si="1"/>
        <v>0</v>
      </c>
      <c r="V121" s="5" t="b">
        <f t="shared" si="2"/>
        <v>0</v>
      </c>
      <c r="W121" s="5" t="b">
        <f t="shared" si="3"/>
        <v>0</v>
      </c>
    </row>
    <row r="122">
      <c r="A122" s="2" t="s">
        <v>32</v>
      </c>
      <c r="B122" s="2" t="s">
        <v>114</v>
      </c>
      <c r="C122" s="2" t="s">
        <v>35</v>
      </c>
      <c r="D122" s="2" t="s">
        <v>72</v>
      </c>
      <c r="E122" s="2" t="s">
        <v>25</v>
      </c>
      <c r="H122" s="5" t="str">
        <f>AVERAGEIFS('Data Combined - all-runs'!$H:$H, 'Data Combined - all-runs'!$A:$A, A122,'Data Combined - all-runs'!$B:$B, B122,'Data Combined - all-runs'!$C:$C, C122, 'Data Combined - all-runs'!$D:$D, D122, 'Data Combined - all-runs'!$E:$E, E122)</f>
        <v>#DIV/0!</v>
      </c>
      <c r="I122" s="5" t="str">
        <f>AVERAGEIFS('Data Combined - all-runs'!$I:$I, 'Data Combined - all-runs'!$A:$A, A122,'Data Combined - all-runs'!$B:$B, B122,'Data Combined - all-runs'!$C:$C, C122, 'Data Combined - all-runs'!$D:$D, D122, 'Data Combined - all-runs'!$E:$E, E122)</f>
        <v>#DIV/0!</v>
      </c>
      <c r="J122" s="5" t="str">
        <f>AVERAGEIFS('Data Combined - all-runs'!$J:$J, 'Data Combined - all-runs'!$A:$A, A122,'Data Combined - all-runs'!$B:$B, B122,'Data Combined - all-runs'!$C:$C, C122, 'Data Combined - all-runs'!$D:$D, D122, 'Data Combined - all-runs'!$E:$E, E122)</f>
        <v>#DIV/0!</v>
      </c>
      <c r="K122" s="5" t="str">
        <f>AVERAGEIFS('Data Combined - all-runs'!$K:$K, 'Data Combined - all-runs'!$A:$A, A122,'Data Combined - all-runs'!$B:$B, B122,'Data Combined - all-runs'!$C:$C, C122, 'Data Combined - all-runs'!$D:$D, D122, 'Data Combined - all-runs'!$E:$E, E122)</f>
        <v>#DIV/0!</v>
      </c>
      <c r="L122" s="5" t="str">
        <f>AVERAGEIFS('Data Combined - all-runs'!$L:$L, 'Data Combined - all-runs'!$A:$A, A122,'Data Combined - all-runs'!$B:$B, B122,'Data Combined - all-runs'!$C:$C, C122, 'Data Combined - all-runs'!$D:$D, D122, 'Data Combined - all-runs'!$E:$E, E122)</f>
        <v>#DIV/0!</v>
      </c>
      <c r="M122" s="5" t="str">
        <f>AVERAGEIFS('Data Combined - all-runs'!$M:$M, 'Data Combined - all-runs'!$A:$A, A122,'Data Combined - all-runs'!$B:$B, B122,'Data Combined - all-runs'!$C:$C, C122, 'Data Combined - all-runs'!$D:$D, D122, 'Data Combined - all-runs'!$E:$E, E122)</f>
        <v>#DIV/0!</v>
      </c>
      <c r="N122" s="5" t="str">
        <f>AVERAGEIFS('Data Combined - all-runs'!$N:$N, 'Data Combined - all-runs'!$A:$A, A122,'Data Combined - all-runs'!$B:$B, B122,'Data Combined - all-runs'!$C:$C, C122, 'Data Combined - all-runs'!$D:$D, D122, 'Data Combined - all-runs'!$E:$E, E122)</f>
        <v>#DIV/0!</v>
      </c>
      <c r="O122" s="5" t="str">
        <f>AVERAGEIFS('Data Combined - all-runs'!$O:$O, 'Data Combined - all-runs'!$A:$A, A122,'Data Combined - all-runs'!$B:$B, B122,'Data Combined - all-runs'!$C:$C, C122, 'Data Combined - all-runs'!$D:$D, D122, 'Data Combined - all-runs'!$E:$E, E122)</f>
        <v>#DIV/0!</v>
      </c>
      <c r="P122" s="5" t="str">
        <f>AVERAGEIFS('Data Combined - all-runs'!$P:$P, 'Data Combined - all-runs'!$A:$A, A122,'Data Combined - all-runs'!$B:$B, B122,'Data Combined - all-runs'!$C:$C, C122, 'Data Combined - all-runs'!$D:$D, D122, 'Data Combined - all-runs'!$E:$E, E122)</f>
        <v>#DIV/0!</v>
      </c>
      <c r="Q122" s="5" t="str">
        <f>AVERAGEIFS('Data Combined - all-runs'!$Q:$Q, 'Data Combined - all-runs'!$A:$A, A122,'Data Combined - all-runs'!$B:$B, B122,'Data Combined - all-runs'!$C:$C, C122, 'Data Combined - all-runs'!$D:$D, D122, 'Data Combined - all-runs'!$E:$E, E122)</f>
        <v>#DIV/0!</v>
      </c>
      <c r="R122" s="5" t="str">
        <f>AVERAGEIFS('Data Combined - all-runs'!$R:$R, 'Data Combined - all-runs'!$A:$A, A122,'Data Combined - all-runs'!$B:$B, B122,'Data Combined - all-runs'!$C:$C, C122, 'Data Combined - all-runs'!$D:$D, D122, 'Data Combined - all-runs'!$E:$E, E122)</f>
        <v>#DIV/0!</v>
      </c>
      <c r="S122" s="5" t="str">
        <f>AVERAGEIFS('Data Combined - all-runs'!$S:$S, 'Data Combined - all-runs'!$A:$A, A122,'Data Combined - all-runs'!$B:$B, B122,'Data Combined - all-runs'!$C:$C, C122, 'Data Combined - all-runs'!$D:$D, D122, 'Data Combined - all-runs'!$E:$E, E122)</f>
        <v>#DIV/0!</v>
      </c>
      <c r="T122" s="5" t="str">
        <f>AVERAGEIFS('Data Combined - all-runs'!$T:$T, 'Data Combined - all-runs'!$A:$A, A122,'Data Combined - all-runs'!$B:$B, B122,'Data Combined - all-runs'!$C:$C, C122, 'Data Combined - all-runs'!$D:$D, D122, 'Data Combined - all-runs'!$E:$E, E122)</f>
        <v>#DIV/0!</v>
      </c>
      <c r="U122" s="5" t="b">
        <f t="shared" si="1"/>
        <v>0</v>
      </c>
      <c r="V122" s="5" t="b">
        <f t="shared" si="2"/>
        <v>0</v>
      </c>
      <c r="W122" s="5" t="b">
        <f t="shared" si="3"/>
        <v>0</v>
      </c>
    </row>
    <row r="123">
      <c r="A123" s="2" t="s">
        <v>32</v>
      </c>
      <c r="B123" s="2" t="s">
        <v>114</v>
      </c>
      <c r="C123" s="2" t="s">
        <v>35</v>
      </c>
      <c r="D123" s="2" t="s">
        <v>72</v>
      </c>
      <c r="E123" s="2" t="s">
        <v>39</v>
      </c>
      <c r="H123" s="5" t="str">
        <f>AVERAGEIFS('Data Combined - all-runs'!$H:$H, 'Data Combined - all-runs'!$A:$A, A123,'Data Combined - all-runs'!$B:$B, B123,'Data Combined - all-runs'!$C:$C, C123, 'Data Combined - all-runs'!$D:$D, D123, 'Data Combined - all-runs'!$E:$E, E123)</f>
        <v>#DIV/0!</v>
      </c>
      <c r="I123" s="5" t="str">
        <f>AVERAGEIFS('Data Combined - all-runs'!$I:$I, 'Data Combined - all-runs'!$A:$A, A123,'Data Combined - all-runs'!$B:$B, B123,'Data Combined - all-runs'!$C:$C, C123, 'Data Combined - all-runs'!$D:$D, D123, 'Data Combined - all-runs'!$E:$E, E123)</f>
        <v>#DIV/0!</v>
      </c>
      <c r="J123" s="5" t="str">
        <f>AVERAGEIFS('Data Combined - all-runs'!$J:$J, 'Data Combined - all-runs'!$A:$A, A123,'Data Combined - all-runs'!$B:$B, B123,'Data Combined - all-runs'!$C:$C, C123, 'Data Combined - all-runs'!$D:$D, D123, 'Data Combined - all-runs'!$E:$E, E123)</f>
        <v>#DIV/0!</v>
      </c>
      <c r="K123" s="5" t="str">
        <f>AVERAGEIFS('Data Combined - all-runs'!$K:$K, 'Data Combined - all-runs'!$A:$A, A123,'Data Combined - all-runs'!$B:$B, B123,'Data Combined - all-runs'!$C:$C, C123, 'Data Combined - all-runs'!$D:$D, D123, 'Data Combined - all-runs'!$E:$E, E123)</f>
        <v>#DIV/0!</v>
      </c>
      <c r="L123" s="5" t="str">
        <f>AVERAGEIFS('Data Combined - all-runs'!$L:$L, 'Data Combined - all-runs'!$A:$A, A123,'Data Combined - all-runs'!$B:$B, B123,'Data Combined - all-runs'!$C:$C, C123, 'Data Combined - all-runs'!$D:$D, D123, 'Data Combined - all-runs'!$E:$E, E123)</f>
        <v>#DIV/0!</v>
      </c>
      <c r="M123" s="5" t="str">
        <f>AVERAGEIFS('Data Combined - all-runs'!$M:$M, 'Data Combined - all-runs'!$A:$A, A123,'Data Combined - all-runs'!$B:$B, B123,'Data Combined - all-runs'!$C:$C, C123, 'Data Combined - all-runs'!$D:$D, D123, 'Data Combined - all-runs'!$E:$E, E123)</f>
        <v>#DIV/0!</v>
      </c>
      <c r="N123" s="5" t="str">
        <f>AVERAGEIFS('Data Combined - all-runs'!$N:$N, 'Data Combined - all-runs'!$A:$A, A123,'Data Combined - all-runs'!$B:$B, B123,'Data Combined - all-runs'!$C:$C, C123, 'Data Combined - all-runs'!$D:$D, D123, 'Data Combined - all-runs'!$E:$E, E123)</f>
        <v>#DIV/0!</v>
      </c>
      <c r="O123" s="5" t="str">
        <f>AVERAGEIFS('Data Combined - all-runs'!$O:$O, 'Data Combined - all-runs'!$A:$A, A123,'Data Combined - all-runs'!$B:$B, B123,'Data Combined - all-runs'!$C:$C, C123, 'Data Combined - all-runs'!$D:$D, D123, 'Data Combined - all-runs'!$E:$E, E123)</f>
        <v>#DIV/0!</v>
      </c>
      <c r="P123" s="5" t="str">
        <f>AVERAGEIFS('Data Combined - all-runs'!$P:$P, 'Data Combined - all-runs'!$A:$A, A123,'Data Combined - all-runs'!$B:$B, B123,'Data Combined - all-runs'!$C:$C, C123, 'Data Combined - all-runs'!$D:$D, D123, 'Data Combined - all-runs'!$E:$E, E123)</f>
        <v>#DIV/0!</v>
      </c>
      <c r="Q123" s="5" t="str">
        <f>AVERAGEIFS('Data Combined - all-runs'!$Q:$Q, 'Data Combined - all-runs'!$A:$A, A123,'Data Combined - all-runs'!$B:$B, B123,'Data Combined - all-runs'!$C:$C, C123, 'Data Combined - all-runs'!$D:$D, D123, 'Data Combined - all-runs'!$E:$E, E123)</f>
        <v>#DIV/0!</v>
      </c>
      <c r="R123" s="5" t="str">
        <f>AVERAGEIFS('Data Combined - all-runs'!$R:$R, 'Data Combined - all-runs'!$A:$A, A123,'Data Combined - all-runs'!$B:$B, B123,'Data Combined - all-runs'!$C:$C, C123, 'Data Combined - all-runs'!$D:$D, D123, 'Data Combined - all-runs'!$E:$E, E123)</f>
        <v>#DIV/0!</v>
      </c>
      <c r="S123" s="5" t="str">
        <f>AVERAGEIFS('Data Combined - all-runs'!$S:$S, 'Data Combined - all-runs'!$A:$A, A123,'Data Combined - all-runs'!$B:$B, B123,'Data Combined - all-runs'!$C:$C, C123, 'Data Combined - all-runs'!$D:$D, D123, 'Data Combined - all-runs'!$E:$E, E123)</f>
        <v>#DIV/0!</v>
      </c>
      <c r="T123" s="5" t="str">
        <f>AVERAGEIFS('Data Combined - all-runs'!$T:$T, 'Data Combined - all-runs'!$A:$A, A123,'Data Combined - all-runs'!$B:$B, B123,'Data Combined - all-runs'!$C:$C, C123, 'Data Combined - all-runs'!$D:$D, D123, 'Data Combined - all-runs'!$E:$E, E123)</f>
        <v>#DIV/0!</v>
      </c>
      <c r="U123" s="5" t="b">
        <f t="shared" si="1"/>
        <v>0</v>
      </c>
      <c r="V123" s="5" t="b">
        <f t="shared" si="2"/>
        <v>0</v>
      </c>
      <c r="W123" s="5" t="b">
        <f t="shared" si="3"/>
        <v>0</v>
      </c>
    </row>
    <row r="124">
      <c r="A124" s="2" t="s">
        <v>32</v>
      </c>
      <c r="B124" s="2" t="s">
        <v>114</v>
      </c>
      <c r="C124" s="2" t="s">
        <v>35</v>
      </c>
      <c r="D124" s="2" t="s">
        <v>72</v>
      </c>
      <c r="E124" s="2" t="s">
        <v>43</v>
      </c>
      <c r="H124" s="5" t="str">
        <f>AVERAGEIFS('Data Combined - all-runs'!$H:$H, 'Data Combined - all-runs'!$A:$A, A124,'Data Combined - all-runs'!$B:$B, B124,'Data Combined - all-runs'!$C:$C, C124, 'Data Combined - all-runs'!$D:$D, D124, 'Data Combined - all-runs'!$E:$E, E124)</f>
        <v>#DIV/0!</v>
      </c>
      <c r="I124" s="5" t="str">
        <f>AVERAGEIFS('Data Combined - all-runs'!$I:$I, 'Data Combined - all-runs'!$A:$A, A124,'Data Combined - all-runs'!$B:$B, B124,'Data Combined - all-runs'!$C:$C, C124, 'Data Combined - all-runs'!$D:$D, D124, 'Data Combined - all-runs'!$E:$E, E124)</f>
        <v>#DIV/0!</v>
      </c>
      <c r="J124" s="5" t="str">
        <f>AVERAGEIFS('Data Combined - all-runs'!$J:$J, 'Data Combined - all-runs'!$A:$A, A124,'Data Combined - all-runs'!$B:$B, B124,'Data Combined - all-runs'!$C:$C, C124, 'Data Combined - all-runs'!$D:$D, D124, 'Data Combined - all-runs'!$E:$E, E124)</f>
        <v>#DIV/0!</v>
      </c>
      <c r="K124" s="5" t="str">
        <f>AVERAGEIFS('Data Combined - all-runs'!$K:$K, 'Data Combined - all-runs'!$A:$A, A124,'Data Combined - all-runs'!$B:$B, B124,'Data Combined - all-runs'!$C:$C, C124, 'Data Combined - all-runs'!$D:$D, D124, 'Data Combined - all-runs'!$E:$E, E124)</f>
        <v>#DIV/0!</v>
      </c>
      <c r="L124" s="5" t="str">
        <f>AVERAGEIFS('Data Combined - all-runs'!$L:$L, 'Data Combined - all-runs'!$A:$A, A124,'Data Combined - all-runs'!$B:$B, B124,'Data Combined - all-runs'!$C:$C, C124, 'Data Combined - all-runs'!$D:$D, D124, 'Data Combined - all-runs'!$E:$E, E124)</f>
        <v>#DIV/0!</v>
      </c>
      <c r="M124" s="5" t="str">
        <f>AVERAGEIFS('Data Combined - all-runs'!$M:$M, 'Data Combined - all-runs'!$A:$A, A124,'Data Combined - all-runs'!$B:$B, B124,'Data Combined - all-runs'!$C:$C, C124, 'Data Combined - all-runs'!$D:$D, D124, 'Data Combined - all-runs'!$E:$E, E124)</f>
        <v>#DIV/0!</v>
      </c>
      <c r="N124" s="5" t="str">
        <f>AVERAGEIFS('Data Combined - all-runs'!$N:$N, 'Data Combined - all-runs'!$A:$A, A124,'Data Combined - all-runs'!$B:$B, B124,'Data Combined - all-runs'!$C:$C, C124, 'Data Combined - all-runs'!$D:$D, D124, 'Data Combined - all-runs'!$E:$E, E124)</f>
        <v>#DIV/0!</v>
      </c>
      <c r="O124" s="5" t="str">
        <f>AVERAGEIFS('Data Combined - all-runs'!$O:$O, 'Data Combined - all-runs'!$A:$A, A124,'Data Combined - all-runs'!$B:$B, B124,'Data Combined - all-runs'!$C:$C, C124, 'Data Combined - all-runs'!$D:$D, D124, 'Data Combined - all-runs'!$E:$E, E124)</f>
        <v>#DIV/0!</v>
      </c>
      <c r="P124" s="5" t="str">
        <f>AVERAGEIFS('Data Combined - all-runs'!$P:$P, 'Data Combined - all-runs'!$A:$A, A124,'Data Combined - all-runs'!$B:$B, B124,'Data Combined - all-runs'!$C:$C, C124, 'Data Combined - all-runs'!$D:$D, D124, 'Data Combined - all-runs'!$E:$E, E124)</f>
        <v>#DIV/0!</v>
      </c>
      <c r="Q124" s="5" t="str">
        <f>AVERAGEIFS('Data Combined - all-runs'!$Q:$Q, 'Data Combined - all-runs'!$A:$A, A124,'Data Combined - all-runs'!$B:$B, B124,'Data Combined - all-runs'!$C:$C, C124, 'Data Combined - all-runs'!$D:$D, D124, 'Data Combined - all-runs'!$E:$E, E124)</f>
        <v>#DIV/0!</v>
      </c>
      <c r="R124" s="5" t="str">
        <f>AVERAGEIFS('Data Combined - all-runs'!$R:$R, 'Data Combined - all-runs'!$A:$A, A124,'Data Combined - all-runs'!$B:$B, B124,'Data Combined - all-runs'!$C:$C, C124, 'Data Combined - all-runs'!$D:$D, D124, 'Data Combined - all-runs'!$E:$E, E124)</f>
        <v>#DIV/0!</v>
      </c>
      <c r="S124" s="5" t="str">
        <f>AVERAGEIFS('Data Combined - all-runs'!$S:$S, 'Data Combined - all-runs'!$A:$A, A124,'Data Combined - all-runs'!$B:$B, B124,'Data Combined - all-runs'!$C:$C, C124, 'Data Combined - all-runs'!$D:$D, D124, 'Data Combined - all-runs'!$E:$E, E124)</f>
        <v>#DIV/0!</v>
      </c>
      <c r="T124" s="5" t="str">
        <f>AVERAGEIFS('Data Combined - all-runs'!$T:$T, 'Data Combined - all-runs'!$A:$A, A124,'Data Combined - all-runs'!$B:$B, B124,'Data Combined - all-runs'!$C:$C, C124, 'Data Combined - all-runs'!$D:$D, D124, 'Data Combined - all-runs'!$E:$E, E124)</f>
        <v>#DIV/0!</v>
      </c>
      <c r="U124" s="5" t="b">
        <f t="shared" si="1"/>
        <v>0</v>
      </c>
      <c r="V124" s="5" t="b">
        <f t="shared" si="2"/>
        <v>0</v>
      </c>
      <c r="W124" s="5" t="b">
        <f t="shared" si="3"/>
        <v>0</v>
      </c>
    </row>
    <row r="125">
      <c r="A125" s="2" t="s">
        <v>32</v>
      </c>
      <c r="B125" s="2" t="s">
        <v>114</v>
      </c>
      <c r="C125" s="2" t="s">
        <v>35</v>
      </c>
      <c r="D125" s="2" t="s">
        <v>72</v>
      </c>
      <c r="E125" s="2" t="s">
        <v>34</v>
      </c>
      <c r="H125" s="5" t="str">
        <f>AVERAGEIFS('Data Combined - all-runs'!$H:$H, 'Data Combined - all-runs'!$A:$A, A125,'Data Combined - all-runs'!$B:$B, B125,'Data Combined - all-runs'!$C:$C, C125, 'Data Combined - all-runs'!$D:$D, D125, 'Data Combined - all-runs'!$E:$E, E125)</f>
        <v>#DIV/0!</v>
      </c>
      <c r="I125" s="5" t="str">
        <f>AVERAGEIFS('Data Combined - all-runs'!$I:$I, 'Data Combined - all-runs'!$A:$A, A125,'Data Combined - all-runs'!$B:$B, B125,'Data Combined - all-runs'!$C:$C, C125, 'Data Combined - all-runs'!$D:$D, D125, 'Data Combined - all-runs'!$E:$E, E125)</f>
        <v>#DIV/0!</v>
      </c>
      <c r="J125" s="5" t="str">
        <f>AVERAGEIFS('Data Combined - all-runs'!$J:$J, 'Data Combined - all-runs'!$A:$A, A125,'Data Combined - all-runs'!$B:$B, B125,'Data Combined - all-runs'!$C:$C, C125, 'Data Combined - all-runs'!$D:$D, D125, 'Data Combined - all-runs'!$E:$E, E125)</f>
        <v>#DIV/0!</v>
      </c>
      <c r="K125" s="5" t="str">
        <f>AVERAGEIFS('Data Combined - all-runs'!$K:$K, 'Data Combined - all-runs'!$A:$A, A125,'Data Combined - all-runs'!$B:$B, B125,'Data Combined - all-runs'!$C:$C, C125, 'Data Combined - all-runs'!$D:$D, D125, 'Data Combined - all-runs'!$E:$E, E125)</f>
        <v>#DIV/0!</v>
      </c>
      <c r="L125" s="5" t="str">
        <f>AVERAGEIFS('Data Combined - all-runs'!$L:$L, 'Data Combined - all-runs'!$A:$A, A125,'Data Combined - all-runs'!$B:$B, B125,'Data Combined - all-runs'!$C:$C, C125, 'Data Combined - all-runs'!$D:$D, D125, 'Data Combined - all-runs'!$E:$E, E125)</f>
        <v>#DIV/0!</v>
      </c>
      <c r="M125" s="5" t="str">
        <f>AVERAGEIFS('Data Combined - all-runs'!$M:$M, 'Data Combined - all-runs'!$A:$A, A125,'Data Combined - all-runs'!$B:$B, B125,'Data Combined - all-runs'!$C:$C, C125, 'Data Combined - all-runs'!$D:$D, D125, 'Data Combined - all-runs'!$E:$E, E125)</f>
        <v>#DIV/0!</v>
      </c>
      <c r="N125" s="5" t="str">
        <f>AVERAGEIFS('Data Combined - all-runs'!$N:$N, 'Data Combined - all-runs'!$A:$A, A125,'Data Combined - all-runs'!$B:$B, B125,'Data Combined - all-runs'!$C:$C, C125, 'Data Combined - all-runs'!$D:$D, D125, 'Data Combined - all-runs'!$E:$E, E125)</f>
        <v>#DIV/0!</v>
      </c>
      <c r="O125" s="5" t="str">
        <f>AVERAGEIFS('Data Combined - all-runs'!$O:$O, 'Data Combined - all-runs'!$A:$A, A125,'Data Combined - all-runs'!$B:$B, B125,'Data Combined - all-runs'!$C:$C, C125, 'Data Combined - all-runs'!$D:$D, D125, 'Data Combined - all-runs'!$E:$E, E125)</f>
        <v>#DIV/0!</v>
      </c>
      <c r="P125" s="5" t="str">
        <f>AVERAGEIFS('Data Combined - all-runs'!$P:$P, 'Data Combined - all-runs'!$A:$A, A125,'Data Combined - all-runs'!$B:$B, B125,'Data Combined - all-runs'!$C:$C, C125, 'Data Combined - all-runs'!$D:$D, D125, 'Data Combined - all-runs'!$E:$E, E125)</f>
        <v>#DIV/0!</v>
      </c>
      <c r="Q125" s="5" t="str">
        <f>AVERAGEIFS('Data Combined - all-runs'!$Q:$Q, 'Data Combined - all-runs'!$A:$A, A125,'Data Combined - all-runs'!$B:$B, B125,'Data Combined - all-runs'!$C:$C, C125, 'Data Combined - all-runs'!$D:$D, D125, 'Data Combined - all-runs'!$E:$E, E125)</f>
        <v>#DIV/0!</v>
      </c>
      <c r="R125" s="5" t="str">
        <f>AVERAGEIFS('Data Combined - all-runs'!$R:$R, 'Data Combined - all-runs'!$A:$A, A125,'Data Combined - all-runs'!$B:$B, B125,'Data Combined - all-runs'!$C:$C, C125, 'Data Combined - all-runs'!$D:$D, D125, 'Data Combined - all-runs'!$E:$E, E125)</f>
        <v>#DIV/0!</v>
      </c>
      <c r="S125" s="5" t="str">
        <f>AVERAGEIFS('Data Combined - all-runs'!$S:$S, 'Data Combined - all-runs'!$A:$A, A125,'Data Combined - all-runs'!$B:$B, B125,'Data Combined - all-runs'!$C:$C, C125, 'Data Combined - all-runs'!$D:$D, D125, 'Data Combined - all-runs'!$E:$E, E125)</f>
        <v>#DIV/0!</v>
      </c>
      <c r="T125" s="5" t="str">
        <f>AVERAGEIFS('Data Combined - all-runs'!$T:$T, 'Data Combined - all-runs'!$A:$A, A125,'Data Combined - all-runs'!$B:$B, B125,'Data Combined - all-runs'!$C:$C, C125, 'Data Combined - all-runs'!$D:$D, D125, 'Data Combined - all-runs'!$E:$E, E125)</f>
        <v>#DIV/0!</v>
      </c>
      <c r="U125" s="5" t="b">
        <f t="shared" si="1"/>
        <v>0</v>
      </c>
      <c r="V125" s="5" t="b">
        <f t="shared" si="2"/>
        <v>0</v>
      </c>
      <c r="W125" s="5" t="b">
        <f t="shared" si="3"/>
        <v>0</v>
      </c>
    </row>
    <row r="126">
      <c r="A126" s="2" t="s">
        <v>32</v>
      </c>
      <c r="B126" s="2" t="s">
        <v>114</v>
      </c>
      <c r="C126" s="2" t="s">
        <v>35</v>
      </c>
      <c r="D126" s="2" t="s">
        <v>72</v>
      </c>
      <c r="E126" s="2" t="s">
        <v>47</v>
      </c>
      <c r="H126" s="5" t="str">
        <f>AVERAGEIFS('Data Combined - all-runs'!$H:$H, 'Data Combined - all-runs'!$A:$A, A126,'Data Combined - all-runs'!$B:$B, B126,'Data Combined - all-runs'!$C:$C, C126, 'Data Combined - all-runs'!$D:$D, D126, 'Data Combined - all-runs'!$E:$E, E126)</f>
        <v>#DIV/0!</v>
      </c>
      <c r="I126" s="5" t="str">
        <f>AVERAGEIFS('Data Combined - all-runs'!$I:$I, 'Data Combined - all-runs'!$A:$A, A126,'Data Combined - all-runs'!$B:$B, B126,'Data Combined - all-runs'!$C:$C, C126, 'Data Combined - all-runs'!$D:$D, D126, 'Data Combined - all-runs'!$E:$E, E126)</f>
        <v>#DIV/0!</v>
      </c>
      <c r="J126" s="5" t="str">
        <f>AVERAGEIFS('Data Combined - all-runs'!$J:$J, 'Data Combined - all-runs'!$A:$A, A126,'Data Combined - all-runs'!$B:$B, B126,'Data Combined - all-runs'!$C:$C, C126, 'Data Combined - all-runs'!$D:$D, D126, 'Data Combined - all-runs'!$E:$E, E126)</f>
        <v>#DIV/0!</v>
      </c>
      <c r="K126" s="5" t="str">
        <f>AVERAGEIFS('Data Combined - all-runs'!$K:$K, 'Data Combined - all-runs'!$A:$A, A126,'Data Combined - all-runs'!$B:$B, B126,'Data Combined - all-runs'!$C:$C, C126, 'Data Combined - all-runs'!$D:$D, D126, 'Data Combined - all-runs'!$E:$E, E126)</f>
        <v>#DIV/0!</v>
      </c>
      <c r="L126" s="5" t="str">
        <f>AVERAGEIFS('Data Combined - all-runs'!$L:$L, 'Data Combined - all-runs'!$A:$A, A126,'Data Combined - all-runs'!$B:$B, B126,'Data Combined - all-runs'!$C:$C, C126, 'Data Combined - all-runs'!$D:$D, D126, 'Data Combined - all-runs'!$E:$E, E126)</f>
        <v>#DIV/0!</v>
      </c>
      <c r="M126" s="5" t="str">
        <f>AVERAGEIFS('Data Combined - all-runs'!$M:$M, 'Data Combined - all-runs'!$A:$A, A126,'Data Combined - all-runs'!$B:$B, B126,'Data Combined - all-runs'!$C:$C, C126, 'Data Combined - all-runs'!$D:$D, D126, 'Data Combined - all-runs'!$E:$E, E126)</f>
        <v>#DIV/0!</v>
      </c>
      <c r="N126" s="5" t="str">
        <f>AVERAGEIFS('Data Combined - all-runs'!$N:$N, 'Data Combined - all-runs'!$A:$A, A126,'Data Combined - all-runs'!$B:$B, B126,'Data Combined - all-runs'!$C:$C, C126, 'Data Combined - all-runs'!$D:$D, D126, 'Data Combined - all-runs'!$E:$E, E126)</f>
        <v>#DIV/0!</v>
      </c>
      <c r="O126" s="5" t="str">
        <f>AVERAGEIFS('Data Combined - all-runs'!$O:$O, 'Data Combined - all-runs'!$A:$A, A126,'Data Combined - all-runs'!$B:$B, B126,'Data Combined - all-runs'!$C:$C, C126, 'Data Combined - all-runs'!$D:$D, D126, 'Data Combined - all-runs'!$E:$E, E126)</f>
        <v>#DIV/0!</v>
      </c>
      <c r="P126" s="5" t="str">
        <f>AVERAGEIFS('Data Combined - all-runs'!$P:$P, 'Data Combined - all-runs'!$A:$A, A126,'Data Combined - all-runs'!$B:$B, B126,'Data Combined - all-runs'!$C:$C, C126, 'Data Combined - all-runs'!$D:$D, D126, 'Data Combined - all-runs'!$E:$E, E126)</f>
        <v>#DIV/0!</v>
      </c>
      <c r="Q126" s="5" t="str">
        <f>AVERAGEIFS('Data Combined - all-runs'!$Q:$Q, 'Data Combined - all-runs'!$A:$A, A126,'Data Combined - all-runs'!$B:$B, B126,'Data Combined - all-runs'!$C:$C, C126, 'Data Combined - all-runs'!$D:$D, D126, 'Data Combined - all-runs'!$E:$E, E126)</f>
        <v>#DIV/0!</v>
      </c>
      <c r="R126" s="5" t="str">
        <f>AVERAGEIFS('Data Combined - all-runs'!$R:$R, 'Data Combined - all-runs'!$A:$A, A126,'Data Combined - all-runs'!$B:$B, B126,'Data Combined - all-runs'!$C:$C, C126, 'Data Combined - all-runs'!$D:$D, D126, 'Data Combined - all-runs'!$E:$E, E126)</f>
        <v>#DIV/0!</v>
      </c>
      <c r="S126" s="5" t="str">
        <f>AVERAGEIFS('Data Combined - all-runs'!$S:$S, 'Data Combined - all-runs'!$A:$A, A126,'Data Combined - all-runs'!$B:$B, B126,'Data Combined - all-runs'!$C:$C, C126, 'Data Combined - all-runs'!$D:$D, D126, 'Data Combined - all-runs'!$E:$E, E126)</f>
        <v>#DIV/0!</v>
      </c>
      <c r="T126" s="5" t="str">
        <f>AVERAGEIFS('Data Combined - all-runs'!$T:$T, 'Data Combined - all-runs'!$A:$A, A126,'Data Combined - all-runs'!$B:$B, B126,'Data Combined - all-runs'!$C:$C, C126, 'Data Combined - all-runs'!$D:$D, D126, 'Data Combined - all-runs'!$E:$E, E126)</f>
        <v>#DIV/0!</v>
      </c>
      <c r="U126" s="5" t="b">
        <f t="shared" si="1"/>
        <v>0</v>
      </c>
      <c r="V126" s="5" t="b">
        <f t="shared" si="2"/>
        <v>0</v>
      </c>
      <c r="W126" s="5" t="b">
        <f t="shared" si="3"/>
        <v>0</v>
      </c>
    </row>
    <row r="127">
      <c r="A127" s="2" t="s">
        <v>32</v>
      </c>
      <c r="B127" s="2" t="s">
        <v>114</v>
      </c>
      <c r="C127" s="2" t="s">
        <v>35</v>
      </c>
      <c r="D127" s="2" t="s">
        <v>72</v>
      </c>
      <c r="E127" s="2" t="s">
        <v>51</v>
      </c>
      <c r="H127" s="5" t="str">
        <f>AVERAGEIFS('Data Combined - all-runs'!$H:$H, 'Data Combined - all-runs'!$A:$A, A127,'Data Combined - all-runs'!$B:$B, B127,'Data Combined - all-runs'!$C:$C, C127, 'Data Combined - all-runs'!$D:$D, D127, 'Data Combined - all-runs'!$E:$E, E127)</f>
        <v>#DIV/0!</v>
      </c>
      <c r="I127" s="5" t="str">
        <f>AVERAGEIFS('Data Combined - all-runs'!$I:$I, 'Data Combined - all-runs'!$A:$A, A127,'Data Combined - all-runs'!$B:$B, B127,'Data Combined - all-runs'!$C:$C, C127, 'Data Combined - all-runs'!$D:$D, D127, 'Data Combined - all-runs'!$E:$E, E127)</f>
        <v>#DIV/0!</v>
      </c>
      <c r="J127" s="5" t="str">
        <f>AVERAGEIFS('Data Combined - all-runs'!$J:$J, 'Data Combined - all-runs'!$A:$A, A127,'Data Combined - all-runs'!$B:$B, B127,'Data Combined - all-runs'!$C:$C, C127, 'Data Combined - all-runs'!$D:$D, D127, 'Data Combined - all-runs'!$E:$E, E127)</f>
        <v>#DIV/0!</v>
      </c>
      <c r="K127" s="5" t="str">
        <f>AVERAGEIFS('Data Combined - all-runs'!$K:$K, 'Data Combined - all-runs'!$A:$A, A127,'Data Combined - all-runs'!$B:$B, B127,'Data Combined - all-runs'!$C:$C, C127, 'Data Combined - all-runs'!$D:$D, D127, 'Data Combined - all-runs'!$E:$E, E127)</f>
        <v>#DIV/0!</v>
      </c>
      <c r="L127" s="5" t="str">
        <f>AVERAGEIFS('Data Combined - all-runs'!$L:$L, 'Data Combined - all-runs'!$A:$A, A127,'Data Combined - all-runs'!$B:$B, B127,'Data Combined - all-runs'!$C:$C, C127, 'Data Combined - all-runs'!$D:$D, D127, 'Data Combined - all-runs'!$E:$E, E127)</f>
        <v>#DIV/0!</v>
      </c>
      <c r="M127" s="5" t="str">
        <f>AVERAGEIFS('Data Combined - all-runs'!$M:$M, 'Data Combined - all-runs'!$A:$A, A127,'Data Combined - all-runs'!$B:$B, B127,'Data Combined - all-runs'!$C:$C, C127, 'Data Combined - all-runs'!$D:$D, D127, 'Data Combined - all-runs'!$E:$E, E127)</f>
        <v>#DIV/0!</v>
      </c>
      <c r="N127" s="5" t="str">
        <f>AVERAGEIFS('Data Combined - all-runs'!$N:$N, 'Data Combined - all-runs'!$A:$A, A127,'Data Combined - all-runs'!$B:$B, B127,'Data Combined - all-runs'!$C:$C, C127, 'Data Combined - all-runs'!$D:$D, D127, 'Data Combined - all-runs'!$E:$E, E127)</f>
        <v>#DIV/0!</v>
      </c>
      <c r="O127" s="5" t="str">
        <f>AVERAGEIFS('Data Combined - all-runs'!$O:$O, 'Data Combined - all-runs'!$A:$A, A127,'Data Combined - all-runs'!$B:$B, B127,'Data Combined - all-runs'!$C:$C, C127, 'Data Combined - all-runs'!$D:$D, D127, 'Data Combined - all-runs'!$E:$E, E127)</f>
        <v>#DIV/0!</v>
      </c>
      <c r="P127" s="5" t="str">
        <f>AVERAGEIFS('Data Combined - all-runs'!$P:$P, 'Data Combined - all-runs'!$A:$A, A127,'Data Combined - all-runs'!$B:$B, B127,'Data Combined - all-runs'!$C:$C, C127, 'Data Combined - all-runs'!$D:$D, D127, 'Data Combined - all-runs'!$E:$E, E127)</f>
        <v>#DIV/0!</v>
      </c>
      <c r="Q127" s="5" t="str">
        <f>AVERAGEIFS('Data Combined - all-runs'!$Q:$Q, 'Data Combined - all-runs'!$A:$A, A127,'Data Combined - all-runs'!$B:$B, B127,'Data Combined - all-runs'!$C:$C, C127, 'Data Combined - all-runs'!$D:$D, D127, 'Data Combined - all-runs'!$E:$E, E127)</f>
        <v>#DIV/0!</v>
      </c>
      <c r="R127" s="5" t="str">
        <f>AVERAGEIFS('Data Combined - all-runs'!$R:$R, 'Data Combined - all-runs'!$A:$A, A127,'Data Combined - all-runs'!$B:$B, B127,'Data Combined - all-runs'!$C:$C, C127, 'Data Combined - all-runs'!$D:$D, D127, 'Data Combined - all-runs'!$E:$E, E127)</f>
        <v>#DIV/0!</v>
      </c>
      <c r="S127" s="5" t="str">
        <f>AVERAGEIFS('Data Combined - all-runs'!$S:$S, 'Data Combined - all-runs'!$A:$A, A127,'Data Combined - all-runs'!$B:$B, B127,'Data Combined - all-runs'!$C:$C, C127, 'Data Combined - all-runs'!$D:$D, D127, 'Data Combined - all-runs'!$E:$E, E127)</f>
        <v>#DIV/0!</v>
      </c>
      <c r="T127" s="5" t="str">
        <f>AVERAGEIFS('Data Combined - all-runs'!$T:$T, 'Data Combined - all-runs'!$A:$A, A127,'Data Combined - all-runs'!$B:$B, B127,'Data Combined - all-runs'!$C:$C, C127, 'Data Combined - all-runs'!$D:$D, D127, 'Data Combined - all-runs'!$E:$E, E127)</f>
        <v>#DIV/0!</v>
      </c>
      <c r="U127" s="5" t="b">
        <f t="shared" si="1"/>
        <v>0</v>
      </c>
      <c r="V127" s="5" t="b">
        <f t="shared" si="2"/>
        <v>0</v>
      </c>
      <c r="W127" s="5" t="b">
        <f t="shared" si="3"/>
        <v>0</v>
      </c>
    </row>
    <row r="128">
      <c r="A128" s="2" t="s">
        <v>32</v>
      </c>
      <c r="B128" s="2" t="s">
        <v>114</v>
      </c>
      <c r="C128" s="2" t="s">
        <v>35</v>
      </c>
      <c r="D128" s="2" t="s">
        <v>64</v>
      </c>
      <c r="E128" s="2" t="s">
        <v>25</v>
      </c>
      <c r="H128" s="5" t="str">
        <f>AVERAGEIFS('Data Combined - all-runs'!$H:$H, 'Data Combined - all-runs'!$A:$A, A128,'Data Combined - all-runs'!$B:$B, B128,'Data Combined - all-runs'!$C:$C, C128, 'Data Combined - all-runs'!$D:$D, D128, 'Data Combined - all-runs'!$E:$E, E128)</f>
        <v>#DIV/0!</v>
      </c>
      <c r="I128" s="5" t="str">
        <f>AVERAGEIFS('Data Combined - all-runs'!$I:$I, 'Data Combined - all-runs'!$A:$A, A128,'Data Combined - all-runs'!$B:$B, B128,'Data Combined - all-runs'!$C:$C, C128, 'Data Combined - all-runs'!$D:$D, D128, 'Data Combined - all-runs'!$E:$E, E128)</f>
        <v>#DIV/0!</v>
      </c>
      <c r="J128" s="5" t="str">
        <f>AVERAGEIFS('Data Combined - all-runs'!$J:$J, 'Data Combined - all-runs'!$A:$A, A128,'Data Combined - all-runs'!$B:$B, B128,'Data Combined - all-runs'!$C:$C, C128, 'Data Combined - all-runs'!$D:$D, D128, 'Data Combined - all-runs'!$E:$E, E128)</f>
        <v>#DIV/0!</v>
      </c>
      <c r="K128" s="5" t="str">
        <f>AVERAGEIFS('Data Combined - all-runs'!$K:$K, 'Data Combined - all-runs'!$A:$A, A128,'Data Combined - all-runs'!$B:$B, B128,'Data Combined - all-runs'!$C:$C, C128, 'Data Combined - all-runs'!$D:$D, D128, 'Data Combined - all-runs'!$E:$E, E128)</f>
        <v>#DIV/0!</v>
      </c>
      <c r="L128" s="5" t="str">
        <f>AVERAGEIFS('Data Combined - all-runs'!$L:$L, 'Data Combined - all-runs'!$A:$A, A128,'Data Combined - all-runs'!$B:$B, B128,'Data Combined - all-runs'!$C:$C, C128, 'Data Combined - all-runs'!$D:$D, D128, 'Data Combined - all-runs'!$E:$E, E128)</f>
        <v>#DIV/0!</v>
      </c>
      <c r="M128" s="5" t="str">
        <f>AVERAGEIFS('Data Combined - all-runs'!$M:$M, 'Data Combined - all-runs'!$A:$A, A128,'Data Combined - all-runs'!$B:$B, B128,'Data Combined - all-runs'!$C:$C, C128, 'Data Combined - all-runs'!$D:$D, D128, 'Data Combined - all-runs'!$E:$E, E128)</f>
        <v>#DIV/0!</v>
      </c>
      <c r="N128" s="5" t="str">
        <f>AVERAGEIFS('Data Combined - all-runs'!$N:$N, 'Data Combined - all-runs'!$A:$A, A128,'Data Combined - all-runs'!$B:$B, B128,'Data Combined - all-runs'!$C:$C, C128, 'Data Combined - all-runs'!$D:$D, D128, 'Data Combined - all-runs'!$E:$E, E128)</f>
        <v>#DIV/0!</v>
      </c>
      <c r="O128" s="5" t="str">
        <f>AVERAGEIFS('Data Combined - all-runs'!$O:$O, 'Data Combined - all-runs'!$A:$A, A128,'Data Combined - all-runs'!$B:$B, B128,'Data Combined - all-runs'!$C:$C, C128, 'Data Combined - all-runs'!$D:$D, D128, 'Data Combined - all-runs'!$E:$E, E128)</f>
        <v>#DIV/0!</v>
      </c>
      <c r="P128" s="5" t="str">
        <f>AVERAGEIFS('Data Combined - all-runs'!$P:$P, 'Data Combined - all-runs'!$A:$A, A128,'Data Combined - all-runs'!$B:$B, B128,'Data Combined - all-runs'!$C:$C, C128, 'Data Combined - all-runs'!$D:$D, D128, 'Data Combined - all-runs'!$E:$E, E128)</f>
        <v>#DIV/0!</v>
      </c>
      <c r="Q128" s="5" t="str">
        <f>AVERAGEIFS('Data Combined - all-runs'!$Q:$Q, 'Data Combined - all-runs'!$A:$A, A128,'Data Combined - all-runs'!$B:$B, B128,'Data Combined - all-runs'!$C:$C, C128, 'Data Combined - all-runs'!$D:$D, D128, 'Data Combined - all-runs'!$E:$E, E128)</f>
        <v>#DIV/0!</v>
      </c>
      <c r="R128" s="5" t="str">
        <f>AVERAGEIFS('Data Combined - all-runs'!$R:$R, 'Data Combined - all-runs'!$A:$A, A128,'Data Combined - all-runs'!$B:$B, B128,'Data Combined - all-runs'!$C:$C, C128, 'Data Combined - all-runs'!$D:$D, D128, 'Data Combined - all-runs'!$E:$E, E128)</f>
        <v>#DIV/0!</v>
      </c>
      <c r="S128" s="5" t="str">
        <f>AVERAGEIFS('Data Combined - all-runs'!$S:$S, 'Data Combined - all-runs'!$A:$A, A128,'Data Combined - all-runs'!$B:$B, B128,'Data Combined - all-runs'!$C:$C, C128, 'Data Combined - all-runs'!$D:$D, D128, 'Data Combined - all-runs'!$E:$E, E128)</f>
        <v>#DIV/0!</v>
      </c>
      <c r="T128" s="5" t="str">
        <f>AVERAGEIFS('Data Combined - all-runs'!$T:$T, 'Data Combined - all-runs'!$A:$A, A128,'Data Combined - all-runs'!$B:$B, B128,'Data Combined - all-runs'!$C:$C, C128, 'Data Combined - all-runs'!$D:$D, D128, 'Data Combined - all-runs'!$E:$E, E128)</f>
        <v>#DIV/0!</v>
      </c>
      <c r="U128" s="5" t="b">
        <f t="shared" si="1"/>
        <v>0</v>
      </c>
      <c r="V128" s="5" t="b">
        <f t="shared" si="2"/>
        <v>0</v>
      </c>
      <c r="W128" s="5" t="b">
        <f t="shared" si="3"/>
        <v>0</v>
      </c>
    </row>
    <row r="129">
      <c r="A129" s="2" t="s">
        <v>32</v>
      </c>
      <c r="B129" s="2" t="s">
        <v>114</v>
      </c>
      <c r="C129" s="2" t="s">
        <v>35</v>
      </c>
      <c r="D129" s="2" t="s">
        <v>64</v>
      </c>
      <c r="E129" s="2" t="s">
        <v>39</v>
      </c>
      <c r="H129" s="5" t="str">
        <f>AVERAGEIFS('Data Combined - all-runs'!$H:$H, 'Data Combined - all-runs'!$A:$A, A129,'Data Combined - all-runs'!$B:$B, B129,'Data Combined - all-runs'!$C:$C, C129, 'Data Combined - all-runs'!$D:$D, D129, 'Data Combined - all-runs'!$E:$E, E129)</f>
        <v>#DIV/0!</v>
      </c>
      <c r="I129" s="5" t="str">
        <f>AVERAGEIFS('Data Combined - all-runs'!$I:$I, 'Data Combined - all-runs'!$A:$A, A129,'Data Combined - all-runs'!$B:$B, B129,'Data Combined - all-runs'!$C:$C, C129, 'Data Combined - all-runs'!$D:$D, D129, 'Data Combined - all-runs'!$E:$E, E129)</f>
        <v>#DIV/0!</v>
      </c>
      <c r="J129" s="5" t="str">
        <f>AVERAGEIFS('Data Combined - all-runs'!$J:$J, 'Data Combined - all-runs'!$A:$A, A129,'Data Combined - all-runs'!$B:$B, B129,'Data Combined - all-runs'!$C:$C, C129, 'Data Combined - all-runs'!$D:$D, D129, 'Data Combined - all-runs'!$E:$E, E129)</f>
        <v>#DIV/0!</v>
      </c>
      <c r="K129" s="5" t="str">
        <f>AVERAGEIFS('Data Combined - all-runs'!$K:$K, 'Data Combined - all-runs'!$A:$A, A129,'Data Combined - all-runs'!$B:$B, B129,'Data Combined - all-runs'!$C:$C, C129, 'Data Combined - all-runs'!$D:$D, D129, 'Data Combined - all-runs'!$E:$E, E129)</f>
        <v>#DIV/0!</v>
      </c>
      <c r="L129" s="5" t="str">
        <f>AVERAGEIFS('Data Combined - all-runs'!$L:$L, 'Data Combined - all-runs'!$A:$A, A129,'Data Combined - all-runs'!$B:$B, B129,'Data Combined - all-runs'!$C:$C, C129, 'Data Combined - all-runs'!$D:$D, D129, 'Data Combined - all-runs'!$E:$E, E129)</f>
        <v>#DIV/0!</v>
      </c>
      <c r="M129" s="5" t="str">
        <f>AVERAGEIFS('Data Combined - all-runs'!$M:$M, 'Data Combined - all-runs'!$A:$A, A129,'Data Combined - all-runs'!$B:$B, B129,'Data Combined - all-runs'!$C:$C, C129, 'Data Combined - all-runs'!$D:$D, D129, 'Data Combined - all-runs'!$E:$E, E129)</f>
        <v>#DIV/0!</v>
      </c>
      <c r="N129" s="5" t="str">
        <f>AVERAGEIFS('Data Combined - all-runs'!$N:$N, 'Data Combined - all-runs'!$A:$A, A129,'Data Combined - all-runs'!$B:$B, B129,'Data Combined - all-runs'!$C:$C, C129, 'Data Combined - all-runs'!$D:$D, D129, 'Data Combined - all-runs'!$E:$E, E129)</f>
        <v>#DIV/0!</v>
      </c>
      <c r="O129" s="5" t="str">
        <f>AVERAGEIFS('Data Combined - all-runs'!$O:$O, 'Data Combined - all-runs'!$A:$A, A129,'Data Combined - all-runs'!$B:$B, B129,'Data Combined - all-runs'!$C:$C, C129, 'Data Combined - all-runs'!$D:$D, D129, 'Data Combined - all-runs'!$E:$E, E129)</f>
        <v>#DIV/0!</v>
      </c>
      <c r="P129" s="5" t="str">
        <f>AVERAGEIFS('Data Combined - all-runs'!$P:$P, 'Data Combined - all-runs'!$A:$A, A129,'Data Combined - all-runs'!$B:$B, B129,'Data Combined - all-runs'!$C:$C, C129, 'Data Combined - all-runs'!$D:$D, D129, 'Data Combined - all-runs'!$E:$E, E129)</f>
        <v>#DIV/0!</v>
      </c>
      <c r="Q129" s="5" t="str">
        <f>AVERAGEIFS('Data Combined - all-runs'!$Q:$Q, 'Data Combined - all-runs'!$A:$A, A129,'Data Combined - all-runs'!$B:$B, B129,'Data Combined - all-runs'!$C:$C, C129, 'Data Combined - all-runs'!$D:$D, D129, 'Data Combined - all-runs'!$E:$E, E129)</f>
        <v>#DIV/0!</v>
      </c>
      <c r="R129" s="5" t="str">
        <f>AVERAGEIFS('Data Combined - all-runs'!$R:$R, 'Data Combined - all-runs'!$A:$A, A129,'Data Combined - all-runs'!$B:$B, B129,'Data Combined - all-runs'!$C:$C, C129, 'Data Combined - all-runs'!$D:$D, D129, 'Data Combined - all-runs'!$E:$E, E129)</f>
        <v>#DIV/0!</v>
      </c>
      <c r="S129" s="5" t="str">
        <f>AVERAGEIFS('Data Combined - all-runs'!$S:$S, 'Data Combined - all-runs'!$A:$A, A129,'Data Combined - all-runs'!$B:$B, B129,'Data Combined - all-runs'!$C:$C, C129, 'Data Combined - all-runs'!$D:$D, D129, 'Data Combined - all-runs'!$E:$E, E129)</f>
        <v>#DIV/0!</v>
      </c>
      <c r="T129" s="5" t="str">
        <f>AVERAGEIFS('Data Combined - all-runs'!$T:$T, 'Data Combined - all-runs'!$A:$A, A129,'Data Combined - all-runs'!$B:$B, B129,'Data Combined - all-runs'!$C:$C, C129, 'Data Combined - all-runs'!$D:$D, D129, 'Data Combined - all-runs'!$E:$E, E129)</f>
        <v>#DIV/0!</v>
      </c>
      <c r="U129" s="5" t="b">
        <f t="shared" si="1"/>
        <v>0</v>
      </c>
      <c r="V129" s="5" t="b">
        <f t="shared" si="2"/>
        <v>0</v>
      </c>
      <c r="W129" s="5" t="b">
        <f t="shared" si="3"/>
        <v>0</v>
      </c>
    </row>
    <row r="130">
      <c r="A130" s="2" t="s">
        <v>32</v>
      </c>
      <c r="B130" s="2" t="s">
        <v>114</v>
      </c>
      <c r="C130" s="2" t="s">
        <v>35</v>
      </c>
      <c r="D130" s="2" t="s">
        <v>64</v>
      </c>
      <c r="E130" s="2" t="s">
        <v>43</v>
      </c>
      <c r="H130" s="5" t="str">
        <f>AVERAGEIFS('Data Combined - all-runs'!$H:$H, 'Data Combined - all-runs'!$A:$A, A130,'Data Combined - all-runs'!$B:$B, B130,'Data Combined - all-runs'!$C:$C, C130, 'Data Combined - all-runs'!$D:$D, D130, 'Data Combined - all-runs'!$E:$E, E130)</f>
        <v>#DIV/0!</v>
      </c>
      <c r="I130" s="5" t="str">
        <f>AVERAGEIFS('Data Combined - all-runs'!$I:$I, 'Data Combined - all-runs'!$A:$A, A130,'Data Combined - all-runs'!$B:$B, B130,'Data Combined - all-runs'!$C:$C, C130, 'Data Combined - all-runs'!$D:$D, D130, 'Data Combined - all-runs'!$E:$E, E130)</f>
        <v>#DIV/0!</v>
      </c>
      <c r="J130" s="5" t="str">
        <f>AVERAGEIFS('Data Combined - all-runs'!$J:$J, 'Data Combined - all-runs'!$A:$A, A130,'Data Combined - all-runs'!$B:$B, B130,'Data Combined - all-runs'!$C:$C, C130, 'Data Combined - all-runs'!$D:$D, D130, 'Data Combined - all-runs'!$E:$E, E130)</f>
        <v>#DIV/0!</v>
      </c>
      <c r="K130" s="5" t="str">
        <f>AVERAGEIFS('Data Combined - all-runs'!$K:$K, 'Data Combined - all-runs'!$A:$A, A130,'Data Combined - all-runs'!$B:$B, B130,'Data Combined - all-runs'!$C:$C, C130, 'Data Combined - all-runs'!$D:$D, D130, 'Data Combined - all-runs'!$E:$E, E130)</f>
        <v>#DIV/0!</v>
      </c>
      <c r="L130" s="5" t="str">
        <f>AVERAGEIFS('Data Combined - all-runs'!$L:$L, 'Data Combined - all-runs'!$A:$A, A130,'Data Combined - all-runs'!$B:$B, B130,'Data Combined - all-runs'!$C:$C, C130, 'Data Combined - all-runs'!$D:$D, D130, 'Data Combined - all-runs'!$E:$E, E130)</f>
        <v>#DIV/0!</v>
      </c>
      <c r="M130" s="5" t="str">
        <f>AVERAGEIFS('Data Combined - all-runs'!$M:$M, 'Data Combined - all-runs'!$A:$A, A130,'Data Combined - all-runs'!$B:$B, B130,'Data Combined - all-runs'!$C:$C, C130, 'Data Combined - all-runs'!$D:$D, D130, 'Data Combined - all-runs'!$E:$E, E130)</f>
        <v>#DIV/0!</v>
      </c>
      <c r="N130" s="5" t="str">
        <f>AVERAGEIFS('Data Combined - all-runs'!$N:$N, 'Data Combined - all-runs'!$A:$A, A130,'Data Combined - all-runs'!$B:$B, B130,'Data Combined - all-runs'!$C:$C, C130, 'Data Combined - all-runs'!$D:$D, D130, 'Data Combined - all-runs'!$E:$E, E130)</f>
        <v>#DIV/0!</v>
      </c>
      <c r="O130" s="5" t="str">
        <f>AVERAGEIFS('Data Combined - all-runs'!$O:$O, 'Data Combined - all-runs'!$A:$A, A130,'Data Combined - all-runs'!$B:$B, B130,'Data Combined - all-runs'!$C:$C, C130, 'Data Combined - all-runs'!$D:$D, D130, 'Data Combined - all-runs'!$E:$E, E130)</f>
        <v>#DIV/0!</v>
      </c>
      <c r="P130" s="5" t="str">
        <f>AVERAGEIFS('Data Combined - all-runs'!$P:$P, 'Data Combined - all-runs'!$A:$A, A130,'Data Combined - all-runs'!$B:$B, B130,'Data Combined - all-runs'!$C:$C, C130, 'Data Combined - all-runs'!$D:$D, D130, 'Data Combined - all-runs'!$E:$E, E130)</f>
        <v>#DIV/0!</v>
      </c>
      <c r="Q130" s="5" t="str">
        <f>AVERAGEIFS('Data Combined - all-runs'!$Q:$Q, 'Data Combined - all-runs'!$A:$A, A130,'Data Combined - all-runs'!$B:$B, B130,'Data Combined - all-runs'!$C:$C, C130, 'Data Combined - all-runs'!$D:$D, D130, 'Data Combined - all-runs'!$E:$E, E130)</f>
        <v>#DIV/0!</v>
      </c>
      <c r="R130" s="5" t="str">
        <f>AVERAGEIFS('Data Combined - all-runs'!$R:$R, 'Data Combined - all-runs'!$A:$A, A130,'Data Combined - all-runs'!$B:$B, B130,'Data Combined - all-runs'!$C:$C, C130, 'Data Combined - all-runs'!$D:$D, D130, 'Data Combined - all-runs'!$E:$E, E130)</f>
        <v>#DIV/0!</v>
      </c>
      <c r="S130" s="5" t="str">
        <f>AVERAGEIFS('Data Combined - all-runs'!$S:$S, 'Data Combined - all-runs'!$A:$A, A130,'Data Combined - all-runs'!$B:$B, B130,'Data Combined - all-runs'!$C:$C, C130, 'Data Combined - all-runs'!$D:$D, D130, 'Data Combined - all-runs'!$E:$E, E130)</f>
        <v>#DIV/0!</v>
      </c>
      <c r="T130" s="5" t="str">
        <f>AVERAGEIFS('Data Combined - all-runs'!$T:$T, 'Data Combined - all-runs'!$A:$A, A130,'Data Combined - all-runs'!$B:$B, B130,'Data Combined - all-runs'!$C:$C, C130, 'Data Combined - all-runs'!$D:$D, D130, 'Data Combined - all-runs'!$E:$E, E130)</f>
        <v>#DIV/0!</v>
      </c>
      <c r="U130" s="5" t="b">
        <f t="shared" si="1"/>
        <v>0</v>
      </c>
      <c r="V130" s="5" t="b">
        <f t="shared" si="2"/>
        <v>0</v>
      </c>
      <c r="W130" s="5" t="b">
        <f t="shared" si="3"/>
        <v>0</v>
      </c>
    </row>
    <row r="131">
      <c r="A131" s="2" t="s">
        <v>32</v>
      </c>
      <c r="B131" s="2" t="s">
        <v>114</v>
      </c>
      <c r="C131" s="2" t="s">
        <v>35</v>
      </c>
      <c r="D131" s="2" t="s">
        <v>64</v>
      </c>
      <c r="E131" s="2" t="s">
        <v>34</v>
      </c>
      <c r="H131" s="5" t="str">
        <f>AVERAGEIFS('Data Combined - all-runs'!$H:$H, 'Data Combined - all-runs'!$A:$A, A131,'Data Combined - all-runs'!$B:$B, B131,'Data Combined - all-runs'!$C:$C, C131, 'Data Combined - all-runs'!$D:$D, D131, 'Data Combined - all-runs'!$E:$E, E131)</f>
        <v>#DIV/0!</v>
      </c>
      <c r="I131" s="5" t="str">
        <f>AVERAGEIFS('Data Combined - all-runs'!$I:$I, 'Data Combined - all-runs'!$A:$A, A131,'Data Combined - all-runs'!$B:$B, B131,'Data Combined - all-runs'!$C:$C, C131, 'Data Combined - all-runs'!$D:$D, D131, 'Data Combined - all-runs'!$E:$E, E131)</f>
        <v>#DIV/0!</v>
      </c>
      <c r="J131" s="5" t="str">
        <f>AVERAGEIFS('Data Combined - all-runs'!$J:$J, 'Data Combined - all-runs'!$A:$A, A131,'Data Combined - all-runs'!$B:$B, B131,'Data Combined - all-runs'!$C:$C, C131, 'Data Combined - all-runs'!$D:$D, D131, 'Data Combined - all-runs'!$E:$E, E131)</f>
        <v>#DIV/0!</v>
      </c>
      <c r="K131" s="5" t="str">
        <f>AVERAGEIFS('Data Combined - all-runs'!$K:$K, 'Data Combined - all-runs'!$A:$A, A131,'Data Combined - all-runs'!$B:$B, B131,'Data Combined - all-runs'!$C:$C, C131, 'Data Combined - all-runs'!$D:$D, D131, 'Data Combined - all-runs'!$E:$E, E131)</f>
        <v>#DIV/0!</v>
      </c>
      <c r="L131" s="5" t="str">
        <f>AVERAGEIFS('Data Combined - all-runs'!$L:$L, 'Data Combined - all-runs'!$A:$A, A131,'Data Combined - all-runs'!$B:$B, B131,'Data Combined - all-runs'!$C:$C, C131, 'Data Combined - all-runs'!$D:$D, D131, 'Data Combined - all-runs'!$E:$E, E131)</f>
        <v>#DIV/0!</v>
      </c>
      <c r="M131" s="5" t="str">
        <f>AVERAGEIFS('Data Combined - all-runs'!$M:$M, 'Data Combined - all-runs'!$A:$A, A131,'Data Combined - all-runs'!$B:$B, B131,'Data Combined - all-runs'!$C:$C, C131, 'Data Combined - all-runs'!$D:$D, D131, 'Data Combined - all-runs'!$E:$E, E131)</f>
        <v>#DIV/0!</v>
      </c>
      <c r="N131" s="5" t="str">
        <f>AVERAGEIFS('Data Combined - all-runs'!$N:$N, 'Data Combined - all-runs'!$A:$A, A131,'Data Combined - all-runs'!$B:$B, B131,'Data Combined - all-runs'!$C:$C, C131, 'Data Combined - all-runs'!$D:$D, D131, 'Data Combined - all-runs'!$E:$E, E131)</f>
        <v>#DIV/0!</v>
      </c>
      <c r="O131" s="5" t="str">
        <f>AVERAGEIFS('Data Combined - all-runs'!$O:$O, 'Data Combined - all-runs'!$A:$A, A131,'Data Combined - all-runs'!$B:$B, B131,'Data Combined - all-runs'!$C:$C, C131, 'Data Combined - all-runs'!$D:$D, D131, 'Data Combined - all-runs'!$E:$E, E131)</f>
        <v>#DIV/0!</v>
      </c>
      <c r="P131" s="5" t="str">
        <f>AVERAGEIFS('Data Combined - all-runs'!$P:$P, 'Data Combined - all-runs'!$A:$A, A131,'Data Combined - all-runs'!$B:$B, B131,'Data Combined - all-runs'!$C:$C, C131, 'Data Combined - all-runs'!$D:$D, D131, 'Data Combined - all-runs'!$E:$E, E131)</f>
        <v>#DIV/0!</v>
      </c>
      <c r="Q131" s="5" t="str">
        <f>AVERAGEIFS('Data Combined - all-runs'!$Q:$Q, 'Data Combined - all-runs'!$A:$A, A131,'Data Combined - all-runs'!$B:$B, B131,'Data Combined - all-runs'!$C:$C, C131, 'Data Combined - all-runs'!$D:$D, D131, 'Data Combined - all-runs'!$E:$E, E131)</f>
        <v>#DIV/0!</v>
      </c>
      <c r="R131" s="5" t="str">
        <f>AVERAGEIFS('Data Combined - all-runs'!$R:$R, 'Data Combined - all-runs'!$A:$A, A131,'Data Combined - all-runs'!$B:$B, B131,'Data Combined - all-runs'!$C:$C, C131, 'Data Combined - all-runs'!$D:$D, D131, 'Data Combined - all-runs'!$E:$E, E131)</f>
        <v>#DIV/0!</v>
      </c>
      <c r="S131" s="5" t="str">
        <f>AVERAGEIFS('Data Combined - all-runs'!$S:$S, 'Data Combined - all-runs'!$A:$A, A131,'Data Combined - all-runs'!$B:$B, B131,'Data Combined - all-runs'!$C:$C, C131, 'Data Combined - all-runs'!$D:$D, D131, 'Data Combined - all-runs'!$E:$E, E131)</f>
        <v>#DIV/0!</v>
      </c>
      <c r="T131" s="5" t="str">
        <f>AVERAGEIFS('Data Combined - all-runs'!$T:$T, 'Data Combined - all-runs'!$A:$A, A131,'Data Combined - all-runs'!$B:$B, B131,'Data Combined - all-runs'!$C:$C, C131, 'Data Combined - all-runs'!$D:$D, D131, 'Data Combined - all-runs'!$E:$E, E131)</f>
        <v>#DIV/0!</v>
      </c>
      <c r="U131" s="5" t="b">
        <f t="shared" si="1"/>
        <v>0</v>
      </c>
      <c r="V131" s="5" t="b">
        <f t="shared" si="2"/>
        <v>0</v>
      </c>
      <c r="W131" s="5" t="b">
        <f t="shared" si="3"/>
        <v>0</v>
      </c>
    </row>
    <row r="132">
      <c r="A132" s="2" t="s">
        <v>32</v>
      </c>
      <c r="B132" s="2" t="s">
        <v>114</v>
      </c>
      <c r="C132" s="2" t="s">
        <v>35</v>
      </c>
      <c r="D132" s="2" t="s">
        <v>64</v>
      </c>
      <c r="E132" s="2" t="s">
        <v>47</v>
      </c>
      <c r="H132" s="5" t="str">
        <f>AVERAGEIFS('Data Combined - all-runs'!$H:$H, 'Data Combined - all-runs'!$A:$A, A132,'Data Combined - all-runs'!$B:$B, B132,'Data Combined - all-runs'!$C:$C, C132, 'Data Combined - all-runs'!$D:$D, D132, 'Data Combined - all-runs'!$E:$E, E132)</f>
        <v>#DIV/0!</v>
      </c>
      <c r="I132" s="5" t="str">
        <f>AVERAGEIFS('Data Combined - all-runs'!$I:$I, 'Data Combined - all-runs'!$A:$A, A132,'Data Combined - all-runs'!$B:$B, B132,'Data Combined - all-runs'!$C:$C, C132, 'Data Combined - all-runs'!$D:$D, D132, 'Data Combined - all-runs'!$E:$E, E132)</f>
        <v>#DIV/0!</v>
      </c>
      <c r="J132" s="5" t="str">
        <f>AVERAGEIFS('Data Combined - all-runs'!$J:$J, 'Data Combined - all-runs'!$A:$A, A132,'Data Combined - all-runs'!$B:$B, B132,'Data Combined - all-runs'!$C:$C, C132, 'Data Combined - all-runs'!$D:$D, D132, 'Data Combined - all-runs'!$E:$E, E132)</f>
        <v>#DIV/0!</v>
      </c>
      <c r="K132" s="5" t="str">
        <f>AVERAGEIFS('Data Combined - all-runs'!$K:$K, 'Data Combined - all-runs'!$A:$A, A132,'Data Combined - all-runs'!$B:$B, B132,'Data Combined - all-runs'!$C:$C, C132, 'Data Combined - all-runs'!$D:$D, D132, 'Data Combined - all-runs'!$E:$E, E132)</f>
        <v>#DIV/0!</v>
      </c>
      <c r="L132" s="5" t="str">
        <f>AVERAGEIFS('Data Combined - all-runs'!$L:$L, 'Data Combined - all-runs'!$A:$A, A132,'Data Combined - all-runs'!$B:$B, B132,'Data Combined - all-runs'!$C:$C, C132, 'Data Combined - all-runs'!$D:$D, D132, 'Data Combined - all-runs'!$E:$E, E132)</f>
        <v>#DIV/0!</v>
      </c>
      <c r="M132" s="5" t="str">
        <f>AVERAGEIFS('Data Combined - all-runs'!$M:$M, 'Data Combined - all-runs'!$A:$A, A132,'Data Combined - all-runs'!$B:$B, B132,'Data Combined - all-runs'!$C:$C, C132, 'Data Combined - all-runs'!$D:$D, D132, 'Data Combined - all-runs'!$E:$E, E132)</f>
        <v>#DIV/0!</v>
      </c>
      <c r="N132" s="5" t="str">
        <f>AVERAGEIFS('Data Combined - all-runs'!$N:$N, 'Data Combined - all-runs'!$A:$A, A132,'Data Combined - all-runs'!$B:$B, B132,'Data Combined - all-runs'!$C:$C, C132, 'Data Combined - all-runs'!$D:$D, D132, 'Data Combined - all-runs'!$E:$E, E132)</f>
        <v>#DIV/0!</v>
      </c>
      <c r="O132" s="5" t="str">
        <f>AVERAGEIFS('Data Combined - all-runs'!$O:$O, 'Data Combined - all-runs'!$A:$A, A132,'Data Combined - all-runs'!$B:$B, B132,'Data Combined - all-runs'!$C:$C, C132, 'Data Combined - all-runs'!$D:$D, D132, 'Data Combined - all-runs'!$E:$E, E132)</f>
        <v>#DIV/0!</v>
      </c>
      <c r="P132" s="5" t="str">
        <f>AVERAGEIFS('Data Combined - all-runs'!$P:$P, 'Data Combined - all-runs'!$A:$A, A132,'Data Combined - all-runs'!$B:$B, B132,'Data Combined - all-runs'!$C:$C, C132, 'Data Combined - all-runs'!$D:$D, D132, 'Data Combined - all-runs'!$E:$E, E132)</f>
        <v>#DIV/0!</v>
      </c>
      <c r="Q132" s="5" t="str">
        <f>AVERAGEIFS('Data Combined - all-runs'!$Q:$Q, 'Data Combined - all-runs'!$A:$A, A132,'Data Combined - all-runs'!$B:$B, B132,'Data Combined - all-runs'!$C:$C, C132, 'Data Combined - all-runs'!$D:$D, D132, 'Data Combined - all-runs'!$E:$E, E132)</f>
        <v>#DIV/0!</v>
      </c>
      <c r="R132" s="5" t="str">
        <f>AVERAGEIFS('Data Combined - all-runs'!$R:$R, 'Data Combined - all-runs'!$A:$A, A132,'Data Combined - all-runs'!$B:$B, B132,'Data Combined - all-runs'!$C:$C, C132, 'Data Combined - all-runs'!$D:$D, D132, 'Data Combined - all-runs'!$E:$E, E132)</f>
        <v>#DIV/0!</v>
      </c>
      <c r="S132" s="5" t="str">
        <f>AVERAGEIFS('Data Combined - all-runs'!$S:$S, 'Data Combined - all-runs'!$A:$A, A132,'Data Combined - all-runs'!$B:$B, B132,'Data Combined - all-runs'!$C:$C, C132, 'Data Combined - all-runs'!$D:$D, D132, 'Data Combined - all-runs'!$E:$E, E132)</f>
        <v>#DIV/0!</v>
      </c>
      <c r="T132" s="5" t="str">
        <f>AVERAGEIFS('Data Combined - all-runs'!$T:$T, 'Data Combined - all-runs'!$A:$A, A132,'Data Combined - all-runs'!$B:$B, B132,'Data Combined - all-runs'!$C:$C, C132, 'Data Combined - all-runs'!$D:$D, D132, 'Data Combined - all-runs'!$E:$E, E132)</f>
        <v>#DIV/0!</v>
      </c>
      <c r="U132" s="5" t="b">
        <f t="shared" si="1"/>
        <v>0</v>
      </c>
      <c r="V132" s="5" t="b">
        <f t="shared" si="2"/>
        <v>0</v>
      </c>
      <c r="W132" s="5" t="b">
        <f t="shared" si="3"/>
        <v>0</v>
      </c>
    </row>
    <row r="133">
      <c r="A133" s="2" t="s">
        <v>32</v>
      </c>
      <c r="B133" s="2" t="s">
        <v>114</v>
      </c>
      <c r="C133" s="2" t="s">
        <v>35</v>
      </c>
      <c r="D133" s="2" t="s">
        <v>64</v>
      </c>
      <c r="E133" s="2" t="s">
        <v>51</v>
      </c>
      <c r="H133" s="5" t="str">
        <f>AVERAGEIFS('Data Combined - all-runs'!$H:$H, 'Data Combined - all-runs'!$A:$A, A133,'Data Combined - all-runs'!$B:$B, B133,'Data Combined - all-runs'!$C:$C, C133, 'Data Combined - all-runs'!$D:$D, D133, 'Data Combined - all-runs'!$E:$E, E133)</f>
        <v>#DIV/0!</v>
      </c>
      <c r="I133" s="5" t="str">
        <f>AVERAGEIFS('Data Combined - all-runs'!$I:$I, 'Data Combined - all-runs'!$A:$A, A133,'Data Combined - all-runs'!$B:$B, B133,'Data Combined - all-runs'!$C:$C, C133, 'Data Combined - all-runs'!$D:$D, D133, 'Data Combined - all-runs'!$E:$E, E133)</f>
        <v>#DIV/0!</v>
      </c>
      <c r="J133" s="5" t="str">
        <f>AVERAGEIFS('Data Combined - all-runs'!$J:$J, 'Data Combined - all-runs'!$A:$A, A133,'Data Combined - all-runs'!$B:$B, B133,'Data Combined - all-runs'!$C:$C, C133, 'Data Combined - all-runs'!$D:$D, D133, 'Data Combined - all-runs'!$E:$E, E133)</f>
        <v>#DIV/0!</v>
      </c>
      <c r="K133" s="5" t="str">
        <f>AVERAGEIFS('Data Combined - all-runs'!$K:$K, 'Data Combined - all-runs'!$A:$A, A133,'Data Combined - all-runs'!$B:$B, B133,'Data Combined - all-runs'!$C:$C, C133, 'Data Combined - all-runs'!$D:$D, D133, 'Data Combined - all-runs'!$E:$E, E133)</f>
        <v>#DIV/0!</v>
      </c>
      <c r="L133" s="5" t="str">
        <f>AVERAGEIFS('Data Combined - all-runs'!$L:$L, 'Data Combined - all-runs'!$A:$A, A133,'Data Combined - all-runs'!$B:$B, B133,'Data Combined - all-runs'!$C:$C, C133, 'Data Combined - all-runs'!$D:$D, D133, 'Data Combined - all-runs'!$E:$E, E133)</f>
        <v>#DIV/0!</v>
      </c>
      <c r="M133" s="5" t="str">
        <f>AVERAGEIFS('Data Combined - all-runs'!$M:$M, 'Data Combined - all-runs'!$A:$A, A133,'Data Combined - all-runs'!$B:$B, B133,'Data Combined - all-runs'!$C:$C, C133, 'Data Combined - all-runs'!$D:$D, D133, 'Data Combined - all-runs'!$E:$E, E133)</f>
        <v>#DIV/0!</v>
      </c>
      <c r="N133" s="5" t="str">
        <f>AVERAGEIFS('Data Combined - all-runs'!$N:$N, 'Data Combined - all-runs'!$A:$A, A133,'Data Combined - all-runs'!$B:$B, B133,'Data Combined - all-runs'!$C:$C, C133, 'Data Combined - all-runs'!$D:$D, D133, 'Data Combined - all-runs'!$E:$E, E133)</f>
        <v>#DIV/0!</v>
      </c>
      <c r="O133" s="5" t="str">
        <f>AVERAGEIFS('Data Combined - all-runs'!$O:$O, 'Data Combined - all-runs'!$A:$A, A133,'Data Combined - all-runs'!$B:$B, B133,'Data Combined - all-runs'!$C:$C, C133, 'Data Combined - all-runs'!$D:$D, D133, 'Data Combined - all-runs'!$E:$E, E133)</f>
        <v>#DIV/0!</v>
      </c>
      <c r="P133" s="5" t="str">
        <f>AVERAGEIFS('Data Combined - all-runs'!$P:$P, 'Data Combined - all-runs'!$A:$A, A133,'Data Combined - all-runs'!$B:$B, B133,'Data Combined - all-runs'!$C:$C, C133, 'Data Combined - all-runs'!$D:$D, D133, 'Data Combined - all-runs'!$E:$E, E133)</f>
        <v>#DIV/0!</v>
      </c>
      <c r="Q133" s="5" t="str">
        <f>AVERAGEIFS('Data Combined - all-runs'!$Q:$Q, 'Data Combined - all-runs'!$A:$A, A133,'Data Combined - all-runs'!$B:$B, B133,'Data Combined - all-runs'!$C:$C, C133, 'Data Combined - all-runs'!$D:$D, D133, 'Data Combined - all-runs'!$E:$E, E133)</f>
        <v>#DIV/0!</v>
      </c>
      <c r="R133" s="5" t="str">
        <f>AVERAGEIFS('Data Combined - all-runs'!$R:$R, 'Data Combined - all-runs'!$A:$A, A133,'Data Combined - all-runs'!$B:$B, B133,'Data Combined - all-runs'!$C:$C, C133, 'Data Combined - all-runs'!$D:$D, D133, 'Data Combined - all-runs'!$E:$E, E133)</f>
        <v>#DIV/0!</v>
      </c>
      <c r="S133" s="5" t="str">
        <f>AVERAGEIFS('Data Combined - all-runs'!$S:$S, 'Data Combined - all-runs'!$A:$A, A133,'Data Combined - all-runs'!$B:$B, B133,'Data Combined - all-runs'!$C:$C, C133, 'Data Combined - all-runs'!$D:$D, D133, 'Data Combined - all-runs'!$E:$E, E133)</f>
        <v>#DIV/0!</v>
      </c>
      <c r="T133" s="5" t="str">
        <f>AVERAGEIFS('Data Combined - all-runs'!$T:$T, 'Data Combined - all-runs'!$A:$A, A133,'Data Combined - all-runs'!$B:$B, B133,'Data Combined - all-runs'!$C:$C, C133, 'Data Combined - all-runs'!$D:$D, D133, 'Data Combined - all-runs'!$E:$E, E133)</f>
        <v>#DIV/0!</v>
      </c>
      <c r="U133" s="5" t="b">
        <f t="shared" si="1"/>
        <v>0</v>
      </c>
      <c r="V133" s="5" t="b">
        <f t="shared" si="2"/>
        <v>0</v>
      </c>
      <c r="W133" s="5" t="b">
        <f t="shared" si="3"/>
        <v>0</v>
      </c>
    </row>
    <row r="134">
      <c r="A134" s="2" t="s">
        <v>32</v>
      </c>
      <c r="B134" s="2" t="s">
        <v>114</v>
      </c>
      <c r="C134" s="2" t="s">
        <v>35</v>
      </c>
      <c r="D134" s="2" t="s">
        <v>102</v>
      </c>
      <c r="E134" s="2" t="s">
        <v>25</v>
      </c>
      <c r="H134" s="5" t="str">
        <f>AVERAGEIFS('Data Combined - all-runs'!$H:$H, 'Data Combined - all-runs'!$A:$A, A134,'Data Combined - all-runs'!$B:$B, B134,'Data Combined - all-runs'!$C:$C, C134, 'Data Combined - all-runs'!$D:$D, D134, 'Data Combined - all-runs'!$E:$E, E134)</f>
        <v>#DIV/0!</v>
      </c>
      <c r="I134" s="5" t="str">
        <f>AVERAGEIFS('Data Combined - all-runs'!$I:$I, 'Data Combined - all-runs'!$A:$A, A134,'Data Combined - all-runs'!$B:$B, B134,'Data Combined - all-runs'!$C:$C, C134, 'Data Combined - all-runs'!$D:$D, D134, 'Data Combined - all-runs'!$E:$E, E134)</f>
        <v>#DIV/0!</v>
      </c>
      <c r="J134" s="5" t="str">
        <f>AVERAGEIFS('Data Combined - all-runs'!$J:$J, 'Data Combined - all-runs'!$A:$A, A134,'Data Combined - all-runs'!$B:$B, B134,'Data Combined - all-runs'!$C:$C, C134, 'Data Combined - all-runs'!$D:$D, D134, 'Data Combined - all-runs'!$E:$E, E134)</f>
        <v>#DIV/0!</v>
      </c>
      <c r="K134" s="5" t="str">
        <f>AVERAGEIFS('Data Combined - all-runs'!$K:$K, 'Data Combined - all-runs'!$A:$A, A134,'Data Combined - all-runs'!$B:$B, B134,'Data Combined - all-runs'!$C:$C, C134, 'Data Combined - all-runs'!$D:$D, D134, 'Data Combined - all-runs'!$E:$E, E134)</f>
        <v>#DIV/0!</v>
      </c>
      <c r="L134" s="5" t="str">
        <f>AVERAGEIFS('Data Combined - all-runs'!$L:$L, 'Data Combined - all-runs'!$A:$A, A134,'Data Combined - all-runs'!$B:$B, B134,'Data Combined - all-runs'!$C:$C, C134, 'Data Combined - all-runs'!$D:$D, D134, 'Data Combined - all-runs'!$E:$E, E134)</f>
        <v>#DIV/0!</v>
      </c>
      <c r="M134" s="5" t="str">
        <f>AVERAGEIFS('Data Combined - all-runs'!$M:$M, 'Data Combined - all-runs'!$A:$A, A134,'Data Combined - all-runs'!$B:$B, B134,'Data Combined - all-runs'!$C:$C, C134, 'Data Combined - all-runs'!$D:$D, D134, 'Data Combined - all-runs'!$E:$E, E134)</f>
        <v>#DIV/0!</v>
      </c>
      <c r="N134" s="5" t="str">
        <f>AVERAGEIFS('Data Combined - all-runs'!$N:$N, 'Data Combined - all-runs'!$A:$A, A134,'Data Combined - all-runs'!$B:$B, B134,'Data Combined - all-runs'!$C:$C, C134, 'Data Combined - all-runs'!$D:$D, D134, 'Data Combined - all-runs'!$E:$E, E134)</f>
        <v>#DIV/0!</v>
      </c>
      <c r="O134" s="5" t="str">
        <f>AVERAGEIFS('Data Combined - all-runs'!$O:$O, 'Data Combined - all-runs'!$A:$A, A134,'Data Combined - all-runs'!$B:$B, B134,'Data Combined - all-runs'!$C:$C, C134, 'Data Combined - all-runs'!$D:$D, D134, 'Data Combined - all-runs'!$E:$E, E134)</f>
        <v>#DIV/0!</v>
      </c>
      <c r="P134" s="5" t="str">
        <f>AVERAGEIFS('Data Combined - all-runs'!$P:$P, 'Data Combined - all-runs'!$A:$A, A134,'Data Combined - all-runs'!$B:$B, B134,'Data Combined - all-runs'!$C:$C, C134, 'Data Combined - all-runs'!$D:$D, D134, 'Data Combined - all-runs'!$E:$E, E134)</f>
        <v>#DIV/0!</v>
      </c>
      <c r="Q134" s="5" t="str">
        <f>AVERAGEIFS('Data Combined - all-runs'!$Q:$Q, 'Data Combined - all-runs'!$A:$A, A134,'Data Combined - all-runs'!$B:$B, B134,'Data Combined - all-runs'!$C:$C, C134, 'Data Combined - all-runs'!$D:$D, D134, 'Data Combined - all-runs'!$E:$E, E134)</f>
        <v>#DIV/0!</v>
      </c>
      <c r="R134" s="5" t="str">
        <f>AVERAGEIFS('Data Combined - all-runs'!$R:$R, 'Data Combined - all-runs'!$A:$A, A134,'Data Combined - all-runs'!$B:$B, B134,'Data Combined - all-runs'!$C:$C, C134, 'Data Combined - all-runs'!$D:$D, D134, 'Data Combined - all-runs'!$E:$E, E134)</f>
        <v>#DIV/0!</v>
      </c>
      <c r="S134" s="5" t="str">
        <f>AVERAGEIFS('Data Combined - all-runs'!$S:$S, 'Data Combined - all-runs'!$A:$A, A134,'Data Combined - all-runs'!$B:$B, B134,'Data Combined - all-runs'!$C:$C, C134, 'Data Combined - all-runs'!$D:$D, D134, 'Data Combined - all-runs'!$E:$E, E134)</f>
        <v>#DIV/0!</v>
      </c>
      <c r="T134" s="5" t="str">
        <f>AVERAGEIFS('Data Combined - all-runs'!$T:$T, 'Data Combined - all-runs'!$A:$A, A134,'Data Combined - all-runs'!$B:$B, B134,'Data Combined - all-runs'!$C:$C, C134, 'Data Combined - all-runs'!$D:$D, D134, 'Data Combined - all-runs'!$E:$E, E134)</f>
        <v>#DIV/0!</v>
      </c>
      <c r="U134" s="5" t="b">
        <f t="shared" si="1"/>
        <v>0</v>
      </c>
      <c r="V134" s="5" t="b">
        <f t="shared" si="2"/>
        <v>0</v>
      </c>
      <c r="W134" s="5" t="b">
        <f t="shared" si="3"/>
        <v>0</v>
      </c>
    </row>
    <row r="135">
      <c r="A135" s="2" t="s">
        <v>32</v>
      </c>
      <c r="B135" s="2" t="s">
        <v>114</v>
      </c>
      <c r="C135" s="2" t="s">
        <v>35</v>
      </c>
      <c r="D135" s="2" t="s">
        <v>102</v>
      </c>
      <c r="E135" s="2" t="s">
        <v>39</v>
      </c>
      <c r="H135" s="5" t="str">
        <f>AVERAGEIFS('Data Combined - all-runs'!$H:$H, 'Data Combined - all-runs'!$A:$A, A135,'Data Combined - all-runs'!$B:$B, B135,'Data Combined - all-runs'!$C:$C, C135, 'Data Combined - all-runs'!$D:$D, D135, 'Data Combined - all-runs'!$E:$E, E135)</f>
        <v>#DIV/0!</v>
      </c>
      <c r="I135" s="5" t="str">
        <f>AVERAGEIFS('Data Combined - all-runs'!$I:$I, 'Data Combined - all-runs'!$A:$A, A135,'Data Combined - all-runs'!$B:$B, B135,'Data Combined - all-runs'!$C:$C, C135, 'Data Combined - all-runs'!$D:$D, D135, 'Data Combined - all-runs'!$E:$E, E135)</f>
        <v>#DIV/0!</v>
      </c>
      <c r="J135" s="5" t="str">
        <f>AVERAGEIFS('Data Combined - all-runs'!$J:$J, 'Data Combined - all-runs'!$A:$A, A135,'Data Combined - all-runs'!$B:$B, B135,'Data Combined - all-runs'!$C:$C, C135, 'Data Combined - all-runs'!$D:$D, D135, 'Data Combined - all-runs'!$E:$E, E135)</f>
        <v>#DIV/0!</v>
      </c>
      <c r="K135" s="5" t="str">
        <f>AVERAGEIFS('Data Combined - all-runs'!$K:$K, 'Data Combined - all-runs'!$A:$A, A135,'Data Combined - all-runs'!$B:$B, B135,'Data Combined - all-runs'!$C:$C, C135, 'Data Combined - all-runs'!$D:$D, D135, 'Data Combined - all-runs'!$E:$E, E135)</f>
        <v>#DIV/0!</v>
      </c>
      <c r="L135" s="5" t="str">
        <f>AVERAGEIFS('Data Combined - all-runs'!$L:$L, 'Data Combined - all-runs'!$A:$A, A135,'Data Combined - all-runs'!$B:$B, B135,'Data Combined - all-runs'!$C:$C, C135, 'Data Combined - all-runs'!$D:$D, D135, 'Data Combined - all-runs'!$E:$E, E135)</f>
        <v>#DIV/0!</v>
      </c>
      <c r="M135" s="5" t="str">
        <f>AVERAGEIFS('Data Combined - all-runs'!$M:$M, 'Data Combined - all-runs'!$A:$A, A135,'Data Combined - all-runs'!$B:$B, B135,'Data Combined - all-runs'!$C:$C, C135, 'Data Combined - all-runs'!$D:$D, D135, 'Data Combined - all-runs'!$E:$E, E135)</f>
        <v>#DIV/0!</v>
      </c>
      <c r="N135" s="5" t="str">
        <f>AVERAGEIFS('Data Combined - all-runs'!$N:$N, 'Data Combined - all-runs'!$A:$A, A135,'Data Combined - all-runs'!$B:$B, B135,'Data Combined - all-runs'!$C:$C, C135, 'Data Combined - all-runs'!$D:$D, D135, 'Data Combined - all-runs'!$E:$E, E135)</f>
        <v>#DIV/0!</v>
      </c>
      <c r="O135" s="5" t="str">
        <f>AVERAGEIFS('Data Combined - all-runs'!$O:$O, 'Data Combined - all-runs'!$A:$A, A135,'Data Combined - all-runs'!$B:$B, B135,'Data Combined - all-runs'!$C:$C, C135, 'Data Combined - all-runs'!$D:$D, D135, 'Data Combined - all-runs'!$E:$E, E135)</f>
        <v>#DIV/0!</v>
      </c>
      <c r="P135" s="5" t="str">
        <f>AVERAGEIFS('Data Combined - all-runs'!$P:$P, 'Data Combined - all-runs'!$A:$A, A135,'Data Combined - all-runs'!$B:$B, B135,'Data Combined - all-runs'!$C:$C, C135, 'Data Combined - all-runs'!$D:$D, D135, 'Data Combined - all-runs'!$E:$E, E135)</f>
        <v>#DIV/0!</v>
      </c>
      <c r="Q135" s="5" t="str">
        <f>AVERAGEIFS('Data Combined - all-runs'!$Q:$Q, 'Data Combined - all-runs'!$A:$A, A135,'Data Combined - all-runs'!$B:$B, B135,'Data Combined - all-runs'!$C:$C, C135, 'Data Combined - all-runs'!$D:$D, D135, 'Data Combined - all-runs'!$E:$E, E135)</f>
        <v>#DIV/0!</v>
      </c>
      <c r="R135" s="5" t="str">
        <f>AVERAGEIFS('Data Combined - all-runs'!$R:$R, 'Data Combined - all-runs'!$A:$A, A135,'Data Combined - all-runs'!$B:$B, B135,'Data Combined - all-runs'!$C:$C, C135, 'Data Combined - all-runs'!$D:$D, D135, 'Data Combined - all-runs'!$E:$E, E135)</f>
        <v>#DIV/0!</v>
      </c>
      <c r="S135" s="5" t="str">
        <f>AVERAGEIFS('Data Combined - all-runs'!$S:$S, 'Data Combined - all-runs'!$A:$A, A135,'Data Combined - all-runs'!$B:$B, B135,'Data Combined - all-runs'!$C:$C, C135, 'Data Combined - all-runs'!$D:$D, D135, 'Data Combined - all-runs'!$E:$E, E135)</f>
        <v>#DIV/0!</v>
      </c>
      <c r="T135" s="5" t="str">
        <f>AVERAGEIFS('Data Combined - all-runs'!$T:$T, 'Data Combined - all-runs'!$A:$A, A135,'Data Combined - all-runs'!$B:$B, B135,'Data Combined - all-runs'!$C:$C, C135, 'Data Combined - all-runs'!$D:$D, D135, 'Data Combined - all-runs'!$E:$E, E135)</f>
        <v>#DIV/0!</v>
      </c>
      <c r="U135" s="5" t="b">
        <f t="shared" si="1"/>
        <v>0</v>
      </c>
      <c r="V135" s="5" t="b">
        <f t="shared" si="2"/>
        <v>0</v>
      </c>
      <c r="W135" s="5" t="b">
        <f t="shared" si="3"/>
        <v>0</v>
      </c>
    </row>
    <row r="136">
      <c r="A136" s="2" t="s">
        <v>32</v>
      </c>
      <c r="B136" s="2" t="s">
        <v>114</v>
      </c>
      <c r="C136" s="2" t="s">
        <v>35</v>
      </c>
      <c r="D136" s="2" t="s">
        <v>102</v>
      </c>
      <c r="E136" s="2" t="s">
        <v>43</v>
      </c>
      <c r="H136" s="5" t="str">
        <f>AVERAGEIFS('Data Combined - all-runs'!$H:$H, 'Data Combined - all-runs'!$A:$A, A136,'Data Combined - all-runs'!$B:$B, B136,'Data Combined - all-runs'!$C:$C, C136, 'Data Combined - all-runs'!$D:$D, D136, 'Data Combined - all-runs'!$E:$E, E136)</f>
        <v>#DIV/0!</v>
      </c>
      <c r="I136" s="5" t="str">
        <f>AVERAGEIFS('Data Combined - all-runs'!$I:$I, 'Data Combined - all-runs'!$A:$A, A136,'Data Combined - all-runs'!$B:$B, B136,'Data Combined - all-runs'!$C:$C, C136, 'Data Combined - all-runs'!$D:$D, D136, 'Data Combined - all-runs'!$E:$E, E136)</f>
        <v>#DIV/0!</v>
      </c>
      <c r="J136" s="5" t="str">
        <f>AVERAGEIFS('Data Combined - all-runs'!$J:$J, 'Data Combined - all-runs'!$A:$A, A136,'Data Combined - all-runs'!$B:$B, B136,'Data Combined - all-runs'!$C:$C, C136, 'Data Combined - all-runs'!$D:$D, D136, 'Data Combined - all-runs'!$E:$E, E136)</f>
        <v>#DIV/0!</v>
      </c>
      <c r="K136" s="5" t="str">
        <f>AVERAGEIFS('Data Combined - all-runs'!$K:$K, 'Data Combined - all-runs'!$A:$A, A136,'Data Combined - all-runs'!$B:$B, B136,'Data Combined - all-runs'!$C:$C, C136, 'Data Combined - all-runs'!$D:$D, D136, 'Data Combined - all-runs'!$E:$E, E136)</f>
        <v>#DIV/0!</v>
      </c>
      <c r="L136" s="5" t="str">
        <f>AVERAGEIFS('Data Combined - all-runs'!$L:$L, 'Data Combined - all-runs'!$A:$A, A136,'Data Combined - all-runs'!$B:$B, B136,'Data Combined - all-runs'!$C:$C, C136, 'Data Combined - all-runs'!$D:$D, D136, 'Data Combined - all-runs'!$E:$E, E136)</f>
        <v>#DIV/0!</v>
      </c>
      <c r="M136" s="5" t="str">
        <f>AVERAGEIFS('Data Combined - all-runs'!$M:$M, 'Data Combined - all-runs'!$A:$A, A136,'Data Combined - all-runs'!$B:$B, B136,'Data Combined - all-runs'!$C:$C, C136, 'Data Combined - all-runs'!$D:$D, D136, 'Data Combined - all-runs'!$E:$E, E136)</f>
        <v>#DIV/0!</v>
      </c>
      <c r="N136" s="5" t="str">
        <f>AVERAGEIFS('Data Combined - all-runs'!$N:$N, 'Data Combined - all-runs'!$A:$A, A136,'Data Combined - all-runs'!$B:$B, B136,'Data Combined - all-runs'!$C:$C, C136, 'Data Combined - all-runs'!$D:$D, D136, 'Data Combined - all-runs'!$E:$E, E136)</f>
        <v>#DIV/0!</v>
      </c>
      <c r="O136" s="5" t="str">
        <f>AVERAGEIFS('Data Combined - all-runs'!$O:$O, 'Data Combined - all-runs'!$A:$A, A136,'Data Combined - all-runs'!$B:$B, B136,'Data Combined - all-runs'!$C:$C, C136, 'Data Combined - all-runs'!$D:$D, D136, 'Data Combined - all-runs'!$E:$E, E136)</f>
        <v>#DIV/0!</v>
      </c>
      <c r="P136" s="5" t="str">
        <f>AVERAGEIFS('Data Combined - all-runs'!$P:$P, 'Data Combined - all-runs'!$A:$A, A136,'Data Combined - all-runs'!$B:$B, B136,'Data Combined - all-runs'!$C:$C, C136, 'Data Combined - all-runs'!$D:$D, D136, 'Data Combined - all-runs'!$E:$E, E136)</f>
        <v>#DIV/0!</v>
      </c>
      <c r="Q136" s="5" t="str">
        <f>AVERAGEIFS('Data Combined - all-runs'!$Q:$Q, 'Data Combined - all-runs'!$A:$A, A136,'Data Combined - all-runs'!$B:$B, B136,'Data Combined - all-runs'!$C:$C, C136, 'Data Combined - all-runs'!$D:$D, D136, 'Data Combined - all-runs'!$E:$E, E136)</f>
        <v>#DIV/0!</v>
      </c>
      <c r="R136" s="5" t="str">
        <f>AVERAGEIFS('Data Combined - all-runs'!$R:$R, 'Data Combined - all-runs'!$A:$A, A136,'Data Combined - all-runs'!$B:$B, B136,'Data Combined - all-runs'!$C:$C, C136, 'Data Combined - all-runs'!$D:$D, D136, 'Data Combined - all-runs'!$E:$E, E136)</f>
        <v>#DIV/0!</v>
      </c>
      <c r="S136" s="5" t="str">
        <f>AVERAGEIFS('Data Combined - all-runs'!$S:$S, 'Data Combined - all-runs'!$A:$A, A136,'Data Combined - all-runs'!$B:$B, B136,'Data Combined - all-runs'!$C:$C, C136, 'Data Combined - all-runs'!$D:$D, D136, 'Data Combined - all-runs'!$E:$E, E136)</f>
        <v>#DIV/0!</v>
      </c>
      <c r="T136" s="5" t="str">
        <f>AVERAGEIFS('Data Combined - all-runs'!$T:$T, 'Data Combined - all-runs'!$A:$A, A136,'Data Combined - all-runs'!$B:$B, B136,'Data Combined - all-runs'!$C:$C, C136, 'Data Combined - all-runs'!$D:$D, D136, 'Data Combined - all-runs'!$E:$E, E136)</f>
        <v>#DIV/0!</v>
      </c>
      <c r="U136" s="5" t="b">
        <f t="shared" si="1"/>
        <v>0</v>
      </c>
      <c r="V136" s="5" t="b">
        <f t="shared" si="2"/>
        <v>0</v>
      </c>
      <c r="W136" s="5" t="b">
        <f t="shared" si="3"/>
        <v>0</v>
      </c>
    </row>
    <row r="137">
      <c r="A137" s="2" t="s">
        <v>32</v>
      </c>
      <c r="B137" s="2" t="s">
        <v>114</v>
      </c>
      <c r="C137" s="2" t="s">
        <v>35</v>
      </c>
      <c r="D137" s="2" t="s">
        <v>102</v>
      </c>
      <c r="E137" s="2" t="s">
        <v>34</v>
      </c>
      <c r="H137" s="5" t="str">
        <f>AVERAGEIFS('Data Combined - all-runs'!$H:$H, 'Data Combined - all-runs'!$A:$A, A137,'Data Combined - all-runs'!$B:$B, B137,'Data Combined - all-runs'!$C:$C, C137, 'Data Combined - all-runs'!$D:$D, D137, 'Data Combined - all-runs'!$E:$E, E137)</f>
        <v>#DIV/0!</v>
      </c>
      <c r="I137" s="5" t="str">
        <f>AVERAGEIFS('Data Combined - all-runs'!$I:$I, 'Data Combined - all-runs'!$A:$A, A137,'Data Combined - all-runs'!$B:$B, B137,'Data Combined - all-runs'!$C:$C, C137, 'Data Combined - all-runs'!$D:$D, D137, 'Data Combined - all-runs'!$E:$E, E137)</f>
        <v>#DIV/0!</v>
      </c>
      <c r="J137" s="5" t="str">
        <f>AVERAGEIFS('Data Combined - all-runs'!$J:$J, 'Data Combined - all-runs'!$A:$A, A137,'Data Combined - all-runs'!$B:$B, B137,'Data Combined - all-runs'!$C:$C, C137, 'Data Combined - all-runs'!$D:$D, D137, 'Data Combined - all-runs'!$E:$E, E137)</f>
        <v>#DIV/0!</v>
      </c>
      <c r="K137" s="5" t="str">
        <f>AVERAGEIFS('Data Combined - all-runs'!$K:$K, 'Data Combined - all-runs'!$A:$A, A137,'Data Combined - all-runs'!$B:$B, B137,'Data Combined - all-runs'!$C:$C, C137, 'Data Combined - all-runs'!$D:$D, D137, 'Data Combined - all-runs'!$E:$E, E137)</f>
        <v>#DIV/0!</v>
      </c>
      <c r="L137" s="5" t="str">
        <f>AVERAGEIFS('Data Combined - all-runs'!$L:$L, 'Data Combined - all-runs'!$A:$A, A137,'Data Combined - all-runs'!$B:$B, B137,'Data Combined - all-runs'!$C:$C, C137, 'Data Combined - all-runs'!$D:$D, D137, 'Data Combined - all-runs'!$E:$E, E137)</f>
        <v>#DIV/0!</v>
      </c>
      <c r="M137" s="5" t="str">
        <f>AVERAGEIFS('Data Combined - all-runs'!$M:$M, 'Data Combined - all-runs'!$A:$A, A137,'Data Combined - all-runs'!$B:$B, B137,'Data Combined - all-runs'!$C:$C, C137, 'Data Combined - all-runs'!$D:$D, D137, 'Data Combined - all-runs'!$E:$E, E137)</f>
        <v>#DIV/0!</v>
      </c>
      <c r="N137" s="5" t="str">
        <f>AVERAGEIFS('Data Combined - all-runs'!$N:$N, 'Data Combined - all-runs'!$A:$A, A137,'Data Combined - all-runs'!$B:$B, B137,'Data Combined - all-runs'!$C:$C, C137, 'Data Combined - all-runs'!$D:$D, D137, 'Data Combined - all-runs'!$E:$E, E137)</f>
        <v>#DIV/0!</v>
      </c>
      <c r="O137" s="5" t="str">
        <f>AVERAGEIFS('Data Combined - all-runs'!$O:$O, 'Data Combined - all-runs'!$A:$A, A137,'Data Combined - all-runs'!$B:$B, B137,'Data Combined - all-runs'!$C:$C, C137, 'Data Combined - all-runs'!$D:$D, D137, 'Data Combined - all-runs'!$E:$E, E137)</f>
        <v>#DIV/0!</v>
      </c>
      <c r="P137" s="5" t="str">
        <f>AVERAGEIFS('Data Combined - all-runs'!$P:$P, 'Data Combined - all-runs'!$A:$A, A137,'Data Combined - all-runs'!$B:$B, B137,'Data Combined - all-runs'!$C:$C, C137, 'Data Combined - all-runs'!$D:$D, D137, 'Data Combined - all-runs'!$E:$E, E137)</f>
        <v>#DIV/0!</v>
      </c>
      <c r="Q137" s="5" t="str">
        <f>AVERAGEIFS('Data Combined - all-runs'!$Q:$Q, 'Data Combined - all-runs'!$A:$A, A137,'Data Combined - all-runs'!$B:$B, B137,'Data Combined - all-runs'!$C:$C, C137, 'Data Combined - all-runs'!$D:$D, D137, 'Data Combined - all-runs'!$E:$E, E137)</f>
        <v>#DIV/0!</v>
      </c>
      <c r="R137" s="5" t="str">
        <f>AVERAGEIFS('Data Combined - all-runs'!$R:$R, 'Data Combined - all-runs'!$A:$A, A137,'Data Combined - all-runs'!$B:$B, B137,'Data Combined - all-runs'!$C:$C, C137, 'Data Combined - all-runs'!$D:$D, D137, 'Data Combined - all-runs'!$E:$E, E137)</f>
        <v>#DIV/0!</v>
      </c>
      <c r="S137" s="5" t="str">
        <f>AVERAGEIFS('Data Combined - all-runs'!$S:$S, 'Data Combined - all-runs'!$A:$A, A137,'Data Combined - all-runs'!$B:$B, B137,'Data Combined - all-runs'!$C:$C, C137, 'Data Combined - all-runs'!$D:$D, D137, 'Data Combined - all-runs'!$E:$E, E137)</f>
        <v>#DIV/0!</v>
      </c>
      <c r="T137" s="5" t="str">
        <f>AVERAGEIFS('Data Combined - all-runs'!$T:$T, 'Data Combined - all-runs'!$A:$A, A137,'Data Combined - all-runs'!$B:$B, B137,'Data Combined - all-runs'!$C:$C, C137, 'Data Combined - all-runs'!$D:$D, D137, 'Data Combined - all-runs'!$E:$E, E137)</f>
        <v>#DIV/0!</v>
      </c>
      <c r="U137" s="5" t="b">
        <f t="shared" si="1"/>
        <v>0</v>
      </c>
      <c r="V137" s="5" t="b">
        <f t="shared" si="2"/>
        <v>0</v>
      </c>
      <c r="W137" s="5" t="b">
        <f t="shared" si="3"/>
        <v>0</v>
      </c>
    </row>
    <row r="138">
      <c r="A138" s="2" t="s">
        <v>32</v>
      </c>
      <c r="B138" s="2" t="s">
        <v>114</v>
      </c>
      <c r="C138" s="2" t="s">
        <v>35</v>
      </c>
      <c r="D138" s="2" t="s">
        <v>102</v>
      </c>
      <c r="E138" s="2" t="s">
        <v>47</v>
      </c>
      <c r="H138" s="5" t="str">
        <f>AVERAGEIFS('Data Combined - all-runs'!$H:$H, 'Data Combined - all-runs'!$A:$A, A138,'Data Combined - all-runs'!$B:$B, B138,'Data Combined - all-runs'!$C:$C, C138, 'Data Combined - all-runs'!$D:$D, D138, 'Data Combined - all-runs'!$E:$E, E138)</f>
        <v>#DIV/0!</v>
      </c>
      <c r="I138" s="5" t="str">
        <f>AVERAGEIFS('Data Combined - all-runs'!$I:$I, 'Data Combined - all-runs'!$A:$A, A138,'Data Combined - all-runs'!$B:$B, B138,'Data Combined - all-runs'!$C:$C, C138, 'Data Combined - all-runs'!$D:$D, D138, 'Data Combined - all-runs'!$E:$E, E138)</f>
        <v>#DIV/0!</v>
      </c>
      <c r="J138" s="5" t="str">
        <f>AVERAGEIFS('Data Combined - all-runs'!$J:$J, 'Data Combined - all-runs'!$A:$A, A138,'Data Combined - all-runs'!$B:$B, B138,'Data Combined - all-runs'!$C:$C, C138, 'Data Combined - all-runs'!$D:$D, D138, 'Data Combined - all-runs'!$E:$E, E138)</f>
        <v>#DIV/0!</v>
      </c>
      <c r="K138" s="5" t="str">
        <f>AVERAGEIFS('Data Combined - all-runs'!$K:$K, 'Data Combined - all-runs'!$A:$A, A138,'Data Combined - all-runs'!$B:$B, B138,'Data Combined - all-runs'!$C:$C, C138, 'Data Combined - all-runs'!$D:$D, D138, 'Data Combined - all-runs'!$E:$E, E138)</f>
        <v>#DIV/0!</v>
      </c>
      <c r="L138" s="5" t="str">
        <f>AVERAGEIFS('Data Combined - all-runs'!$L:$L, 'Data Combined - all-runs'!$A:$A, A138,'Data Combined - all-runs'!$B:$B, B138,'Data Combined - all-runs'!$C:$C, C138, 'Data Combined - all-runs'!$D:$D, D138, 'Data Combined - all-runs'!$E:$E, E138)</f>
        <v>#DIV/0!</v>
      </c>
      <c r="M138" s="5" t="str">
        <f>AVERAGEIFS('Data Combined - all-runs'!$M:$M, 'Data Combined - all-runs'!$A:$A, A138,'Data Combined - all-runs'!$B:$B, B138,'Data Combined - all-runs'!$C:$C, C138, 'Data Combined - all-runs'!$D:$D, D138, 'Data Combined - all-runs'!$E:$E, E138)</f>
        <v>#DIV/0!</v>
      </c>
      <c r="N138" s="5" t="str">
        <f>AVERAGEIFS('Data Combined - all-runs'!$N:$N, 'Data Combined - all-runs'!$A:$A, A138,'Data Combined - all-runs'!$B:$B, B138,'Data Combined - all-runs'!$C:$C, C138, 'Data Combined - all-runs'!$D:$D, D138, 'Data Combined - all-runs'!$E:$E, E138)</f>
        <v>#DIV/0!</v>
      </c>
      <c r="O138" s="5" t="str">
        <f>AVERAGEIFS('Data Combined - all-runs'!$O:$O, 'Data Combined - all-runs'!$A:$A, A138,'Data Combined - all-runs'!$B:$B, B138,'Data Combined - all-runs'!$C:$C, C138, 'Data Combined - all-runs'!$D:$D, D138, 'Data Combined - all-runs'!$E:$E, E138)</f>
        <v>#DIV/0!</v>
      </c>
      <c r="P138" s="5" t="str">
        <f>AVERAGEIFS('Data Combined - all-runs'!$P:$P, 'Data Combined - all-runs'!$A:$A, A138,'Data Combined - all-runs'!$B:$B, B138,'Data Combined - all-runs'!$C:$C, C138, 'Data Combined - all-runs'!$D:$D, D138, 'Data Combined - all-runs'!$E:$E, E138)</f>
        <v>#DIV/0!</v>
      </c>
      <c r="Q138" s="5" t="str">
        <f>AVERAGEIFS('Data Combined - all-runs'!$Q:$Q, 'Data Combined - all-runs'!$A:$A, A138,'Data Combined - all-runs'!$B:$B, B138,'Data Combined - all-runs'!$C:$C, C138, 'Data Combined - all-runs'!$D:$D, D138, 'Data Combined - all-runs'!$E:$E, E138)</f>
        <v>#DIV/0!</v>
      </c>
      <c r="R138" s="5" t="str">
        <f>AVERAGEIFS('Data Combined - all-runs'!$R:$R, 'Data Combined - all-runs'!$A:$A, A138,'Data Combined - all-runs'!$B:$B, B138,'Data Combined - all-runs'!$C:$C, C138, 'Data Combined - all-runs'!$D:$D, D138, 'Data Combined - all-runs'!$E:$E, E138)</f>
        <v>#DIV/0!</v>
      </c>
      <c r="S138" s="5" t="str">
        <f>AVERAGEIFS('Data Combined - all-runs'!$S:$S, 'Data Combined - all-runs'!$A:$A, A138,'Data Combined - all-runs'!$B:$B, B138,'Data Combined - all-runs'!$C:$C, C138, 'Data Combined - all-runs'!$D:$D, D138, 'Data Combined - all-runs'!$E:$E, E138)</f>
        <v>#DIV/0!</v>
      </c>
      <c r="T138" s="5" t="str">
        <f>AVERAGEIFS('Data Combined - all-runs'!$T:$T, 'Data Combined - all-runs'!$A:$A, A138,'Data Combined - all-runs'!$B:$B, B138,'Data Combined - all-runs'!$C:$C, C138, 'Data Combined - all-runs'!$D:$D, D138, 'Data Combined - all-runs'!$E:$E, E138)</f>
        <v>#DIV/0!</v>
      </c>
      <c r="U138" s="5" t="b">
        <f t="shared" si="1"/>
        <v>0</v>
      </c>
      <c r="V138" s="5" t="b">
        <f t="shared" si="2"/>
        <v>0</v>
      </c>
      <c r="W138" s="5" t="b">
        <f t="shared" si="3"/>
        <v>0</v>
      </c>
    </row>
    <row r="139">
      <c r="A139" s="2" t="s">
        <v>32</v>
      </c>
      <c r="B139" s="2" t="s">
        <v>114</v>
      </c>
      <c r="C139" s="2" t="s">
        <v>35</v>
      </c>
      <c r="D139" s="2" t="s">
        <v>102</v>
      </c>
      <c r="E139" s="2" t="s">
        <v>51</v>
      </c>
      <c r="H139" s="5" t="str">
        <f>AVERAGEIFS('Data Combined - all-runs'!$H:$H, 'Data Combined - all-runs'!$A:$A, A139,'Data Combined - all-runs'!$B:$B, B139,'Data Combined - all-runs'!$C:$C, C139, 'Data Combined - all-runs'!$D:$D, D139, 'Data Combined - all-runs'!$E:$E, E139)</f>
        <v>#DIV/0!</v>
      </c>
      <c r="I139" s="5" t="str">
        <f>AVERAGEIFS('Data Combined - all-runs'!$I:$I, 'Data Combined - all-runs'!$A:$A, A139,'Data Combined - all-runs'!$B:$B, B139,'Data Combined - all-runs'!$C:$C, C139, 'Data Combined - all-runs'!$D:$D, D139, 'Data Combined - all-runs'!$E:$E, E139)</f>
        <v>#DIV/0!</v>
      </c>
      <c r="J139" s="5" t="str">
        <f>AVERAGEIFS('Data Combined - all-runs'!$J:$J, 'Data Combined - all-runs'!$A:$A, A139,'Data Combined - all-runs'!$B:$B, B139,'Data Combined - all-runs'!$C:$C, C139, 'Data Combined - all-runs'!$D:$D, D139, 'Data Combined - all-runs'!$E:$E, E139)</f>
        <v>#DIV/0!</v>
      </c>
      <c r="K139" s="5" t="str">
        <f>AVERAGEIFS('Data Combined - all-runs'!$K:$K, 'Data Combined - all-runs'!$A:$A, A139,'Data Combined - all-runs'!$B:$B, B139,'Data Combined - all-runs'!$C:$C, C139, 'Data Combined - all-runs'!$D:$D, D139, 'Data Combined - all-runs'!$E:$E, E139)</f>
        <v>#DIV/0!</v>
      </c>
      <c r="L139" s="5" t="str">
        <f>AVERAGEIFS('Data Combined - all-runs'!$L:$L, 'Data Combined - all-runs'!$A:$A, A139,'Data Combined - all-runs'!$B:$B, B139,'Data Combined - all-runs'!$C:$C, C139, 'Data Combined - all-runs'!$D:$D, D139, 'Data Combined - all-runs'!$E:$E, E139)</f>
        <v>#DIV/0!</v>
      </c>
      <c r="M139" s="5" t="str">
        <f>AVERAGEIFS('Data Combined - all-runs'!$M:$M, 'Data Combined - all-runs'!$A:$A, A139,'Data Combined - all-runs'!$B:$B, B139,'Data Combined - all-runs'!$C:$C, C139, 'Data Combined - all-runs'!$D:$D, D139, 'Data Combined - all-runs'!$E:$E, E139)</f>
        <v>#DIV/0!</v>
      </c>
      <c r="N139" s="5" t="str">
        <f>AVERAGEIFS('Data Combined - all-runs'!$N:$N, 'Data Combined - all-runs'!$A:$A, A139,'Data Combined - all-runs'!$B:$B, B139,'Data Combined - all-runs'!$C:$C, C139, 'Data Combined - all-runs'!$D:$D, D139, 'Data Combined - all-runs'!$E:$E, E139)</f>
        <v>#DIV/0!</v>
      </c>
      <c r="O139" s="5" t="str">
        <f>AVERAGEIFS('Data Combined - all-runs'!$O:$O, 'Data Combined - all-runs'!$A:$A, A139,'Data Combined - all-runs'!$B:$B, B139,'Data Combined - all-runs'!$C:$C, C139, 'Data Combined - all-runs'!$D:$D, D139, 'Data Combined - all-runs'!$E:$E, E139)</f>
        <v>#DIV/0!</v>
      </c>
      <c r="P139" s="5" t="str">
        <f>AVERAGEIFS('Data Combined - all-runs'!$P:$P, 'Data Combined - all-runs'!$A:$A, A139,'Data Combined - all-runs'!$B:$B, B139,'Data Combined - all-runs'!$C:$C, C139, 'Data Combined - all-runs'!$D:$D, D139, 'Data Combined - all-runs'!$E:$E, E139)</f>
        <v>#DIV/0!</v>
      </c>
      <c r="Q139" s="5" t="str">
        <f>AVERAGEIFS('Data Combined - all-runs'!$Q:$Q, 'Data Combined - all-runs'!$A:$A, A139,'Data Combined - all-runs'!$B:$B, B139,'Data Combined - all-runs'!$C:$C, C139, 'Data Combined - all-runs'!$D:$D, D139, 'Data Combined - all-runs'!$E:$E, E139)</f>
        <v>#DIV/0!</v>
      </c>
      <c r="R139" s="5" t="str">
        <f>AVERAGEIFS('Data Combined - all-runs'!$R:$R, 'Data Combined - all-runs'!$A:$A, A139,'Data Combined - all-runs'!$B:$B, B139,'Data Combined - all-runs'!$C:$C, C139, 'Data Combined - all-runs'!$D:$D, D139, 'Data Combined - all-runs'!$E:$E, E139)</f>
        <v>#DIV/0!</v>
      </c>
      <c r="S139" s="5" t="str">
        <f>AVERAGEIFS('Data Combined - all-runs'!$S:$S, 'Data Combined - all-runs'!$A:$A, A139,'Data Combined - all-runs'!$B:$B, B139,'Data Combined - all-runs'!$C:$C, C139, 'Data Combined - all-runs'!$D:$D, D139, 'Data Combined - all-runs'!$E:$E, E139)</f>
        <v>#DIV/0!</v>
      </c>
      <c r="T139" s="5" t="str">
        <f>AVERAGEIFS('Data Combined - all-runs'!$T:$T, 'Data Combined - all-runs'!$A:$A, A139,'Data Combined - all-runs'!$B:$B, B139,'Data Combined - all-runs'!$C:$C, C139, 'Data Combined - all-runs'!$D:$D, D139, 'Data Combined - all-runs'!$E:$E, E139)</f>
        <v>#DIV/0!</v>
      </c>
      <c r="U139" s="5" t="b">
        <f t="shared" si="1"/>
        <v>0</v>
      </c>
      <c r="V139" s="5" t="b">
        <f t="shared" si="2"/>
        <v>0</v>
      </c>
      <c r="W139" s="5" t="b">
        <f t="shared" si="3"/>
        <v>0</v>
      </c>
    </row>
    <row r="140">
      <c r="A140" s="2" t="s">
        <v>32</v>
      </c>
      <c r="B140" s="2" t="s">
        <v>114</v>
      </c>
      <c r="C140" s="2" t="s">
        <v>35</v>
      </c>
      <c r="D140" s="2" t="s">
        <v>118</v>
      </c>
      <c r="E140" s="2" t="s">
        <v>25</v>
      </c>
      <c r="H140" s="5" t="str">
        <f>AVERAGEIFS('Data Combined - all-runs'!$H:$H, 'Data Combined - all-runs'!$A:$A, A140,'Data Combined - all-runs'!$B:$B, B140,'Data Combined - all-runs'!$C:$C, C140, 'Data Combined - all-runs'!$D:$D, D140, 'Data Combined - all-runs'!$E:$E, E140)</f>
        <v>#DIV/0!</v>
      </c>
      <c r="I140" s="5" t="str">
        <f>AVERAGEIFS('Data Combined - all-runs'!$I:$I, 'Data Combined - all-runs'!$A:$A, A140,'Data Combined - all-runs'!$B:$B, B140,'Data Combined - all-runs'!$C:$C, C140, 'Data Combined - all-runs'!$D:$D, D140, 'Data Combined - all-runs'!$E:$E, E140)</f>
        <v>#DIV/0!</v>
      </c>
      <c r="J140" s="5" t="str">
        <f>AVERAGEIFS('Data Combined - all-runs'!$J:$J, 'Data Combined - all-runs'!$A:$A, A140,'Data Combined - all-runs'!$B:$B, B140,'Data Combined - all-runs'!$C:$C, C140, 'Data Combined - all-runs'!$D:$D, D140, 'Data Combined - all-runs'!$E:$E, E140)</f>
        <v>#DIV/0!</v>
      </c>
      <c r="K140" s="5" t="str">
        <f>AVERAGEIFS('Data Combined - all-runs'!$K:$K, 'Data Combined - all-runs'!$A:$A, A140,'Data Combined - all-runs'!$B:$B, B140,'Data Combined - all-runs'!$C:$C, C140, 'Data Combined - all-runs'!$D:$D, D140, 'Data Combined - all-runs'!$E:$E, E140)</f>
        <v>#DIV/0!</v>
      </c>
      <c r="L140" s="5" t="str">
        <f>AVERAGEIFS('Data Combined - all-runs'!$L:$L, 'Data Combined - all-runs'!$A:$A, A140,'Data Combined - all-runs'!$B:$B, B140,'Data Combined - all-runs'!$C:$C, C140, 'Data Combined - all-runs'!$D:$D, D140, 'Data Combined - all-runs'!$E:$E, E140)</f>
        <v>#DIV/0!</v>
      </c>
      <c r="M140" s="5" t="str">
        <f>AVERAGEIFS('Data Combined - all-runs'!$M:$M, 'Data Combined - all-runs'!$A:$A, A140,'Data Combined - all-runs'!$B:$B, B140,'Data Combined - all-runs'!$C:$C, C140, 'Data Combined - all-runs'!$D:$D, D140, 'Data Combined - all-runs'!$E:$E, E140)</f>
        <v>#DIV/0!</v>
      </c>
      <c r="N140" s="5" t="str">
        <f>AVERAGEIFS('Data Combined - all-runs'!$N:$N, 'Data Combined - all-runs'!$A:$A, A140,'Data Combined - all-runs'!$B:$B, B140,'Data Combined - all-runs'!$C:$C, C140, 'Data Combined - all-runs'!$D:$D, D140, 'Data Combined - all-runs'!$E:$E, E140)</f>
        <v>#DIV/0!</v>
      </c>
      <c r="O140" s="5" t="str">
        <f>AVERAGEIFS('Data Combined - all-runs'!$O:$O, 'Data Combined - all-runs'!$A:$A, A140,'Data Combined - all-runs'!$B:$B, B140,'Data Combined - all-runs'!$C:$C, C140, 'Data Combined - all-runs'!$D:$D, D140, 'Data Combined - all-runs'!$E:$E, E140)</f>
        <v>#DIV/0!</v>
      </c>
      <c r="P140" s="5" t="str">
        <f>AVERAGEIFS('Data Combined - all-runs'!$P:$P, 'Data Combined - all-runs'!$A:$A, A140,'Data Combined - all-runs'!$B:$B, B140,'Data Combined - all-runs'!$C:$C, C140, 'Data Combined - all-runs'!$D:$D, D140, 'Data Combined - all-runs'!$E:$E, E140)</f>
        <v>#DIV/0!</v>
      </c>
      <c r="Q140" s="5" t="str">
        <f>AVERAGEIFS('Data Combined - all-runs'!$Q:$Q, 'Data Combined - all-runs'!$A:$A, A140,'Data Combined - all-runs'!$B:$B, B140,'Data Combined - all-runs'!$C:$C, C140, 'Data Combined - all-runs'!$D:$D, D140, 'Data Combined - all-runs'!$E:$E, E140)</f>
        <v>#DIV/0!</v>
      </c>
      <c r="R140" s="5" t="str">
        <f>AVERAGEIFS('Data Combined - all-runs'!$R:$R, 'Data Combined - all-runs'!$A:$A, A140,'Data Combined - all-runs'!$B:$B, B140,'Data Combined - all-runs'!$C:$C, C140, 'Data Combined - all-runs'!$D:$D, D140, 'Data Combined - all-runs'!$E:$E, E140)</f>
        <v>#DIV/0!</v>
      </c>
      <c r="S140" s="5" t="str">
        <f>AVERAGEIFS('Data Combined - all-runs'!$S:$S, 'Data Combined - all-runs'!$A:$A, A140,'Data Combined - all-runs'!$B:$B, B140,'Data Combined - all-runs'!$C:$C, C140, 'Data Combined - all-runs'!$D:$D, D140, 'Data Combined - all-runs'!$E:$E, E140)</f>
        <v>#DIV/0!</v>
      </c>
      <c r="T140" s="5" t="str">
        <f>AVERAGEIFS('Data Combined - all-runs'!$T:$T, 'Data Combined - all-runs'!$A:$A, A140,'Data Combined - all-runs'!$B:$B, B140,'Data Combined - all-runs'!$C:$C, C140, 'Data Combined - all-runs'!$D:$D, D140, 'Data Combined - all-runs'!$E:$E, E140)</f>
        <v>#DIV/0!</v>
      </c>
      <c r="U140" s="5" t="b">
        <f t="shared" si="1"/>
        <v>0</v>
      </c>
      <c r="V140" s="5" t="b">
        <f t="shared" si="2"/>
        <v>0</v>
      </c>
      <c r="W140" s="5" t="b">
        <f t="shared" si="3"/>
        <v>0</v>
      </c>
    </row>
    <row r="141">
      <c r="A141" s="2" t="s">
        <v>32</v>
      </c>
      <c r="B141" s="2" t="s">
        <v>114</v>
      </c>
      <c r="C141" s="2" t="s">
        <v>35</v>
      </c>
      <c r="D141" s="2" t="s">
        <v>118</v>
      </c>
      <c r="E141" s="2" t="s">
        <v>39</v>
      </c>
      <c r="H141" s="5" t="str">
        <f>AVERAGEIFS('Data Combined - all-runs'!$H:$H, 'Data Combined - all-runs'!$A:$A, A141,'Data Combined - all-runs'!$B:$B, B141,'Data Combined - all-runs'!$C:$C, C141, 'Data Combined - all-runs'!$D:$D, D141, 'Data Combined - all-runs'!$E:$E, E141)</f>
        <v>#DIV/0!</v>
      </c>
      <c r="I141" s="5" t="str">
        <f>AVERAGEIFS('Data Combined - all-runs'!$I:$I, 'Data Combined - all-runs'!$A:$A, A141,'Data Combined - all-runs'!$B:$B, B141,'Data Combined - all-runs'!$C:$C, C141, 'Data Combined - all-runs'!$D:$D, D141, 'Data Combined - all-runs'!$E:$E, E141)</f>
        <v>#DIV/0!</v>
      </c>
      <c r="J141" s="5" t="str">
        <f>AVERAGEIFS('Data Combined - all-runs'!$J:$J, 'Data Combined - all-runs'!$A:$A, A141,'Data Combined - all-runs'!$B:$B, B141,'Data Combined - all-runs'!$C:$C, C141, 'Data Combined - all-runs'!$D:$D, D141, 'Data Combined - all-runs'!$E:$E, E141)</f>
        <v>#DIV/0!</v>
      </c>
      <c r="K141" s="5" t="str">
        <f>AVERAGEIFS('Data Combined - all-runs'!$K:$K, 'Data Combined - all-runs'!$A:$A, A141,'Data Combined - all-runs'!$B:$B, B141,'Data Combined - all-runs'!$C:$C, C141, 'Data Combined - all-runs'!$D:$D, D141, 'Data Combined - all-runs'!$E:$E, E141)</f>
        <v>#DIV/0!</v>
      </c>
      <c r="L141" s="5" t="str">
        <f>AVERAGEIFS('Data Combined - all-runs'!$L:$L, 'Data Combined - all-runs'!$A:$A, A141,'Data Combined - all-runs'!$B:$B, B141,'Data Combined - all-runs'!$C:$C, C141, 'Data Combined - all-runs'!$D:$D, D141, 'Data Combined - all-runs'!$E:$E, E141)</f>
        <v>#DIV/0!</v>
      </c>
      <c r="M141" s="5" t="str">
        <f>AVERAGEIFS('Data Combined - all-runs'!$M:$M, 'Data Combined - all-runs'!$A:$A, A141,'Data Combined - all-runs'!$B:$B, B141,'Data Combined - all-runs'!$C:$C, C141, 'Data Combined - all-runs'!$D:$D, D141, 'Data Combined - all-runs'!$E:$E, E141)</f>
        <v>#DIV/0!</v>
      </c>
      <c r="N141" s="5" t="str">
        <f>AVERAGEIFS('Data Combined - all-runs'!$N:$N, 'Data Combined - all-runs'!$A:$A, A141,'Data Combined - all-runs'!$B:$B, B141,'Data Combined - all-runs'!$C:$C, C141, 'Data Combined - all-runs'!$D:$D, D141, 'Data Combined - all-runs'!$E:$E, E141)</f>
        <v>#DIV/0!</v>
      </c>
      <c r="O141" s="5" t="str">
        <f>AVERAGEIFS('Data Combined - all-runs'!$O:$O, 'Data Combined - all-runs'!$A:$A, A141,'Data Combined - all-runs'!$B:$B, B141,'Data Combined - all-runs'!$C:$C, C141, 'Data Combined - all-runs'!$D:$D, D141, 'Data Combined - all-runs'!$E:$E, E141)</f>
        <v>#DIV/0!</v>
      </c>
      <c r="P141" s="5" t="str">
        <f>AVERAGEIFS('Data Combined - all-runs'!$P:$P, 'Data Combined - all-runs'!$A:$A, A141,'Data Combined - all-runs'!$B:$B, B141,'Data Combined - all-runs'!$C:$C, C141, 'Data Combined - all-runs'!$D:$D, D141, 'Data Combined - all-runs'!$E:$E, E141)</f>
        <v>#DIV/0!</v>
      </c>
      <c r="Q141" s="5" t="str">
        <f>AVERAGEIFS('Data Combined - all-runs'!$Q:$Q, 'Data Combined - all-runs'!$A:$A, A141,'Data Combined - all-runs'!$B:$B, B141,'Data Combined - all-runs'!$C:$C, C141, 'Data Combined - all-runs'!$D:$D, D141, 'Data Combined - all-runs'!$E:$E, E141)</f>
        <v>#DIV/0!</v>
      </c>
      <c r="R141" s="5" t="str">
        <f>AVERAGEIFS('Data Combined - all-runs'!$R:$R, 'Data Combined - all-runs'!$A:$A, A141,'Data Combined - all-runs'!$B:$B, B141,'Data Combined - all-runs'!$C:$C, C141, 'Data Combined - all-runs'!$D:$D, D141, 'Data Combined - all-runs'!$E:$E, E141)</f>
        <v>#DIV/0!</v>
      </c>
      <c r="S141" s="5" t="str">
        <f>AVERAGEIFS('Data Combined - all-runs'!$S:$S, 'Data Combined - all-runs'!$A:$A, A141,'Data Combined - all-runs'!$B:$B, B141,'Data Combined - all-runs'!$C:$C, C141, 'Data Combined - all-runs'!$D:$D, D141, 'Data Combined - all-runs'!$E:$E, E141)</f>
        <v>#DIV/0!</v>
      </c>
      <c r="T141" s="5" t="str">
        <f>AVERAGEIFS('Data Combined - all-runs'!$T:$T, 'Data Combined - all-runs'!$A:$A, A141,'Data Combined - all-runs'!$B:$B, B141,'Data Combined - all-runs'!$C:$C, C141, 'Data Combined - all-runs'!$D:$D, D141, 'Data Combined - all-runs'!$E:$E, E141)</f>
        <v>#DIV/0!</v>
      </c>
      <c r="U141" s="5" t="b">
        <f t="shared" si="1"/>
        <v>0</v>
      </c>
      <c r="V141" s="5" t="b">
        <f t="shared" si="2"/>
        <v>0</v>
      </c>
      <c r="W141" s="5" t="b">
        <f t="shared" si="3"/>
        <v>0</v>
      </c>
    </row>
    <row r="142">
      <c r="A142" s="2" t="s">
        <v>32</v>
      </c>
      <c r="B142" s="2" t="s">
        <v>114</v>
      </c>
      <c r="C142" s="2" t="s">
        <v>35</v>
      </c>
      <c r="D142" s="2" t="s">
        <v>118</v>
      </c>
      <c r="E142" s="2" t="s">
        <v>43</v>
      </c>
      <c r="H142" s="5" t="str">
        <f>AVERAGEIFS('Data Combined - all-runs'!$H:$H, 'Data Combined - all-runs'!$A:$A, A142,'Data Combined - all-runs'!$B:$B, B142,'Data Combined - all-runs'!$C:$C, C142, 'Data Combined - all-runs'!$D:$D, D142, 'Data Combined - all-runs'!$E:$E, E142)</f>
        <v>#DIV/0!</v>
      </c>
      <c r="I142" s="5" t="str">
        <f>AVERAGEIFS('Data Combined - all-runs'!$I:$I, 'Data Combined - all-runs'!$A:$A, A142,'Data Combined - all-runs'!$B:$B, B142,'Data Combined - all-runs'!$C:$C, C142, 'Data Combined - all-runs'!$D:$D, D142, 'Data Combined - all-runs'!$E:$E, E142)</f>
        <v>#DIV/0!</v>
      </c>
      <c r="J142" s="5" t="str">
        <f>AVERAGEIFS('Data Combined - all-runs'!$J:$J, 'Data Combined - all-runs'!$A:$A, A142,'Data Combined - all-runs'!$B:$B, B142,'Data Combined - all-runs'!$C:$C, C142, 'Data Combined - all-runs'!$D:$D, D142, 'Data Combined - all-runs'!$E:$E, E142)</f>
        <v>#DIV/0!</v>
      </c>
      <c r="K142" s="5" t="str">
        <f>AVERAGEIFS('Data Combined - all-runs'!$K:$K, 'Data Combined - all-runs'!$A:$A, A142,'Data Combined - all-runs'!$B:$B, B142,'Data Combined - all-runs'!$C:$C, C142, 'Data Combined - all-runs'!$D:$D, D142, 'Data Combined - all-runs'!$E:$E, E142)</f>
        <v>#DIV/0!</v>
      </c>
      <c r="L142" s="5" t="str">
        <f>AVERAGEIFS('Data Combined - all-runs'!$L:$L, 'Data Combined - all-runs'!$A:$A, A142,'Data Combined - all-runs'!$B:$B, B142,'Data Combined - all-runs'!$C:$C, C142, 'Data Combined - all-runs'!$D:$D, D142, 'Data Combined - all-runs'!$E:$E, E142)</f>
        <v>#DIV/0!</v>
      </c>
      <c r="M142" s="5" t="str">
        <f>AVERAGEIFS('Data Combined - all-runs'!$M:$M, 'Data Combined - all-runs'!$A:$A, A142,'Data Combined - all-runs'!$B:$B, B142,'Data Combined - all-runs'!$C:$C, C142, 'Data Combined - all-runs'!$D:$D, D142, 'Data Combined - all-runs'!$E:$E, E142)</f>
        <v>#DIV/0!</v>
      </c>
      <c r="N142" s="5" t="str">
        <f>AVERAGEIFS('Data Combined - all-runs'!$N:$N, 'Data Combined - all-runs'!$A:$A, A142,'Data Combined - all-runs'!$B:$B, B142,'Data Combined - all-runs'!$C:$C, C142, 'Data Combined - all-runs'!$D:$D, D142, 'Data Combined - all-runs'!$E:$E, E142)</f>
        <v>#DIV/0!</v>
      </c>
      <c r="O142" s="5" t="str">
        <f>AVERAGEIFS('Data Combined - all-runs'!$O:$O, 'Data Combined - all-runs'!$A:$A, A142,'Data Combined - all-runs'!$B:$B, B142,'Data Combined - all-runs'!$C:$C, C142, 'Data Combined - all-runs'!$D:$D, D142, 'Data Combined - all-runs'!$E:$E, E142)</f>
        <v>#DIV/0!</v>
      </c>
      <c r="P142" s="5" t="str">
        <f>AVERAGEIFS('Data Combined - all-runs'!$P:$P, 'Data Combined - all-runs'!$A:$A, A142,'Data Combined - all-runs'!$B:$B, B142,'Data Combined - all-runs'!$C:$C, C142, 'Data Combined - all-runs'!$D:$D, D142, 'Data Combined - all-runs'!$E:$E, E142)</f>
        <v>#DIV/0!</v>
      </c>
      <c r="Q142" s="5" t="str">
        <f>AVERAGEIFS('Data Combined - all-runs'!$Q:$Q, 'Data Combined - all-runs'!$A:$A, A142,'Data Combined - all-runs'!$B:$B, B142,'Data Combined - all-runs'!$C:$C, C142, 'Data Combined - all-runs'!$D:$D, D142, 'Data Combined - all-runs'!$E:$E, E142)</f>
        <v>#DIV/0!</v>
      </c>
      <c r="R142" s="5" t="str">
        <f>AVERAGEIFS('Data Combined - all-runs'!$R:$R, 'Data Combined - all-runs'!$A:$A, A142,'Data Combined - all-runs'!$B:$B, B142,'Data Combined - all-runs'!$C:$C, C142, 'Data Combined - all-runs'!$D:$D, D142, 'Data Combined - all-runs'!$E:$E, E142)</f>
        <v>#DIV/0!</v>
      </c>
      <c r="S142" s="5" t="str">
        <f>AVERAGEIFS('Data Combined - all-runs'!$S:$S, 'Data Combined - all-runs'!$A:$A, A142,'Data Combined - all-runs'!$B:$B, B142,'Data Combined - all-runs'!$C:$C, C142, 'Data Combined - all-runs'!$D:$D, D142, 'Data Combined - all-runs'!$E:$E, E142)</f>
        <v>#DIV/0!</v>
      </c>
      <c r="T142" s="5" t="str">
        <f>AVERAGEIFS('Data Combined - all-runs'!$T:$T, 'Data Combined - all-runs'!$A:$A, A142,'Data Combined - all-runs'!$B:$B, B142,'Data Combined - all-runs'!$C:$C, C142, 'Data Combined - all-runs'!$D:$D, D142, 'Data Combined - all-runs'!$E:$E, E142)</f>
        <v>#DIV/0!</v>
      </c>
      <c r="U142" s="5" t="b">
        <f t="shared" si="1"/>
        <v>0</v>
      </c>
      <c r="V142" s="5" t="b">
        <f t="shared" si="2"/>
        <v>0</v>
      </c>
      <c r="W142" s="5" t="b">
        <f t="shared" si="3"/>
        <v>0</v>
      </c>
    </row>
    <row r="143">
      <c r="A143" s="2" t="s">
        <v>32</v>
      </c>
      <c r="B143" s="2" t="s">
        <v>114</v>
      </c>
      <c r="C143" s="2" t="s">
        <v>35</v>
      </c>
      <c r="D143" s="2" t="s">
        <v>118</v>
      </c>
      <c r="E143" s="2" t="s">
        <v>34</v>
      </c>
      <c r="H143" s="5" t="str">
        <f>AVERAGEIFS('Data Combined - all-runs'!$H:$H, 'Data Combined - all-runs'!$A:$A, A143,'Data Combined - all-runs'!$B:$B, B143,'Data Combined - all-runs'!$C:$C, C143, 'Data Combined - all-runs'!$D:$D, D143, 'Data Combined - all-runs'!$E:$E, E143)</f>
        <v>#DIV/0!</v>
      </c>
      <c r="I143" s="5" t="str">
        <f>AVERAGEIFS('Data Combined - all-runs'!$I:$I, 'Data Combined - all-runs'!$A:$A, A143,'Data Combined - all-runs'!$B:$B, B143,'Data Combined - all-runs'!$C:$C, C143, 'Data Combined - all-runs'!$D:$D, D143, 'Data Combined - all-runs'!$E:$E, E143)</f>
        <v>#DIV/0!</v>
      </c>
      <c r="J143" s="5" t="str">
        <f>AVERAGEIFS('Data Combined - all-runs'!$J:$J, 'Data Combined - all-runs'!$A:$A, A143,'Data Combined - all-runs'!$B:$B, B143,'Data Combined - all-runs'!$C:$C, C143, 'Data Combined - all-runs'!$D:$D, D143, 'Data Combined - all-runs'!$E:$E, E143)</f>
        <v>#DIV/0!</v>
      </c>
      <c r="K143" s="5" t="str">
        <f>AVERAGEIFS('Data Combined - all-runs'!$K:$K, 'Data Combined - all-runs'!$A:$A, A143,'Data Combined - all-runs'!$B:$B, B143,'Data Combined - all-runs'!$C:$C, C143, 'Data Combined - all-runs'!$D:$D, D143, 'Data Combined - all-runs'!$E:$E, E143)</f>
        <v>#DIV/0!</v>
      </c>
      <c r="L143" s="5" t="str">
        <f>AVERAGEIFS('Data Combined - all-runs'!$L:$L, 'Data Combined - all-runs'!$A:$A, A143,'Data Combined - all-runs'!$B:$B, B143,'Data Combined - all-runs'!$C:$C, C143, 'Data Combined - all-runs'!$D:$D, D143, 'Data Combined - all-runs'!$E:$E, E143)</f>
        <v>#DIV/0!</v>
      </c>
      <c r="M143" s="5" t="str">
        <f>AVERAGEIFS('Data Combined - all-runs'!$M:$M, 'Data Combined - all-runs'!$A:$A, A143,'Data Combined - all-runs'!$B:$B, B143,'Data Combined - all-runs'!$C:$C, C143, 'Data Combined - all-runs'!$D:$D, D143, 'Data Combined - all-runs'!$E:$E, E143)</f>
        <v>#DIV/0!</v>
      </c>
      <c r="N143" s="5" t="str">
        <f>AVERAGEIFS('Data Combined - all-runs'!$N:$N, 'Data Combined - all-runs'!$A:$A, A143,'Data Combined - all-runs'!$B:$B, B143,'Data Combined - all-runs'!$C:$C, C143, 'Data Combined - all-runs'!$D:$D, D143, 'Data Combined - all-runs'!$E:$E, E143)</f>
        <v>#DIV/0!</v>
      </c>
      <c r="O143" s="5" t="str">
        <f>AVERAGEIFS('Data Combined - all-runs'!$O:$O, 'Data Combined - all-runs'!$A:$A, A143,'Data Combined - all-runs'!$B:$B, B143,'Data Combined - all-runs'!$C:$C, C143, 'Data Combined - all-runs'!$D:$D, D143, 'Data Combined - all-runs'!$E:$E, E143)</f>
        <v>#DIV/0!</v>
      </c>
      <c r="P143" s="5" t="str">
        <f>AVERAGEIFS('Data Combined - all-runs'!$P:$P, 'Data Combined - all-runs'!$A:$A, A143,'Data Combined - all-runs'!$B:$B, B143,'Data Combined - all-runs'!$C:$C, C143, 'Data Combined - all-runs'!$D:$D, D143, 'Data Combined - all-runs'!$E:$E, E143)</f>
        <v>#DIV/0!</v>
      </c>
      <c r="Q143" s="5" t="str">
        <f>AVERAGEIFS('Data Combined - all-runs'!$Q:$Q, 'Data Combined - all-runs'!$A:$A, A143,'Data Combined - all-runs'!$B:$B, B143,'Data Combined - all-runs'!$C:$C, C143, 'Data Combined - all-runs'!$D:$D, D143, 'Data Combined - all-runs'!$E:$E, E143)</f>
        <v>#DIV/0!</v>
      </c>
      <c r="R143" s="5" t="str">
        <f>AVERAGEIFS('Data Combined - all-runs'!$R:$R, 'Data Combined - all-runs'!$A:$A, A143,'Data Combined - all-runs'!$B:$B, B143,'Data Combined - all-runs'!$C:$C, C143, 'Data Combined - all-runs'!$D:$D, D143, 'Data Combined - all-runs'!$E:$E, E143)</f>
        <v>#DIV/0!</v>
      </c>
      <c r="S143" s="5" t="str">
        <f>AVERAGEIFS('Data Combined - all-runs'!$S:$S, 'Data Combined - all-runs'!$A:$A, A143,'Data Combined - all-runs'!$B:$B, B143,'Data Combined - all-runs'!$C:$C, C143, 'Data Combined - all-runs'!$D:$D, D143, 'Data Combined - all-runs'!$E:$E, E143)</f>
        <v>#DIV/0!</v>
      </c>
      <c r="T143" s="5" t="str">
        <f>AVERAGEIFS('Data Combined - all-runs'!$T:$T, 'Data Combined - all-runs'!$A:$A, A143,'Data Combined - all-runs'!$B:$B, B143,'Data Combined - all-runs'!$C:$C, C143, 'Data Combined - all-runs'!$D:$D, D143, 'Data Combined - all-runs'!$E:$E, E143)</f>
        <v>#DIV/0!</v>
      </c>
      <c r="U143" s="5" t="b">
        <f t="shared" si="1"/>
        <v>0</v>
      </c>
      <c r="V143" s="5" t="b">
        <f t="shared" si="2"/>
        <v>0</v>
      </c>
      <c r="W143" s="5" t="b">
        <f t="shared" si="3"/>
        <v>0</v>
      </c>
    </row>
    <row r="144">
      <c r="A144" s="2" t="s">
        <v>32</v>
      </c>
      <c r="B144" s="2" t="s">
        <v>114</v>
      </c>
      <c r="C144" s="2" t="s">
        <v>35</v>
      </c>
      <c r="D144" s="2" t="s">
        <v>118</v>
      </c>
      <c r="E144" s="2" t="s">
        <v>47</v>
      </c>
      <c r="H144" s="5" t="str">
        <f>AVERAGEIFS('Data Combined - all-runs'!$H:$H, 'Data Combined - all-runs'!$A:$A, A144,'Data Combined - all-runs'!$B:$B, B144,'Data Combined - all-runs'!$C:$C, C144, 'Data Combined - all-runs'!$D:$D, D144, 'Data Combined - all-runs'!$E:$E, E144)</f>
        <v>#DIV/0!</v>
      </c>
      <c r="I144" s="5" t="str">
        <f>AVERAGEIFS('Data Combined - all-runs'!$I:$I, 'Data Combined - all-runs'!$A:$A, A144,'Data Combined - all-runs'!$B:$B, B144,'Data Combined - all-runs'!$C:$C, C144, 'Data Combined - all-runs'!$D:$D, D144, 'Data Combined - all-runs'!$E:$E, E144)</f>
        <v>#DIV/0!</v>
      </c>
      <c r="J144" s="5" t="str">
        <f>AVERAGEIFS('Data Combined - all-runs'!$J:$J, 'Data Combined - all-runs'!$A:$A, A144,'Data Combined - all-runs'!$B:$B, B144,'Data Combined - all-runs'!$C:$C, C144, 'Data Combined - all-runs'!$D:$D, D144, 'Data Combined - all-runs'!$E:$E, E144)</f>
        <v>#DIV/0!</v>
      </c>
      <c r="K144" s="5" t="str">
        <f>AVERAGEIFS('Data Combined - all-runs'!$K:$K, 'Data Combined - all-runs'!$A:$A, A144,'Data Combined - all-runs'!$B:$B, B144,'Data Combined - all-runs'!$C:$C, C144, 'Data Combined - all-runs'!$D:$D, D144, 'Data Combined - all-runs'!$E:$E, E144)</f>
        <v>#DIV/0!</v>
      </c>
      <c r="L144" s="5" t="str">
        <f>AVERAGEIFS('Data Combined - all-runs'!$L:$L, 'Data Combined - all-runs'!$A:$A, A144,'Data Combined - all-runs'!$B:$B, B144,'Data Combined - all-runs'!$C:$C, C144, 'Data Combined - all-runs'!$D:$D, D144, 'Data Combined - all-runs'!$E:$E, E144)</f>
        <v>#DIV/0!</v>
      </c>
      <c r="M144" s="5" t="str">
        <f>AVERAGEIFS('Data Combined - all-runs'!$M:$M, 'Data Combined - all-runs'!$A:$A, A144,'Data Combined - all-runs'!$B:$B, B144,'Data Combined - all-runs'!$C:$C, C144, 'Data Combined - all-runs'!$D:$D, D144, 'Data Combined - all-runs'!$E:$E, E144)</f>
        <v>#DIV/0!</v>
      </c>
      <c r="N144" s="5" t="str">
        <f>AVERAGEIFS('Data Combined - all-runs'!$N:$N, 'Data Combined - all-runs'!$A:$A, A144,'Data Combined - all-runs'!$B:$B, B144,'Data Combined - all-runs'!$C:$C, C144, 'Data Combined - all-runs'!$D:$D, D144, 'Data Combined - all-runs'!$E:$E, E144)</f>
        <v>#DIV/0!</v>
      </c>
      <c r="O144" s="5" t="str">
        <f>AVERAGEIFS('Data Combined - all-runs'!$O:$O, 'Data Combined - all-runs'!$A:$A, A144,'Data Combined - all-runs'!$B:$B, B144,'Data Combined - all-runs'!$C:$C, C144, 'Data Combined - all-runs'!$D:$D, D144, 'Data Combined - all-runs'!$E:$E, E144)</f>
        <v>#DIV/0!</v>
      </c>
      <c r="P144" s="5" t="str">
        <f>AVERAGEIFS('Data Combined - all-runs'!$P:$P, 'Data Combined - all-runs'!$A:$A, A144,'Data Combined - all-runs'!$B:$B, B144,'Data Combined - all-runs'!$C:$C, C144, 'Data Combined - all-runs'!$D:$D, D144, 'Data Combined - all-runs'!$E:$E, E144)</f>
        <v>#DIV/0!</v>
      </c>
      <c r="Q144" s="5" t="str">
        <f>AVERAGEIFS('Data Combined - all-runs'!$Q:$Q, 'Data Combined - all-runs'!$A:$A, A144,'Data Combined - all-runs'!$B:$B, B144,'Data Combined - all-runs'!$C:$C, C144, 'Data Combined - all-runs'!$D:$D, D144, 'Data Combined - all-runs'!$E:$E, E144)</f>
        <v>#DIV/0!</v>
      </c>
      <c r="R144" s="5" t="str">
        <f>AVERAGEIFS('Data Combined - all-runs'!$R:$R, 'Data Combined - all-runs'!$A:$A, A144,'Data Combined - all-runs'!$B:$B, B144,'Data Combined - all-runs'!$C:$C, C144, 'Data Combined - all-runs'!$D:$D, D144, 'Data Combined - all-runs'!$E:$E, E144)</f>
        <v>#DIV/0!</v>
      </c>
      <c r="S144" s="5" t="str">
        <f>AVERAGEIFS('Data Combined - all-runs'!$S:$S, 'Data Combined - all-runs'!$A:$A, A144,'Data Combined - all-runs'!$B:$B, B144,'Data Combined - all-runs'!$C:$C, C144, 'Data Combined - all-runs'!$D:$D, D144, 'Data Combined - all-runs'!$E:$E, E144)</f>
        <v>#DIV/0!</v>
      </c>
      <c r="T144" s="5" t="str">
        <f>AVERAGEIFS('Data Combined - all-runs'!$T:$T, 'Data Combined - all-runs'!$A:$A, A144,'Data Combined - all-runs'!$B:$B, B144,'Data Combined - all-runs'!$C:$C, C144, 'Data Combined - all-runs'!$D:$D, D144, 'Data Combined - all-runs'!$E:$E, E144)</f>
        <v>#DIV/0!</v>
      </c>
      <c r="U144" s="5" t="b">
        <f t="shared" si="1"/>
        <v>0</v>
      </c>
      <c r="V144" s="5" t="b">
        <f t="shared" si="2"/>
        <v>0</v>
      </c>
      <c r="W144" s="5" t="b">
        <f t="shared" si="3"/>
        <v>0</v>
      </c>
    </row>
    <row r="145">
      <c r="A145" s="2" t="s">
        <v>32</v>
      </c>
      <c r="B145" s="2" t="s">
        <v>114</v>
      </c>
      <c r="C145" s="2" t="s">
        <v>35</v>
      </c>
      <c r="D145" s="2" t="s">
        <v>118</v>
      </c>
      <c r="E145" s="2" t="s">
        <v>51</v>
      </c>
      <c r="H145" s="5" t="str">
        <f>AVERAGEIFS('Data Combined - all-runs'!$H:$H, 'Data Combined - all-runs'!$A:$A, A145,'Data Combined - all-runs'!$B:$B, B145,'Data Combined - all-runs'!$C:$C, C145, 'Data Combined - all-runs'!$D:$D, D145, 'Data Combined - all-runs'!$E:$E, E145)</f>
        <v>#DIV/0!</v>
      </c>
      <c r="I145" s="5" t="str">
        <f>AVERAGEIFS('Data Combined - all-runs'!$I:$I, 'Data Combined - all-runs'!$A:$A, A145,'Data Combined - all-runs'!$B:$B, B145,'Data Combined - all-runs'!$C:$C, C145, 'Data Combined - all-runs'!$D:$D, D145, 'Data Combined - all-runs'!$E:$E, E145)</f>
        <v>#DIV/0!</v>
      </c>
      <c r="J145" s="5" t="str">
        <f>AVERAGEIFS('Data Combined - all-runs'!$J:$J, 'Data Combined - all-runs'!$A:$A, A145,'Data Combined - all-runs'!$B:$B, B145,'Data Combined - all-runs'!$C:$C, C145, 'Data Combined - all-runs'!$D:$D, D145, 'Data Combined - all-runs'!$E:$E, E145)</f>
        <v>#DIV/0!</v>
      </c>
      <c r="K145" s="5" t="str">
        <f>AVERAGEIFS('Data Combined - all-runs'!$K:$K, 'Data Combined - all-runs'!$A:$A, A145,'Data Combined - all-runs'!$B:$B, B145,'Data Combined - all-runs'!$C:$C, C145, 'Data Combined - all-runs'!$D:$D, D145, 'Data Combined - all-runs'!$E:$E, E145)</f>
        <v>#DIV/0!</v>
      </c>
      <c r="L145" s="5" t="str">
        <f>AVERAGEIFS('Data Combined - all-runs'!$L:$L, 'Data Combined - all-runs'!$A:$A, A145,'Data Combined - all-runs'!$B:$B, B145,'Data Combined - all-runs'!$C:$C, C145, 'Data Combined - all-runs'!$D:$D, D145, 'Data Combined - all-runs'!$E:$E, E145)</f>
        <v>#DIV/0!</v>
      </c>
      <c r="M145" s="5" t="str">
        <f>AVERAGEIFS('Data Combined - all-runs'!$M:$M, 'Data Combined - all-runs'!$A:$A, A145,'Data Combined - all-runs'!$B:$B, B145,'Data Combined - all-runs'!$C:$C, C145, 'Data Combined - all-runs'!$D:$D, D145, 'Data Combined - all-runs'!$E:$E, E145)</f>
        <v>#DIV/0!</v>
      </c>
      <c r="N145" s="5" t="str">
        <f>AVERAGEIFS('Data Combined - all-runs'!$N:$N, 'Data Combined - all-runs'!$A:$A, A145,'Data Combined - all-runs'!$B:$B, B145,'Data Combined - all-runs'!$C:$C, C145, 'Data Combined - all-runs'!$D:$D, D145, 'Data Combined - all-runs'!$E:$E, E145)</f>
        <v>#DIV/0!</v>
      </c>
      <c r="O145" s="5" t="str">
        <f>AVERAGEIFS('Data Combined - all-runs'!$O:$O, 'Data Combined - all-runs'!$A:$A, A145,'Data Combined - all-runs'!$B:$B, B145,'Data Combined - all-runs'!$C:$C, C145, 'Data Combined - all-runs'!$D:$D, D145, 'Data Combined - all-runs'!$E:$E, E145)</f>
        <v>#DIV/0!</v>
      </c>
      <c r="P145" s="5" t="str">
        <f>AVERAGEIFS('Data Combined - all-runs'!$P:$P, 'Data Combined - all-runs'!$A:$A, A145,'Data Combined - all-runs'!$B:$B, B145,'Data Combined - all-runs'!$C:$C, C145, 'Data Combined - all-runs'!$D:$D, D145, 'Data Combined - all-runs'!$E:$E, E145)</f>
        <v>#DIV/0!</v>
      </c>
      <c r="Q145" s="5" t="str">
        <f>AVERAGEIFS('Data Combined - all-runs'!$Q:$Q, 'Data Combined - all-runs'!$A:$A, A145,'Data Combined - all-runs'!$B:$B, B145,'Data Combined - all-runs'!$C:$C, C145, 'Data Combined - all-runs'!$D:$D, D145, 'Data Combined - all-runs'!$E:$E, E145)</f>
        <v>#DIV/0!</v>
      </c>
      <c r="R145" s="5" t="str">
        <f>AVERAGEIFS('Data Combined - all-runs'!$R:$R, 'Data Combined - all-runs'!$A:$A, A145,'Data Combined - all-runs'!$B:$B, B145,'Data Combined - all-runs'!$C:$C, C145, 'Data Combined - all-runs'!$D:$D, D145, 'Data Combined - all-runs'!$E:$E, E145)</f>
        <v>#DIV/0!</v>
      </c>
      <c r="S145" s="5" t="str">
        <f>AVERAGEIFS('Data Combined - all-runs'!$S:$S, 'Data Combined - all-runs'!$A:$A, A145,'Data Combined - all-runs'!$B:$B, B145,'Data Combined - all-runs'!$C:$C, C145, 'Data Combined - all-runs'!$D:$D, D145, 'Data Combined - all-runs'!$E:$E, E145)</f>
        <v>#DIV/0!</v>
      </c>
      <c r="T145" s="5" t="str">
        <f>AVERAGEIFS('Data Combined - all-runs'!$T:$T, 'Data Combined - all-runs'!$A:$A, A145,'Data Combined - all-runs'!$B:$B, B145,'Data Combined - all-runs'!$C:$C, C145, 'Data Combined - all-runs'!$D:$D, D145, 'Data Combined - all-runs'!$E:$E, E145)</f>
        <v>#DIV/0!</v>
      </c>
      <c r="U145" s="5" t="b">
        <f t="shared" si="1"/>
        <v>0</v>
      </c>
      <c r="V145" s="5" t="b">
        <f t="shared" si="2"/>
        <v>0</v>
      </c>
      <c r="W145" s="5" t="b">
        <f t="shared" si="3"/>
        <v>0</v>
      </c>
    </row>
    <row r="146">
      <c r="A146" s="2" t="s">
        <v>460</v>
      </c>
      <c r="B146" s="2" t="s">
        <v>22</v>
      </c>
      <c r="C146" s="2" t="s">
        <v>23</v>
      </c>
      <c r="D146" s="2" t="s">
        <v>24</v>
      </c>
      <c r="E146" s="2" t="s">
        <v>25</v>
      </c>
      <c r="H146" s="5">
        <f>AVERAGEIFS('Data Combined - all-runs'!$H:$H, 'Data Combined - all-runs'!$A:$A, A146,'Data Combined - all-runs'!$B:$B, B146,'Data Combined - all-runs'!$C:$C, C146, 'Data Combined - all-runs'!$D:$D, D146, 'Data Combined - all-runs'!$E:$E, E146)</f>
        <v>417</v>
      </c>
      <c r="I146" s="5" t="str">
        <f>AVERAGEIFS('Data Combined - all-runs'!$I:$I, 'Data Combined - all-runs'!$A:$A, A146,'Data Combined - all-runs'!$B:$B, B146,'Data Combined - all-runs'!$C:$C, C146, 'Data Combined - all-runs'!$D:$D, D146, 'Data Combined - all-runs'!$E:$E, E146)</f>
        <v>#DIV/0!</v>
      </c>
      <c r="J146" s="5">
        <f>AVERAGEIFS('Data Combined - all-runs'!$J:$J, 'Data Combined - all-runs'!$A:$A, A146,'Data Combined - all-runs'!$B:$B, B146,'Data Combined - all-runs'!$C:$C, C146, 'Data Combined - all-runs'!$D:$D, D146, 'Data Combined - all-runs'!$E:$E, E146)</f>
        <v>2</v>
      </c>
      <c r="K146" s="5">
        <f>AVERAGEIFS('Data Combined - all-runs'!$K:$K, 'Data Combined - all-runs'!$A:$A, A146,'Data Combined - all-runs'!$B:$B, B146,'Data Combined - all-runs'!$C:$C, C146, 'Data Combined - all-runs'!$D:$D, D146, 'Data Combined - all-runs'!$E:$E, E146)</f>
        <v>0.019</v>
      </c>
      <c r="L146" s="5">
        <f>AVERAGEIFS('Data Combined - all-runs'!$L:$L, 'Data Combined - all-runs'!$A:$A, A146,'Data Combined - all-runs'!$B:$B, B146,'Data Combined - all-runs'!$C:$C, C146, 'Data Combined - all-runs'!$D:$D, D146, 'Data Combined - all-runs'!$E:$E, E146)</f>
        <v>1054.633101</v>
      </c>
      <c r="M146" s="5" t="str">
        <f>AVERAGEIFS('Data Combined - all-runs'!$M:$M, 'Data Combined - all-runs'!$A:$A, A146,'Data Combined - all-runs'!$B:$B, B146,'Data Combined - all-runs'!$C:$C, C146, 'Data Combined - all-runs'!$D:$D, D146, 'Data Combined - all-runs'!$E:$E, E146)</f>
        <v>#DIV/0!</v>
      </c>
      <c r="N146" s="5">
        <f>AVERAGEIFS('Data Combined - all-runs'!$N:$N, 'Data Combined - all-runs'!$A:$A, A146,'Data Combined - all-runs'!$B:$B, B146,'Data Combined - all-runs'!$C:$C, C146, 'Data Combined - all-runs'!$D:$D, D146, 'Data Combined - all-runs'!$E:$E, E146)</f>
        <v>0</v>
      </c>
      <c r="O146" s="5">
        <f>AVERAGEIFS('Data Combined - all-runs'!$O:$O, 'Data Combined - all-runs'!$A:$A, A146,'Data Combined - all-runs'!$B:$B, B146,'Data Combined - all-runs'!$C:$C, C146, 'Data Combined - all-runs'!$D:$D, D146, 'Data Combined - all-runs'!$E:$E, E146)</f>
        <v>500</v>
      </c>
      <c r="P146" s="5">
        <f>AVERAGEIFS('Data Combined - all-runs'!$P:$P, 'Data Combined - all-runs'!$A:$A, A146,'Data Combined - all-runs'!$B:$B, B146,'Data Combined - all-runs'!$C:$C, C146, 'Data Combined - all-runs'!$D:$D, D146, 'Data Combined - all-runs'!$E:$E, E146)</f>
        <v>0</v>
      </c>
      <c r="Q146" s="5">
        <f>AVERAGEIFS('Data Combined - all-runs'!$Q:$Q, 'Data Combined - all-runs'!$A:$A, A146,'Data Combined - all-runs'!$B:$B, B146,'Data Combined - all-runs'!$C:$C, C146, 'Data Combined - all-runs'!$D:$D, D146, 'Data Combined - all-runs'!$E:$E, E146)</f>
        <v>834</v>
      </c>
      <c r="R146" s="5" t="str">
        <f>AVERAGEIFS('Data Combined - all-runs'!$R:$R, 'Data Combined - all-runs'!$A:$A, A146,'Data Combined - all-runs'!$B:$B, B146,'Data Combined - all-runs'!$C:$C, C146, 'Data Combined - all-runs'!$D:$D, D146, 'Data Combined - all-runs'!$E:$E, E146)</f>
        <v>#DIV/0!</v>
      </c>
      <c r="S146" s="5">
        <f>AVERAGEIFS('Data Combined - all-runs'!$S:$S, 'Data Combined - all-runs'!$A:$A, A146,'Data Combined - all-runs'!$B:$B, B146,'Data Combined - all-runs'!$C:$C, C146, 'Data Combined - all-runs'!$D:$D, D146, 'Data Combined - all-runs'!$E:$E, E146)</f>
        <v>0.00479616307</v>
      </c>
      <c r="T146" s="5" t="str">
        <f>AVERAGEIFS('Data Combined - all-runs'!$T:$T, 'Data Combined - all-runs'!$A:$A, A146,'Data Combined - all-runs'!$B:$B, B146,'Data Combined - all-runs'!$C:$C, C146, 'Data Combined - all-runs'!$D:$D, D146, 'Data Combined - all-runs'!$E:$E, E146)</f>
        <v>#DIV/0!</v>
      </c>
      <c r="U146" s="5" t="b">
        <f t="shared" si="1"/>
        <v>1</v>
      </c>
      <c r="V146" s="5" t="b">
        <f t="shared" si="2"/>
        <v>1</v>
      </c>
      <c r="W146" s="5" t="b">
        <f t="shared" si="3"/>
        <v>1</v>
      </c>
    </row>
    <row r="147">
      <c r="A147" s="2" t="s">
        <v>460</v>
      </c>
      <c r="B147" s="2" t="s">
        <v>22</v>
      </c>
      <c r="C147" s="2" t="s">
        <v>23</v>
      </c>
      <c r="D147" s="2" t="s">
        <v>24</v>
      </c>
      <c r="E147" s="2" t="s">
        <v>39</v>
      </c>
      <c r="H147" s="5">
        <f>AVERAGEIFS('Data Combined - all-runs'!$H:$H, 'Data Combined - all-runs'!$A:$A, A147,'Data Combined - all-runs'!$B:$B, B147,'Data Combined - all-runs'!$C:$C, C147, 'Data Combined - all-runs'!$D:$D, D147, 'Data Combined - all-runs'!$E:$E, E147)</f>
        <v>358</v>
      </c>
      <c r="I147" s="5" t="str">
        <f>AVERAGEIFS('Data Combined - all-runs'!$I:$I, 'Data Combined - all-runs'!$A:$A, A147,'Data Combined - all-runs'!$B:$B, B147,'Data Combined - all-runs'!$C:$C, C147, 'Data Combined - all-runs'!$D:$D, D147, 'Data Combined - all-runs'!$E:$E, E147)</f>
        <v>#DIV/0!</v>
      </c>
      <c r="J147" s="5">
        <f>AVERAGEIFS('Data Combined - all-runs'!$J:$J, 'Data Combined - all-runs'!$A:$A, A147,'Data Combined - all-runs'!$B:$B, B147,'Data Combined - all-runs'!$C:$C, C147, 'Data Combined - all-runs'!$D:$D, D147, 'Data Combined - all-runs'!$E:$E, E147)</f>
        <v>254</v>
      </c>
      <c r="K147" s="5">
        <f>AVERAGEIFS('Data Combined - all-runs'!$K:$K, 'Data Combined - all-runs'!$A:$A, A147,'Data Combined - all-runs'!$B:$B, B147,'Data Combined - all-runs'!$C:$C, C147, 'Data Combined - all-runs'!$D:$D, D147, 'Data Combined - all-runs'!$E:$E, E147)</f>
        <v>0.0845</v>
      </c>
      <c r="L147" s="5">
        <f>AVERAGEIFS('Data Combined - all-runs'!$L:$L, 'Data Combined - all-runs'!$A:$A, A147,'Data Combined - all-runs'!$B:$B, B147,'Data Combined - all-runs'!$C:$C, C147, 'Data Combined - all-runs'!$D:$D, D147, 'Data Combined - all-runs'!$E:$E, E147)</f>
        <v>493.9361072</v>
      </c>
      <c r="M147" s="5" t="str">
        <f>AVERAGEIFS('Data Combined - all-runs'!$M:$M, 'Data Combined - all-runs'!$A:$A, A147,'Data Combined - all-runs'!$B:$B, B147,'Data Combined - all-runs'!$C:$C, C147, 'Data Combined - all-runs'!$D:$D, D147, 'Data Combined - all-runs'!$E:$E, E147)</f>
        <v>#DIV/0!</v>
      </c>
      <c r="N147" s="5">
        <f>AVERAGEIFS('Data Combined - all-runs'!$N:$N, 'Data Combined - all-runs'!$A:$A, A147,'Data Combined - all-runs'!$B:$B, B147,'Data Combined - all-runs'!$C:$C, C147, 'Data Combined - all-runs'!$D:$D, D147, 'Data Combined - all-runs'!$E:$E, E147)</f>
        <v>0</v>
      </c>
      <c r="O147" s="5">
        <f>AVERAGEIFS('Data Combined - all-runs'!$O:$O, 'Data Combined - all-runs'!$A:$A, A147,'Data Combined - all-runs'!$B:$B, B147,'Data Combined - all-runs'!$C:$C, C147, 'Data Combined - all-runs'!$D:$D, D147, 'Data Combined - all-runs'!$E:$E, E147)</f>
        <v>500</v>
      </c>
      <c r="P147" s="5">
        <f>AVERAGEIFS('Data Combined - all-runs'!$P:$P, 'Data Combined - all-runs'!$A:$A, A147,'Data Combined - all-runs'!$B:$B, B147,'Data Combined - all-runs'!$C:$C, C147, 'Data Combined - all-runs'!$D:$D, D147, 'Data Combined - all-runs'!$E:$E, E147)</f>
        <v>0</v>
      </c>
      <c r="Q147" s="5">
        <f>AVERAGEIFS('Data Combined - all-runs'!$Q:$Q, 'Data Combined - all-runs'!$A:$A, A147,'Data Combined - all-runs'!$B:$B, B147,'Data Combined - all-runs'!$C:$C, C147, 'Data Combined - all-runs'!$D:$D, D147, 'Data Combined - all-runs'!$E:$E, E147)</f>
        <v>716</v>
      </c>
      <c r="R147" s="5" t="str">
        <f>AVERAGEIFS('Data Combined - all-runs'!$R:$R, 'Data Combined - all-runs'!$A:$A, A147,'Data Combined - all-runs'!$B:$B, B147,'Data Combined - all-runs'!$C:$C, C147, 'Data Combined - all-runs'!$D:$D, D147, 'Data Combined - all-runs'!$E:$E, E147)</f>
        <v>#DIV/0!</v>
      </c>
      <c r="S147" s="5">
        <f>AVERAGEIFS('Data Combined - all-runs'!$S:$S, 'Data Combined - all-runs'!$A:$A, A147,'Data Combined - all-runs'!$B:$B, B147,'Data Combined - all-runs'!$C:$C, C147, 'Data Combined - all-runs'!$D:$D, D147, 'Data Combined - all-runs'!$E:$E, E147)</f>
        <v>0.7094972067</v>
      </c>
      <c r="T147" s="5" t="str">
        <f>AVERAGEIFS('Data Combined - all-runs'!$T:$T, 'Data Combined - all-runs'!$A:$A, A147,'Data Combined - all-runs'!$B:$B, B147,'Data Combined - all-runs'!$C:$C, C147, 'Data Combined - all-runs'!$D:$D, D147, 'Data Combined - all-runs'!$E:$E, E147)</f>
        <v>#DIV/0!</v>
      </c>
      <c r="U147" s="5" t="b">
        <f t="shared" si="1"/>
        <v>1</v>
      </c>
      <c r="V147" s="5" t="b">
        <f t="shared" si="2"/>
        <v>1</v>
      </c>
      <c r="W147" s="5" t="b">
        <f t="shared" si="3"/>
        <v>1</v>
      </c>
    </row>
    <row r="148">
      <c r="A148" s="2" t="s">
        <v>460</v>
      </c>
      <c r="B148" s="2" t="s">
        <v>22</v>
      </c>
      <c r="C148" s="2" t="s">
        <v>23</v>
      </c>
      <c r="D148" s="2" t="s">
        <v>24</v>
      </c>
      <c r="E148" s="2" t="s">
        <v>43</v>
      </c>
      <c r="H148" s="5">
        <f>AVERAGEIFS('Data Combined - all-runs'!$H:$H, 'Data Combined - all-runs'!$A:$A, A148,'Data Combined - all-runs'!$B:$B, B148,'Data Combined - all-runs'!$C:$C, C148, 'Data Combined - all-runs'!$D:$D, D148, 'Data Combined - all-runs'!$E:$E, E148)</f>
        <v>409</v>
      </c>
      <c r="I148" s="5" t="str">
        <f>AVERAGEIFS('Data Combined - all-runs'!$I:$I, 'Data Combined - all-runs'!$A:$A, A148,'Data Combined - all-runs'!$B:$B, B148,'Data Combined - all-runs'!$C:$C, C148, 'Data Combined - all-runs'!$D:$D, D148, 'Data Combined - all-runs'!$E:$E, E148)</f>
        <v>#DIV/0!</v>
      </c>
      <c r="J148" s="5">
        <f>AVERAGEIFS('Data Combined - all-runs'!$J:$J, 'Data Combined - all-runs'!$A:$A, A148,'Data Combined - all-runs'!$B:$B, B148,'Data Combined - all-runs'!$C:$C, C148, 'Data Combined - all-runs'!$D:$D, D148, 'Data Combined - all-runs'!$E:$E, E148)</f>
        <v>268</v>
      </c>
      <c r="K148" s="5">
        <f>AVERAGEIFS('Data Combined - all-runs'!$K:$K, 'Data Combined - all-runs'!$A:$A, A148,'Data Combined - all-runs'!$B:$B, B148,'Data Combined - all-runs'!$C:$C, C148, 'Data Combined - all-runs'!$D:$D, D148, 'Data Combined - all-runs'!$E:$E, E148)</f>
        <v>0.1263333333</v>
      </c>
      <c r="L148" s="5">
        <f>AVERAGEIFS('Data Combined - all-runs'!$L:$L, 'Data Combined - all-runs'!$A:$A, A148,'Data Combined - all-runs'!$B:$B, B148,'Data Combined - all-runs'!$C:$C, C148, 'Data Combined - all-runs'!$D:$D, D148, 'Data Combined - all-runs'!$E:$E, E148)</f>
        <v>631.1447613</v>
      </c>
      <c r="M148" s="5" t="str">
        <f>AVERAGEIFS('Data Combined - all-runs'!$M:$M, 'Data Combined - all-runs'!$A:$A, A148,'Data Combined - all-runs'!$B:$B, B148,'Data Combined - all-runs'!$C:$C, C148, 'Data Combined - all-runs'!$D:$D, D148, 'Data Combined - all-runs'!$E:$E, E148)</f>
        <v>#DIV/0!</v>
      </c>
      <c r="N148" s="5">
        <f>AVERAGEIFS('Data Combined - all-runs'!$N:$N, 'Data Combined - all-runs'!$A:$A, A148,'Data Combined - all-runs'!$B:$B, B148,'Data Combined - all-runs'!$C:$C, C148, 'Data Combined - all-runs'!$D:$D, D148, 'Data Combined - all-runs'!$E:$E, E148)</f>
        <v>0</v>
      </c>
      <c r="O148" s="5">
        <f>AVERAGEIFS('Data Combined - all-runs'!$O:$O, 'Data Combined - all-runs'!$A:$A, A148,'Data Combined - all-runs'!$B:$B, B148,'Data Combined - all-runs'!$C:$C, C148, 'Data Combined - all-runs'!$D:$D, D148, 'Data Combined - all-runs'!$E:$E, E148)</f>
        <v>500</v>
      </c>
      <c r="P148" s="5">
        <f>AVERAGEIFS('Data Combined - all-runs'!$P:$P, 'Data Combined - all-runs'!$A:$A, A148,'Data Combined - all-runs'!$B:$B, B148,'Data Combined - all-runs'!$C:$C, C148, 'Data Combined - all-runs'!$D:$D, D148, 'Data Combined - all-runs'!$E:$E, E148)</f>
        <v>0</v>
      </c>
      <c r="Q148" s="5">
        <f>AVERAGEIFS('Data Combined - all-runs'!$Q:$Q, 'Data Combined - all-runs'!$A:$A, A148,'Data Combined - all-runs'!$B:$B, B148,'Data Combined - all-runs'!$C:$C, C148, 'Data Combined - all-runs'!$D:$D, D148, 'Data Combined - all-runs'!$E:$E, E148)</f>
        <v>818</v>
      </c>
      <c r="R148" s="5" t="str">
        <f>AVERAGEIFS('Data Combined - all-runs'!$R:$R, 'Data Combined - all-runs'!$A:$A, A148,'Data Combined - all-runs'!$B:$B, B148,'Data Combined - all-runs'!$C:$C, C148, 'Data Combined - all-runs'!$D:$D, D148, 'Data Combined - all-runs'!$E:$E, E148)</f>
        <v>#DIV/0!</v>
      </c>
      <c r="S148" s="5">
        <f>AVERAGEIFS('Data Combined - all-runs'!$S:$S, 'Data Combined - all-runs'!$A:$A, A148,'Data Combined - all-runs'!$B:$B, B148,'Data Combined - all-runs'!$C:$C, C148, 'Data Combined - all-runs'!$D:$D, D148, 'Data Combined - all-runs'!$E:$E, E148)</f>
        <v>0.6552567237</v>
      </c>
      <c r="T148" s="5" t="str">
        <f>AVERAGEIFS('Data Combined - all-runs'!$T:$T, 'Data Combined - all-runs'!$A:$A, A148,'Data Combined - all-runs'!$B:$B, B148,'Data Combined - all-runs'!$C:$C, C148, 'Data Combined - all-runs'!$D:$D, D148, 'Data Combined - all-runs'!$E:$E, E148)</f>
        <v>#DIV/0!</v>
      </c>
      <c r="U148" s="5" t="b">
        <f t="shared" si="1"/>
        <v>1</v>
      </c>
      <c r="V148" s="5" t="b">
        <f t="shared" si="2"/>
        <v>1</v>
      </c>
      <c r="W148" s="5" t="b">
        <f t="shared" si="3"/>
        <v>1</v>
      </c>
    </row>
    <row r="149">
      <c r="A149" s="2" t="s">
        <v>460</v>
      </c>
      <c r="B149" s="2" t="s">
        <v>22</v>
      </c>
      <c r="C149" s="2" t="s">
        <v>23</v>
      </c>
      <c r="D149" s="2" t="s">
        <v>24</v>
      </c>
      <c r="E149" s="2" t="s">
        <v>34</v>
      </c>
      <c r="H149" s="5">
        <f>AVERAGEIFS('Data Combined - all-runs'!$H:$H, 'Data Combined - all-runs'!$A:$A, A149,'Data Combined - all-runs'!$B:$B, B149,'Data Combined - all-runs'!$C:$C, C149, 'Data Combined - all-runs'!$D:$D, D149, 'Data Combined - all-runs'!$E:$E, E149)</f>
        <v>424</v>
      </c>
      <c r="I149" s="5" t="str">
        <f>AVERAGEIFS('Data Combined - all-runs'!$I:$I, 'Data Combined - all-runs'!$A:$A, A149,'Data Combined - all-runs'!$B:$B, B149,'Data Combined - all-runs'!$C:$C, C149, 'Data Combined - all-runs'!$D:$D, D149, 'Data Combined - all-runs'!$E:$E, E149)</f>
        <v>#DIV/0!</v>
      </c>
      <c r="J149" s="5">
        <f>AVERAGEIFS('Data Combined - all-runs'!$J:$J, 'Data Combined - all-runs'!$A:$A, A149,'Data Combined - all-runs'!$B:$B, B149,'Data Combined - all-runs'!$C:$C, C149, 'Data Combined - all-runs'!$D:$D, D149, 'Data Combined - all-runs'!$E:$E, E149)</f>
        <v>329</v>
      </c>
      <c r="K149" s="5">
        <f>AVERAGEIFS('Data Combined - all-runs'!$K:$K, 'Data Combined - all-runs'!$A:$A, A149,'Data Combined - all-runs'!$B:$B, B149,'Data Combined - all-runs'!$C:$C, C149, 'Data Combined - all-runs'!$D:$D, D149, 'Data Combined - all-runs'!$E:$E, E149)</f>
        <v>0.178</v>
      </c>
      <c r="L149" s="5">
        <f>AVERAGEIFS('Data Combined - all-runs'!$L:$L, 'Data Combined - all-runs'!$A:$A, A149,'Data Combined - all-runs'!$B:$B, B149,'Data Combined - all-runs'!$C:$C, C149, 'Data Combined - all-runs'!$D:$D, D149, 'Data Combined - all-runs'!$E:$E, E149)</f>
        <v>674.4623733</v>
      </c>
      <c r="M149" s="5" t="str">
        <f>AVERAGEIFS('Data Combined - all-runs'!$M:$M, 'Data Combined - all-runs'!$A:$A, A149,'Data Combined - all-runs'!$B:$B, B149,'Data Combined - all-runs'!$C:$C, C149, 'Data Combined - all-runs'!$D:$D, D149, 'Data Combined - all-runs'!$E:$E, E149)</f>
        <v>#DIV/0!</v>
      </c>
      <c r="N149" s="5">
        <f>AVERAGEIFS('Data Combined - all-runs'!$N:$N, 'Data Combined - all-runs'!$A:$A, A149,'Data Combined - all-runs'!$B:$B, B149,'Data Combined - all-runs'!$C:$C, C149, 'Data Combined - all-runs'!$D:$D, D149, 'Data Combined - all-runs'!$E:$E, E149)</f>
        <v>0</v>
      </c>
      <c r="O149" s="5">
        <f>AVERAGEIFS('Data Combined - all-runs'!$O:$O, 'Data Combined - all-runs'!$A:$A, A149,'Data Combined - all-runs'!$B:$B, B149,'Data Combined - all-runs'!$C:$C, C149, 'Data Combined - all-runs'!$D:$D, D149, 'Data Combined - all-runs'!$E:$E, E149)</f>
        <v>500</v>
      </c>
      <c r="P149" s="5">
        <f>AVERAGEIFS('Data Combined - all-runs'!$P:$P, 'Data Combined - all-runs'!$A:$A, A149,'Data Combined - all-runs'!$B:$B, B149,'Data Combined - all-runs'!$C:$C, C149, 'Data Combined - all-runs'!$D:$D, D149, 'Data Combined - all-runs'!$E:$E, E149)</f>
        <v>0</v>
      </c>
      <c r="Q149" s="5">
        <f>AVERAGEIFS('Data Combined - all-runs'!$Q:$Q, 'Data Combined - all-runs'!$A:$A, A149,'Data Combined - all-runs'!$B:$B, B149,'Data Combined - all-runs'!$C:$C, C149, 'Data Combined - all-runs'!$D:$D, D149, 'Data Combined - all-runs'!$E:$E, E149)</f>
        <v>848</v>
      </c>
      <c r="R149" s="5" t="str">
        <f>AVERAGEIFS('Data Combined - all-runs'!$R:$R, 'Data Combined - all-runs'!$A:$A, A149,'Data Combined - all-runs'!$B:$B, B149,'Data Combined - all-runs'!$C:$C, C149, 'Data Combined - all-runs'!$D:$D, D149, 'Data Combined - all-runs'!$E:$E, E149)</f>
        <v>#DIV/0!</v>
      </c>
      <c r="S149" s="5">
        <f>AVERAGEIFS('Data Combined - all-runs'!$S:$S, 'Data Combined - all-runs'!$A:$A, A149,'Data Combined - all-runs'!$B:$B, B149,'Data Combined - all-runs'!$C:$C, C149, 'Data Combined - all-runs'!$D:$D, D149, 'Data Combined - all-runs'!$E:$E, E149)</f>
        <v>0.7759433962</v>
      </c>
      <c r="T149" s="5" t="str">
        <f>AVERAGEIFS('Data Combined - all-runs'!$T:$T, 'Data Combined - all-runs'!$A:$A, A149,'Data Combined - all-runs'!$B:$B, B149,'Data Combined - all-runs'!$C:$C, C149, 'Data Combined - all-runs'!$D:$D, D149, 'Data Combined - all-runs'!$E:$E, E149)</f>
        <v>#DIV/0!</v>
      </c>
      <c r="U149" s="5" t="b">
        <f t="shared" si="1"/>
        <v>1</v>
      </c>
      <c r="V149" s="5" t="b">
        <f t="shared" si="2"/>
        <v>1</v>
      </c>
      <c r="W149" s="5" t="b">
        <f t="shared" si="3"/>
        <v>1</v>
      </c>
    </row>
    <row r="150">
      <c r="A150" s="2" t="s">
        <v>460</v>
      </c>
      <c r="B150" s="2" t="s">
        <v>22</v>
      </c>
      <c r="C150" s="2" t="s">
        <v>23</v>
      </c>
      <c r="D150" s="2" t="s">
        <v>24</v>
      </c>
      <c r="E150" s="2" t="s">
        <v>47</v>
      </c>
      <c r="H150" s="5">
        <f>AVERAGEIFS('Data Combined - all-runs'!$H:$H, 'Data Combined - all-runs'!$A:$A, A150,'Data Combined - all-runs'!$B:$B, B150,'Data Combined - all-runs'!$C:$C, C150, 'Data Combined - all-runs'!$D:$D, D150, 'Data Combined - all-runs'!$E:$E, E150)</f>
        <v>689</v>
      </c>
      <c r="I150" s="5" t="str">
        <f>AVERAGEIFS('Data Combined - all-runs'!$I:$I, 'Data Combined - all-runs'!$A:$A, A150,'Data Combined - all-runs'!$B:$B, B150,'Data Combined - all-runs'!$C:$C, C150, 'Data Combined - all-runs'!$D:$D, D150, 'Data Combined - all-runs'!$E:$E, E150)</f>
        <v>#DIV/0!</v>
      </c>
      <c r="J150" s="5">
        <f>AVERAGEIFS('Data Combined - all-runs'!$J:$J, 'Data Combined - all-runs'!$A:$A, A150,'Data Combined - all-runs'!$B:$B, B150,'Data Combined - all-runs'!$C:$C, C150, 'Data Combined - all-runs'!$D:$D, D150, 'Data Combined - all-runs'!$E:$E, E150)</f>
        <v>548</v>
      </c>
      <c r="K150" s="5">
        <f>AVERAGEIFS('Data Combined - all-runs'!$K:$K, 'Data Combined - all-runs'!$A:$A, A150,'Data Combined - all-runs'!$B:$B, B150,'Data Combined - all-runs'!$C:$C, C150, 'Data Combined - all-runs'!$D:$D, D150, 'Data Combined - all-runs'!$E:$E, E150)</f>
        <v>0.1823910082</v>
      </c>
      <c r="L150" s="5">
        <f>AVERAGEIFS('Data Combined - all-runs'!$L:$L, 'Data Combined - all-runs'!$A:$A, A150,'Data Combined - all-runs'!$B:$B, B150,'Data Combined - all-runs'!$C:$C, C150, 'Data Combined - all-runs'!$D:$D, D150, 'Data Combined - all-runs'!$E:$E, E150)</f>
        <v>1301.847055</v>
      </c>
      <c r="M150" s="5">
        <f>AVERAGEIFS('Data Combined - all-runs'!$M:$M, 'Data Combined - all-runs'!$A:$A, A150,'Data Combined - all-runs'!$B:$B, B150,'Data Combined - all-runs'!$C:$C, C150, 'Data Combined - all-runs'!$D:$D, D150, 'Data Combined - all-runs'!$E:$E, E150)</f>
        <v>234</v>
      </c>
      <c r="N150" s="5">
        <f>AVERAGEIFS('Data Combined - all-runs'!$N:$N, 'Data Combined - all-runs'!$A:$A, A150,'Data Combined - all-runs'!$B:$B, B150,'Data Combined - all-runs'!$C:$C, C150, 'Data Combined - all-runs'!$D:$D, D150, 'Data Combined - all-runs'!$E:$E, E150)</f>
        <v>1</v>
      </c>
      <c r="O150" s="5">
        <f>AVERAGEIFS('Data Combined - all-runs'!$O:$O, 'Data Combined - all-runs'!$A:$A, A150,'Data Combined - all-runs'!$B:$B, B150,'Data Combined - all-runs'!$C:$C, C150, 'Data Combined - all-runs'!$D:$D, D150, 'Data Combined - all-runs'!$E:$E, E150)</f>
        <v>734</v>
      </c>
      <c r="P150" s="5">
        <f>AVERAGEIFS('Data Combined - all-runs'!$P:$P, 'Data Combined - all-runs'!$A:$A, A150,'Data Combined - all-runs'!$B:$B, B150,'Data Combined - all-runs'!$C:$C, C150, 'Data Combined - all-runs'!$D:$D, D150, 'Data Combined - all-runs'!$E:$E, E150)</f>
        <v>1.36239782</v>
      </c>
      <c r="Q150" s="5">
        <f>AVERAGEIFS('Data Combined - all-runs'!$Q:$Q, 'Data Combined - all-runs'!$A:$A, A150,'Data Combined - all-runs'!$B:$B, B150,'Data Combined - all-runs'!$C:$C, C150, 'Data Combined - all-runs'!$D:$D, D150, 'Data Combined - all-runs'!$E:$E, E150)</f>
        <v>938.6920981</v>
      </c>
      <c r="R150" s="5">
        <f>AVERAGEIFS('Data Combined - all-runs'!$R:$R, 'Data Combined - all-runs'!$A:$A, A150,'Data Combined - all-runs'!$B:$B, B150,'Data Combined - all-runs'!$C:$C, C150, 'Data Combined - all-runs'!$D:$D, D150, 'Data Combined - all-runs'!$E:$E, E150)</f>
        <v>689</v>
      </c>
      <c r="S150" s="5">
        <f>AVERAGEIFS('Data Combined - all-runs'!$S:$S, 'Data Combined - all-runs'!$A:$A, A150,'Data Combined - all-runs'!$B:$B, B150,'Data Combined - all-runs'!$C:$C, C150, 'Data Combined - all-runs'!$D:$D, D150, 'Data Combined - all-runs'!$E:$E, E150)</f>
        <v>0.7953555878</v>
      </c>
      <c r="T150" s="5" t="str">
        <f>AVERAGEIFS('Data Combined - all-runs'!$T:$T, 'Data Combined - all-runs'!$A:$A, A150,'Data Combined - all-runs'!$B:$B, B150,'Data Combined - all-runs'!$C:$C, C150, 'Data Combined - all-runs'!$D:$D, D150, 'Data Combined - all-runs'!$E:$E, E150)</f>
        <v>#DIV/0!</v>
      </c>
      <c r="U150" s="5" t="b">
        <f t="shared" si="1"/>
        <v>1</v>
      </c>
      <c r="V150" s="5" t="b">
        <f t="shared" si="2"/>
        <v>1</v>
      </c>
      <c r="W150" s="5" t="b">
        <f t="shared" si="3"/>
        <v>1</v>
      </c>
    </row>
    <row r="151">
      <c r="A151" s="2" t="s">
        <v>460</v>
      </c>
      <c r="B151" s="2" t="s">
        <v>22</v>
      </c>
      <c r="C151" s="2" t="s">
        <v>23</v>
      </c>
      <c r="D151" s="2" t="s">
        <v>24</v>
      </c>
      <c r="E151" s="2" t="s">
        <v>51</v>
      </c>
      <c r="H151" s="5">
        <f>AVERAGEIFS('Data Combined - all-runs'!$H:$H, 'Data Combined - all-runs'!$A:$A, A151,'Data Combined - all-runs'!$B:$B, B151,'Data Combined - all-runs'!$C:$C, C151, 'Data Combined - all-runs'!$D:$D, D151, 'Data Combined - all-runs'!$E:$E, E151)</f>
        <v>422</v>
      </c>
      <c r="I151" s="5" t="str">
        <f>AVERAGEIFS('Data Combined - all-runs'!$I:$I, 'Data Combined - all-runs'!$A:$A, A151,'Data Combined - all-runs'!$B:$B, B151,'Data Combined - all-runs'!$C:$C, C151, 'Data Combined - all-runs'!$D:$D, D151, 'Data Combined - all-runs'!$E:$E, E151)</f>
        <v>#DIV/0!</v>
      </c>
      <c r="J151" s="5">
        <f>AVERAGEIFS('Data Combined - all-runs'!$J:$J, 'Data Combined - all-runs'!$A:$A, A151,'Data Combined - all-runs'!$B:$B, B151,'Data Combined - all-runs'!$C:$C, C151, 'Data Combined - all-runs'!$D:$D, D151, 'Data Combined - all-runs'!$E:$E, E151)</f>
        <v>289</v>
      </c>
      <c r="K151" s="5">
        <f>AVERAGEIFS('Data Combined - all-runs'!$K:$K, 'Data Combined - all-runs'!$A:$A, A151,'Data Combined - all-runs'!$B:$B, B151,'Data Combined - all-runs'!$C:$C, C151, 'Data Combined - all-runs'!$D:$D, D151, 'Data Combined - all-runs'!$E:$E, E151)</f>
        <v>0.06775</v>
      </c>
      <c r="L151" s="5">
        <f>AVERAGEIFS('Data Combined - all-runs'!$L:$L, 'Data Combined - all-runs'!$A:$A, A151,'Data Combined - all-runs'!$B:$B, B151,'Data Combined - all-runs'!$C:$C, C151, 'Data Combined - all-runs'!$D:$D, D151, 'Data Combined - all-runs'!$E:$E, E151)</f>
        <v>740.4951675</v>
      </c>
      <c r="M151" s="5" t="str">
        <f>AVERAGEIFS('Data Combined - all-runs'!$M:$M, 'Data Combined - all-runs'!$A:$A, A151,'Data Combined - all-runs'!$B:$B, B151,'Data Combined - all-runs'!$C:$C, C151, 'Data Combined - all-runs'!$D:$D, D151, 'Data Combined - all-runs'!$E:$E, E151)</f>
        <v>#DIV/0!</v>
      </c>
      <c r="N151" s="5">
        <f>AVERAGEIFS('Data Combined - all-runs'!$N:$N, 'Data Combined - all-runs'!$A:$A, A151,'Data Combined - all-runs'!$B:$B, B151,'Data Combined - all-runs'!$C:$C, C151, 'Data Combined - all-runs'!$D:$D, D151, 'Data Combined - all-runs'!$E:$E, E151)</f>
        <v>0</v>
      </c>
      <c r="O151" s="5">
        <f>AVERAGEIFS('Data Combined - all-runs'!$O:$O, 'Data Combined - all-runs'!$A:$A, A151,'Data Combined - all-runs'!$B:$B, B151,'Data Combined - all-runs'!$C:$C, C151, 'Data Combined - all-runs'!$D:$D, D151, 'Data Combined - all-runs'!$E:$E, E151)</f>
        <v>500</v>
      </c>
      <c r="P151" s="5">
        <f>AVERAGEIFS('Data Combined - all-runs'!$P:$P, 'Data Combined - all-runs'!$A:$A, A151,'Data Combined - all-runs'!$B:$B, B151,'Data Combined - all-runs'!$C:$C, C151, 'Data Combined - all-runs'!$D:$D, D151, 'Data Combined - all-runs'!$E:$E, E151)</f>
        <v>0</v>
      </c>
      <c r="Q151" s="5">
        <f>AVERAGEIFS('Data Combined - all-runs'!$Q:$Q, 'Data Combined - all-runs'!$A:$A, A151,'Data Combined - all-runs'!$B:$B, B151,'Data Combined - all-runs'!$C:$C, C151, 'Data Combined - all-runs'!$D:$D, D151, 'Data Combined - all-runs'!$E:$E, E151)</f>
        <v>844</v>
      </c>
      <c r="R151" s="5" t="str">
        <f>AVERAGEIFS('Data Combined - all-runs'!$R:$R, 'Data Combined - all-runs'!$A:$A, A151,'Data Combined - all-runs'!$B:$B, B151,'Data Combined - all-runs'!$C:$C, C151, 'Data Combined - all-runs'!$D:$D, D151, 'Data Combined - all-runs'!$E:$E, E151)</f>
        <v>#DIV/0!</v>
      </c>
      <c r="S151" s="5">
        <f>AVERAGEIFS('Data Combined - all-runs'!$S:$S, 'Data Combined - all-runs'!$A:$A, A151,'Data Combined - all-runs'!$B:$B, B151,'Data Combined - all-runs'!$C:$C, C151, 'Data Combined - all-runs'!$D:$D, D151, 'Data Combined - all-runs'!$E:$E, E151)</f>
        <v>0.6848341232</v>
      </c>
      <c r="T151" s="5" t="str">
        <f>AVERAGEIFS('Data Combined - all-runs'!$T:$T, 'Data Combined - all-runs'!$A:$A, A151,'Data Combined - all-runs'!$B:$B, B151,'Data Combined - all-runs'!$C:$C, C151, 'Data Combined - all-runs'!$D:$D, D151, 'Data Combined - all-runs'!$E:$E, E151)</f>
        <v>#DIV/0!</v>
      </c>
      <c r="U151" s="5" t="b">
        <f t="shared" si="1"/>
        <v>1</v>
      </c>
      <c r="V151" s="5" t="b">
        <f t="shared" si="2"/>
        <v>1</v>
      </c>
      <c r="W151" s="5" t="b">
        <f t="shared" si="3"/>
        <v>1</v>
      </c>
    </row>
    <row r="152">
      <c r="A152" s="2" t="s">
        <v>460</v>
      </c>
      <c r="B152" s="2" t="s">
        <v>22</v>
      </c>
      <c r="C152" s="2" t="s">
        <v>23</v>
      </c>
      <c r="D152" s="2" t="s">
        <v>54</v>
      </c>
      <c r="E152" s="2" t="s">
        <v>25</v>
      </c>
      <c r="H152" s="5">
        <f>AVERAGEIFS('Data Combined - all-runs'!$H:$H, 'Data Combined - all-runs'!$A:$A, A152,'Data Combined - all-runs'!$B:$B, B152,'Data Combined - all-runs'!$C:$C, C152, 'Data Combined - all-runs'!$D:$D, D152, 'Data Combined - all-runs'!$E:$E, E152)</f>
        <v>295</v>
      </c>
      <c r="I152" s="5" t="str">
        <f>AVERAGEIFS('Data Combined - all-runs'!$I:$I, 'Data Combined - all-runs'!$A:$A, A152,'Data Combined - all-runs'!$B:$B, B152,'Data Combined - all-runs'!$C:$C, C152, 'Data Combined - all-runs'!$D:$D, D152, 'Data Combined - all-runs'!$E:$E, E152)</f>
        <v>#DIV/0!</v>
      </c>
      <c r="J152" s="5">
        <f>AVERAGEIFS('Data Combined - all-runs'!$J:$J, 'Data Combined - all-runs'!$A:$A, A152,'Data Combined - all-runs'!$B:$B, B152,'Data Combined - all-runs'!$C:$C, C152, 'Data Combined - all-runs'!$D:$D, D152, 'Data Combined - all-runs'!$E:$E, E152)</f>
        <v>21</v>
      </c>
      <c r="K152" s="5">
        <f>AVERAGEIFS('Data Combined - all-runs'!$K:$K, 'Data Combined - all-runs'!$A:$A, A152,'Data Combined - all-runs'!$B:$B, B152,'Data Combined - all-runs'!$C:$C, C152, 'Data Combined - all-runs'!$D:$D, D152, 'Data Combined - all-runs'!$E:$E, E152)</f>
        <v>0.182</v>
      </c>
      <c r="L152" s="5">
        <f>AVERAGEIFS('Data Combined - all-runs'!$L:$L, 'Data Combined - all-runs'!$A:$A, A152,'Data Combined - all-runs'!$B:$B, B152,'Data Combined - all-runs'!$C:$C, C152, 'Data Combined - all-runs'!$D:$D, D152, 'Data Combined - all-runs'!$E:$E, E152)</f>
        <v>1943.901736</v>
      </c>
      <c r="M152" s="5" t="str">
        <f>AVERAGEIFS('Data Combined - all-runs'!$M:$M, 'Data Combined - all-runs'!$A:$A, A152,'Data Combined - all-runs'!$B:$B, B152,'Data Combined - all-runs'!$C:$C, C152, 'Data Combined - all-runs'!$D:$D, D152, 'Data Combined - all-runs'!$E:$E, E152)</f>
        <v>#DIV/0!</v>
      </c>
      <c r="N152" s="5">
        <f>AVERAGEIFS('Data Combined - all-runs'!$N:$N, 'Data Combined - all-runs'!$A:$A, A152,'Data Combined - all-runs'!$B:$B, B152,'Data Combined - all-runs'!$C:$C, C152, 'Data Combined - all-runs'!$D:$D, D152, 'Data Combined - all-runs'!$E:$E, E152)</f>
        <v>0</v>
      </c>
      <c r="O152" s="5">
        <f>AVERAGEIFS('Data Combined - all-runs'!$O:$O, 'Data Combined - all-runs'!$A:$A, A152,'Data Combined - all-runs'!$B:$B, B152,'Data Combined - all-runs'!$C:$C, C152, 'Data Combined - all-runs'!$D:$D, D152, 'Data Combined - all-runs'!$E:$E, E152)</f>
        <v>500</v>
      </c>
      <c r="P152" s="5">
        <f>AVERAGEIFS('Data Combined - all-runs'!$P:$P, 'Data Combined - all-runs'!$A:$A, A152,'Data Combined - all-runs'!$B:$B, B152,'Data Combined - all-runs'!$C:$C, C152, 'Data Combined - all-runs'!$D:$D, D152, 'Data Combined - all-runs'!$E:$E, E152)</f>
        <v>0</v>
      </c>
      <c r="Q152" s="5">
        <f>AVERAGEIFS('Data Combined - all-runs'!$Q:$Q, 'Data Combined - all-runs'!$A:$A, A152,'Data Combined - all-runs'!$B:$B, B152,'Data Combined - all-runs'!$C:$C, C152, 'Data Combined - all-runs'!$D:$D, D152, 'Data Combined - all-runs'!$E:$E, E152)</f>
        <v>590</v>
      </c>
      <c r="R152" s="5" t="str">
        <f>AVERAGEIFS('Data Combined - all-runs'!$R:$R, 'Data Combined - all-runs'!$A:$A, A152,'Data Combined - all-runs'!$B:$B, B152,'Data Combined - all-runs'!$C:$C, C152, 'Data Combined - all-runs'!$D:$D, D152, 'Data Combined - all-runs'!$E:$E, E152)</f>
        <v>#DIV/0!</v>
      </c>
      <c r="S152" s="5">
        <f>AVERAGEIFS('Data Combined - all-runs'!$S:$S, 'Data Combined - all-runs'!$A:$A, A152,'Data Combined - all-runs'!$B:$B, B152,'Data Combined - all-runs'!$C:$C, C152, 'Data Combined - all-runs'!$D:$D, D152, 'Data Combined - all-runs'!$E:$E, E152)</f>
        <v>0.07118644068</v>
      </c>
      <c r="T152" s="5" t="str">
        <f>AVERAGEIFS('Data Combined - all-runs'!$T:$T, 'Data Combined - all-runs'!$A:$A, A152,'Data Combined - all-runs'!$B:$B, B152,'Data Combined - all-runs'!$C:$C, C152, 'Data Combined - all-runs'!$D:$D, D152, 'Data Combined - all-runs'!$E:$E, E152)</f>
        <v>#DIV/0!</v>
      </c>
      <c r="U152" s="5" t="b">
        <f t="shared" si="1"/>
        <v>1</v>
      </c>
      <c r="V152" s="5" t="b">
        <f t="shared" si="2"/>
        <v>1</v>
      </c>
      <c r="W152" s="5" t="b">
        <f t="shared" si="3"/>
        <v>1</v>
      </c>
    </row>
    <row r="153">
      <c r="A153" s="2" t="s">
        <v>460</v>
      </c>
      <c r="B153" s="2" t="s">
        <v>22</v>
      </c>
      <c r="C153" s="2" t="s">
        <v>23</v>
      </c>
      <c r="D153" s="2" t="s">
        <v>54</v>
      </c>
      <c r="E153" s="2" t="s">
        <v>39</v>
      </c>
      <c r="H153" s="5">
        <f>AVERAGEIFS('Data Combined - all-runs'!$H:$H, 'Data Combined - all-runs'!$A:$A, A153,'Data Combined - all-runs'!$B:$B, B153,'Data Combined - all-runs'!$C:$C, C153, 'Data Combined - all-runs'!$D:$D, D153, 'Data Combined - all-runs'!$E:$E, E153)</f>
        <v>271</v>
      </c>
      <c r="I153" s="5" t="str">
        <f>AVERAGEIFS('Data Combined - all-runs'!$I:$I, 'Data Combined - all-runs'!$A:$A, A153,'Data Combined - all-runs'!$B:$B, B153,'Data Combined - all-runs'!$C:$C, C153, 'Data Combined - all-runs'!$D:$D, D153, 'Data Combined - all-runs'!$E:$E, E153)</f>
        <v>#DIV/0!</v>
      </c>
      <c r="J153" s="5">
        <f>AVERAGEIFS('Data Combined - all-runs'!$J:$J, 'Data Combined - all-runs'!$A:$A, A153,'Data Combined - all-runs'!$B:$B, B153,'Data Combined - all-runs'!$C:$C, C153, 'Data Combined - all-runs'!$D:$D, D153, 'Data Combined - all-runs'!$E:$E, E153)</f>
        <v>56</v>
      </c>
      <c r="K153" s="5">
        <f>AVERAGEIFS('Data Combined - all-runs'!$K:$K, 'Data Combined - all-runs'!$A:$A, A153,'Data Combined - all-runs'!$B:$B, B153,'Data Combined - all-runs'!$C:$C, C153, 'Data Combined - all-runs'!$D:$D, D153, 'Data Combined - all-runs'!$E:$E, E153)</f>
        <v>0.129</v>
      </c>
      <c r="L153" s="5">
        <f>AVERAGEIFS('Data Combined - all-runs'!$L:$L, 'Data Combined - all-runs'!$A:$A, A153,'Data Combined - all-runs'!$B:$B, B153,'Data Combined - all-runs'!$C:$C, C153, 'Data Combined - all-runs'!$D:$D, D153, 'Data Combined - all-runs'!$E:$E, E153)</f>
        <v>1654.156174</v>
      </c>
      <c r="M153" s="5" t="str">
        <f>AVERAGEIFS('Data Combined - all-runs'!$M:$M, 'Data Combined - all-runs'!$A:$A, A153,'Data Combined - all-runs'!$B:$B, B153,'Data Combined - all-runs'!$C:$C, C153, 'Data Combined - all-runs'!$D:$D, D153, 'Data Combined - all-runs'!$E:$E, E153)</f>
        <v>#DIV/0!</v>
      </c>
      <c r="N153" s="5">
        <f>AVERAGEIFS('Data Combined - all-runs'!$N:$N, 'Data Combined - all-runs'!$A:$A, A153,'Data Combined - all-runs'!$B:$B, B153,'Data Combined - all-runs'!$C:$C, C153, 'Data Combined - all-runs'!$D:$D, D153, 'Data Combined - all-runs'!$E:$E, E153)</f>
        <v>0</v>
      </c>
      <c r="O153" s="5">
        <f>AVERAGEIFS('Data Combined - all-runs'!$O:$O, 'Data Combined - all-runs'!$A:$A, A153,'Data Combined - all-runs'!$B:$B, B153,'Data Combined - all-runs'!$C:$C, C153, 'Data Combined - all-runs'!$D:$D, D153, 'Data Combined - all-runs'!$E:$E, E153)</f>
        <v>500</v>
      </c>
      <c r="P153" s="5">
        <f>AVERAGEIFS('Data Combined - all-runs'!$P:$P, 'Data Combined - all-runs'!$A:$A, A153,'Data Combined - all-runs'!$B:$B, B153,'Data Combined - all-runs'!$C:$C, C153, 'Data Combined - all-runs'!$D:$D, D153, 'Data Combined - all-runs'!$E:$E, E153)</f>
        <v>0</v>
      </c>
      <c r="Q153" s="5">
        <f>AVERAGEIFS('Data Combined - all-runs'!$Q:$Q, 'Data Combined - all-runs'!$A:$A, A153,'Data Combined - all-runs'!$B:$B, B153,'Data Combined - all-runs'!$C:$C, C153, 'Data Combined - all-runs'!$D:$D, D153, 'Data Combined - all-runs'!$E:$E, E153)</f>
        <v>542</v>
      </c>
      <c r="R153" s="5" t="str">
        <f>AVERAGEIFS('Data Combined - all-runs'!$R:$R, 'Data Combined - all-runs'!$A:$A, A153,'Data Combined - all-runs'!$B:$B, B153,'Data Combined - all-runs'!$C:$C, C153, 'Data Combined - all-runs'!$D:$D, D153, 'Data Combined - all-runs'!$E:$E, E153)</f>
        <v>#DIV/0!</v>
      </c>
      <c r="S153" s="5">
        <f>AVERAGEIFS('Data Combined - all-runs'!$S:$S, 'Data Combined - all-runs'!$A:$A, A153,'Data Combined - all-runs'!$B:$B, B153,'Data Combined - all-runs'!$C:$C, C153, 'Data Combined - all-runs'!$D:$D, D153, 'Data Combined - all-runs'!$E:$E, E153)</f>
        <v>0.2066420664</v>
      </c>
      <c r="T153" s="5" t="str">
        <f>AVERAGEIFS('Data Combined - all-runs'!$T:$T, 'Data Combined - all-runs'!$A:$A, A153,'Data Combined - all-runs'!$B:$B, B153,'Data Combined - all-runs'!$C:$C, C153, 'Data Combined - all-runs'!$D:$D, D153, 'Data Combined - all-runs'!$E:$E, E153)</f>
        <v>#DIV/0!</v>
      </c>
      <c r="U153" s="5" t="b">
        <f t="shared" si="1"/>
        <v>1</v>
      </c>
      <c r="V153" s="5" t="b">
        <f t="shared" si="2"/>
        <v>1</v>
      </c>
      <c r="W153" s="5" t="b">
        <f t="shared" si="3"/>
        <v>1</v>
      </c>
    </row>
    <row r="154">
      <c r="A154" s="2" t="s">
        <v>460</v>
      </c>
      <c r="B154" s="2" t="s">
        <v>22</v>
      </c>
      <c r="C154" s="2" t="s">
        <v>23</v>
      </c>
      <c r="D154" s="2" t="s">
        <v>54</v>
      </c>
      <c r="E154" s="2" t="s">
        <v>43</v>
      </c>
      <c r="H154" s="5">
        <f>AVERAGEIFS('Data Combined - all-runs'!$H:$H, 'Data Combined - all-runs'!$A:$A, A154,'Data Combined - all-runs'!$B:$B, B154,'Data Combined - all-runs'!$C:$C, C154, 'Data Combined - all-runs'!$D:$D, D154, 'Data Combined - all-runs'!$E:$E, E154)</f>
        <v>1758</v>
      </c>
      <c r="I154" s="5" t="str">
        <f>AVERAGEIFS('Data Combined - all-runs'!$I:$I, 'Data Combined - all-runs'!$A:$A, A154,'Data Combined - all-runs'!$B:$B, B154,'Data Combined - all-runs'!$C:$C, C154, 'Data Combined - all-runs'!$D:$D, D154, 'Data Combined - all-runs'!$E:$E, E154)</f>
        <v>#DIV/0!</v>
      </c>
      <c r="J154" s="5">
        <f>AVERAGEIFS('Data Combined - all-runs'!$J:$J, 'Data Combined - all-runs'!$A:$A, A154,'Data Combined - all-runs'!$B:$B, B154,'Data Combined - all-runs'!$C:$C, C154, 'Data Combined - all-runs'!$D:$D, D154, 'Data Combined - all-runs'!$E:$E, E154)</f>
        <v>671</v>
      </c>
      <c r="K154" s="5">
        <f>AVERAGEIFS('Data Combined - all-runs'!$K:$K, 'Data Combined - all-runs'!$A:$A, A154,'Data Combined - all-runs'!$B:$B, B154,'Data Combined - all-runs'!$C:$C, C154, 'Data Combined - all-runs'!$D:$D, D154, 'Data Combined - all-runs'!$E:$E, E154)</f>
        <v>0.1477238694</v>
      </c>
      <c r="L154" s="5">
        <f>AVERAGEIFS('Data Combined - all-runs'!$L:$L, 'Data Combined - all-runs'!$A:$A, A154,'Data Combined - all-runs'!$B:$B, B154,'Data Combined - all-runs'!$C:$C, C154, 'Data Combined - all-runs'!$D:$D, D154, 'Data Combined - all-runs'!$E:$E, E154)</f>
        <v>11450.05888</v>
      </c>
      <c r="M154" s="5">
        <f>AVERAGEIFS('Data Combined - all-runs'!$M:$M, 'Data Combined - all-runs'!$A:$A, A154,'Data Combined - all-runs'!$B:$B, B154,'Data Combined - all-runs'!$C:$C, C154, 'Data Combined - all-runs'!$D:$D, D154, 'Data Combined - all-runs'!$E:$E, E154)</f>
        <v>164</v>
      </c>
      <c r="N154" s="5">
        <f>AVERAGEIFS('Data Combined - all-runs'!$N:$N, 'Data Combined - all-runs'!$A:$A, A154,'Data Combined - all-runs'!$B:$B, B154,'Data Combined - all-runs'!$C:$C, C154, 'Data Combined - all-runs'!$D:$D, D154, 'Data Combined - all-runs'!$E:$E, E154)</f>
        <v>20</v>
      </c>
      <c r="O154" s="5">
        <f>AVERAGEIFS('Data Combined - all-runs'!$O:$O, 'Data Combined - all-runs'!$A:$A, A154,'Data Combined - all-runs'!$B:$B, B154,'Data Combined - all-runs'!$C:$C, C154, 'Data Combined - all-runs'!$D:$D, D154, 'Data Combined - all-runs'!$E:$E, E154)</f>
        <v>2226</v>
      </c>
      <c r="P154" s="5">
        <f>AVERAGEIFS('Data Combined - all-runs'!$P:$P, 'Data Combined - all-runs'!$A:$A, A154,'Data Combined - all-runs'!$B:$B, B154,'Data Combined - all-runs'!$C:$C, C154, 'Data Combined - all-runs'!$D:$D, D154, 'Data Combined - all-runs'!$E:$E, E154)</f>
        <v>8.984725966</v>
      </c>
      <c r="Q154" s="5">
        <f>AVERAGEIFS('Data Combined - all-runs'!$Q:$Q, 'Data Combined - all-runs'!$A:$A, A154,'Data Combined - all-runs'!$B:$B, B154,'Data Combined - all-runs'!$C:$C, C154, 'Data Combined - all-runs'!$D:$D, D154, 'Data Combined - all-runs'!$E:$E, E154)</f>
        <v>789.7574124</v>
      </c>
      <c r="R154" s="5">
        <f>AVERAGEIFS('Data Combined - all-runs'!$R:$R, 'Data Combined - all-runs'!$A:$A, A154,'Data Combined - all-runs'!$B:$B, B154,'Data Combined - all-runs'!$C:$C, C154, 'Data Combined - all-runs'!$D:$D, D154, 'Data Combined - all-runs'!$E:$E, E154)</f>
        <v>87.9</v>
      </c>
      <c r="S154" s="5">
        <f>AVERAGEIFS('Data Combined - all-runs'!$S:$S, 'Data Combined - all-runs'!$A:$A, A154,'Data Combined - all-runs'!$B:$B, B154,'Data Combined - all-runs'!$C:$C, C154, 'Data Combined - all-runs'!$D:$D, D154, 'Data Combined - all-runs'!$E:$E, E154)</f>
        <v>0.3816837315</v>
      </c>
      <c r="T154" s="5" t="str">
        <f>AVERAGEIFS('Data Combined - all-runs'!$T:$T, 'Data Combined - all-runs'!$A:$A, A154,'Data Combined - all-runs'!$B:$B, B154,'Data Combined - all-runs'!$C:$C, C154, 'Data Combined - all-runs'!$D:$D, D154, 'Data Combined - all-runs'!$E:$E, E154)</f>
        <v>#DIV/0!</v>
      </c>
      <c r="U154" s="5" t="b">
        <f t="shared" si="1"/>
        <v>1</v>
      </c>
      <c r="V154" s="5" t="b">
        <f t="shared" si="2"/>
        <v>1</v>
      </c>
      <c r="W154" s="5" t="b">
        <f t="shared" si="3"/>
        <v>1</v>
      </c>
    </row>
    <row r="155">
      <c r="A155" s="2" t="s">
        <v>460</v>
      </c>
      <c r="B155" s="2" t="s">
        <v>22</v>
      </c>
      <c r="C155" s="2" t="s">
        <v>23</v>
      </c>
      <c r="D155" s="2" t="s">
        <v>54</v>
      </c>
      <c r="E155" s="2" t="s">
        <v>34</v>
      </c>
      <c r="H155" s="5">
        <f>AVERAGEIFS('Data Combined - all-runs'!$H:$H, 'Data Combined - all-runs'!$A:$A, A155,'Data Combined - all-runs'!$B:$B, B155,'Data Combined - all-runs'!$C:$C, C155, 'Data Combined - all-runs'!$D:$D, D155, 'Data Combined - all-runs'!$E:$E, E155)</f>
        <v>445</v>
      </c>
      <c r="I155" s="5" t="str">
        <f>AVERAGEIFS('Data Combined - all-runs'!$I:$I, 'Data Combined - all-runs'!$A:$A, A155,'Data Combined - all-runs'!$B:$B, B155,'Data Combined - all-runs'!$C:$C, C155, 'Data Combined - all-runs'!$D:$D, D155, 'Data Combined - all-runs'!$E:$E, E155)</f>
        <v>#DIV/0!</v>
      </c>
      <c r="J155" s="5">
        <f>AVERAGEIFS('Data Combined - all-runs'!$J:$J, 'Data Combined - all-runs'!$A:$A, A155,'Data Combined - all-runs'!$B:$B, B155,'Data Combined - all-runs'!$C:$C, C155, 'Data Combined - all-runs'!$D:$D, D155, 'Data Combined - all-runs'!$E:$E, E155)</f>
        <v>475</v>
      </c>
      <c r="K155" s="5">
        <f>AVERAGEIFS('Data Combined - all-runs'!$K:$K, 'Data Combined - all-runs'!$A:$A, A155,'Data Combined - all-runs'!$B:$B, B155,'Data Combined - all-runs'!$C:$C, C155, 'Data Combined - all-runs'!$D:$D, D155, 'Data Combined - all-runs'!$E:$E, E155)</f>
        <v>0.3516666667</v>
      </c>
      <c r="L155" s="5">
        <f>AVERAGEIFS('Data Combined - all-runs'!$L:$L, 'Data Combined - all-runs'!$A:$A, A155,'Data Combined - all-runs'!$B:$B, B155,'Data Combined - all-runs'!$C:$C, C155, 'Data Combined - all-runs'!$D:$D, D155, 'Data Combined - all-runs'!$E:$E, E155)</f>
        <v>3837.248838</v>
      </c>
      <c r="M155" s="5" t="str">
        <f>AVERAGEIFS('Data Combined - all-runs'!$M:$M, 'Data Combined - all-runs'!$A:$A, A155,'Data Combined - all-runs'!$B:$B, B155,'Data Combined - all-runs'!$C:$C, C155, 'Data Combined - all-runs'!$D:$D, D155, 'Data Combined - all-runs'!$E:$E, E155)</f>
        <v>#DIV/0!</v>
      </c>
      <c r="N155" s="5">
        <f>AVERAGEIFS('Data Combined - all-runs'!$N:$N, 'Data Combined - all-runs'!$A:$A, A155,'Data Combined - all-runs'!$B:$B, B155,'Data Combined - all-runs'!$C:$C, C155, 'Data Combined - all-runs'!$D:$D, D155, 'Data Combined - all-runs'!$E:$E, E155)</f>
        <v>0</v>
      </c>
      <c r="O155" s="5">
        <f>AVERAGEIFS('Data Combined - all-runs'!$O:$O, 'Data Combined - all-runs'!$A:$A, A155,'Data Combined - all-runs'!$B:$B, B155,'Data Combined - all-runs'!$C:$C, C155, 'Data Combined - all-runs'!$D:$D, D155, 'Data Combined - all-runs'!$E:$E, E155)</f>
        <v>500</v>
      </c>
      <c r="P155" s="5">
        <f>AVERAGEIFS('Data Combined - all-runs'!$P:$P, 'Data Combined - all-runs'!$A:$A, A155,'Data Combined - all-runs'!$B:$B, B155,'Data Combined - all-runs'!$C:$C, C155, 'Data Combined - all-runs'!$D:$D, D155, 'Data Combined - all-runs'!$E:$E, E155)</f>
        <v>0</v>
      </c>
      <c r="Q155" s="5">
        <f>AVERAGEIFS('Data Combined - all-runs'!$Q:$Q, 'Data Combined - all-runs'!$A:$A, A155,'Data Combined - all-runs'!$B:$B, B155,'Data Combined - all-runs'!$C:$C, C155, 'Data Combined - all-runs'!$D:$D, D155, 'Data Combined - all-runs'!$E:$E, E155)</f>
        <v>890</v>
      </c>
      <c r="R155" s="5" t="str">
        <f>AVERAGEIFS('Data Combined - all-runs'!$R:$R, 'Data Combined - all-runs'!$A:$A, A155,'Data Combined - all-runs'!$B:$B, B155,'Data Combined - all-runs'!$C:$C, C155, 'Data Combined - all-runs'!$D:$D, D155, 'Data Combined - all-runs'!$E:$E, E155)</f>
        <v>#DIV/0!</v>
      </c>
      <c r="S155" s="5">
        <f>AVERAGEIFS('Data Combined - all-runs'!$S:$S, 'Data Combined - all-runs'!$A:$A, A155,'Data Combined - all-runs'!$B:$B, B155,'Data Combined - all-runs'!$C:$C, C155, 'Data Combined - all-runs'!$D:$D, D155, 'Data Combined - all-runs'!$E:$E, E155)</f>
        <v>1.06741573</v>
      </c>
      <c r="T155" s="5" t="str">
        <f>AVERAGEIFS('Data Combined - all-runs'!$T:$T, 'Data Combined - all-runs'!$A:$A, A155,'Data Combined - all-runs'!$B:$B, B155,'Data Combined - all-runs'!$C:$C, C155, 'Data Combined - all-runs'!$D:$D, D155, 'Data Combined - all-runs'!$E:$E, E155)</f>
        <v>#DIV/0!</v>
      </c>
      <c r="U155" s="5" t="b">
        <f t="shared" si="1"/>
        <v>1</v>
      </c>
      <c r="V155" s="5" t="b">
        <f t="shared" si="2"/>
        <v>1</v>
      </c>
      <c r="W155" s="5" t="b">
        <f t="shared" si="3"/>
        <v>1</v>
      </c>
    </row>
    <row r="156">
      <c r="A156" s="2" t="s">
        <v>460</v>
      </c>
      <c r="B156" s="2" t="s">
        <v>22</v>
      </c>
      <c r="C156" s="2" t="s">
        <v>23</v>
      </c>
      <c r="D156" s="2" t="s">
        <v>54</v>
      </c>
      <c r="E156" s="2" t="s">
        <v>47</v>
      </c>
      <c r="H156" s="5">
        <f>AVERAGEIFS('Data Combined - all-runs'!$H:$H, 'Data Combined - all-runs'!$A:$A, A156,'Data Combined - all-runs'!$B:$B, B156,'Data Combined - all-runs'!$C:$C, C156, 'Data Combined - all-runs'!$D:$D, D156, 'Data Combined - all-runs'!$E:$E, E156)</f>
        <v>1989</v>
      </c>
      <c r="I156" s="5" t="str">
        <f>AVERAGEIFS('Data Combined - all-runs'!$I:$I, 'Data Combined - all-runs'!$A:$A, A156,'Data Combined - all-runs'!$B:$B, B156,'Data Combined - all-runs'!$C:$C, C156, 'Data Combined - all-runs'!$D:$D, D156, 'Data Combined - all-runs'!$E:$E, E156)</f>
        <v>#DIV/0!</v>
      </c>
      <c r="J156" s="5">
        <f>AVERAGEIFS('Data Combined - all-runs'!$J:$J, 'Data Combined - all-runs'!$A:$A, A156,'Data Combined - all-runs'!$B:$B, B156,'Data Combined - all-runs'!$C:$C, C156, 'Data Combined - all-runs'!$D:$D, D156, 'Data Combined - all-runs'!$E:$E, E156)</f>
        <v>1437</v>
      </c>
      <c r="K156" s="5">
        <f>AVERAGEIFS('Data Combined - all-runs'!$K:$K, 'Data Combined - all-runs'!$A:$A, A156,'Data Combined - all-runs'!$B:$B, B156,'Data Combined - all-runs'!$C:$C, C156, 'Data Combined - all-runs'!$D:$D, D156, 'Data Combined - all-runs'!$E:$E, E156)</f>
        <v>0.1748995984</v>
      </c>
      <c r="L156" s="5">
        <f>AVERAGEIFS('Data Combined - all-runs'!$L:$L, 'Data Combined - all-runs'!$A:$A, A156,'Data Combined - all-runs'!$B:$B, B156,'Data Combined - all-runs'!$C:$C, C156, 'Data Combined - all-runs'!$D:$D, D156, 'Data Combined - all-runs'!$E:$E, E156)</f>
        <v>15927.14839</v>
      </c>
      <c r="M156" s="5">
        <f>AVERAGEIFS('Data Combined - all-runs'!$M:$M, 'Data Combined - all-runs'!$A:$A, A156,'Data Combined - all-runs'!$B:$B, B156,'Data Combined - all-runs'!$C:$C, C156, 'Data Combined - all-runs'!$D:$D, D156, 'Data Combined - all-runs'!$E:$E, E156)</f>
        <v>109</v>
      </c>
      <c r="N156" s="5">
        <f>AVERAGEIFS('Data Combined - all-runs'!$N:$N, 'Data Combined - all-runs'!$A:$A, A156,'Data Combined - all-runs'!$B:$B, B156,'Data Combined - all-runs'!$C:$C, C156, 'Data Combined - all-runs'!$D:$D, D156, 'Data Combined - all-runs'!$E:$E, E156)</f>
        <v>20</v>
      </c>
      <c r="O156" s="5">
        <f>AVERAGEIFS('Data Combined - all-runs'!$O:$O, 'Data Combined - all-runs'!$A:$A, A156,'Data Combined - all-runs'!$B:$B, B156,'Data Combined - all-runs'!$C:$C, C156, 'Data Combined - all-runs'!$D:$D, D156, 'Data Combined - all-runs'!$E:$E, E156)</f>
        <v>2490</v>
      </c>
      <c r="P156" s="5">
        <f>AVERAGEIFS('Data Combined - all-runs'!$P:$P, 'Data Combined - all-runs'!$A:$A, A156,'Data Combined - all-runs'!$B:$B, B156,'Data Combined - all-runs'!$C:$C, C156, 'Data Combined - all-runs'!$D:$D, D156, 'Data Combined - all-runs'!$E:$E, E156)</f>
        <v>8.032128514</v>
      </c>
      <c r="Q156" s="5">
        <f>AVERAGEIFS('Data Combined - all-runs'!$Q:$Q, 'Data Combined - all-runs'!$A:$A, A156,'Data Combined - all-runs'!$B:$B, B156,'Data Combined - all-runs'!$C:$C, C156, 'Data Combined - all-runs'!$D:$D, D156, 'Data Combined - all-runs'!$E:$E, E156)</f>
        <v>798.7951807</v>
      </c>
      <c r="R156" s="5">
        <f>AVERAGEIFS('Data Combined - all-runs'!$R:$R, 'Data Combined - all-runs'!$A:$A, A156,'Data Combined - all-runs'!$B:$B, B156,'Data Combined - all-runs'!$C:$C, C156, 'Data Combined - all-runs'!$D:$D, D156, 'Data Combined - all-runs'!$E:$E, E156)</f>
        <v>99.45</v>
      </c>
      <c r="S156" s="5">
        <f>AVERAGEIFS('Data Combined - all-runs'!$S:$S, 'Data Combined - all-runs'!$A:$A, A156,'Data Combined - all-runs'!$B:$B, B156,'Data Combined - all-runs'!$C:$C, C156, 'Data Combined - all-runs'!$D:$D, D156, 'Data Combined - all-runs'!$E:$E, E156)</f>
        <v>0.7224736048</v>
      </c>
      <c r="T156" s="5" t="str">
        <f>AVERAGEIFS('Data Combined - all-runs'!$T:$T, 'Data Combined - all-runs'!$A:$A, A156,'Data Combined - all-runs'!$B:$B, B156,'Data Combined - all-runs'!$C:$C, C156, 'Data Combined - all-runs'!$D:$D, D156, 'Data Combined - all-runs'!$E:$E, E156)</f>
        <v>#DIV/0!</v>
      </c>
      <c r="U156" s="5" t="b">
        <f t="shared" si="1"/>
        <v>1</v>
      </c>
      <c r="V156" s="5" t="b">
        <f t="shared" si="2"/>
        <v>1</v>
      </c>
      <c r="W156" s="5" t="b">
        <f t="shared" si="3"/>
        <v>1</v>
      </c>
    </row>
    <row r="157">
      <c r="A157" s="2" t="s">
        <v>460</v>
      </c>
      <c r="B157" s="2" t="s">
        <v>22</v>
      </c>
      <c r="C157" s="2" t="s">
        <v>23</v>
      </c>
      <c r="D157" s="2" t="s">
        <v>54</v>
      </c>
      <c r="E157" s="2" t="s">
        <v>51</v>
      </c>
      <c r="H157" s="5">
        <f>AVERAGEIFS('Data Combined - all-runs'!$H:$H, 'Data Combined - all-runs'!$A:$A, A157,'Data Combined - all-runs'!$B:$B, B157,'Data Combined - all-runs'!$C:$C, C157, 'Data Combined - all-runs'!$D:$D, D157, 'Data Combined - all-runs'!$E:$E, E157)</f>
        <v>1299</v>
      </c>
      <c r="I157" s="5" t="str">
        <f>AVERAGEIFS('Data Combined - all-runs'!$I:$I, 'Data Combined - all-runs'!$A:$A, A157,'Data Combined - all-runs'!$B:$B, B157,'Data Combined - all-runs'!$C:$C, C157, 'Data Combined - all-runs'!$D:$D, D157, 'Data Combined - all-runs'!$E:$E, E157)</f>
        <v>#DIV/0!</v>
      </c>
      <c r="J157" s="5">
        <f>AVERAGEIFS('Data Combined - all-runs'!$J:$J, 'Data Combined - all-runs'!$A:$A, A157,'Data Combined - all-runs'!$B:$B, B157,'Data Combined - all-runs'!$C:$C, C157, 'Data Combined - all-runs'!$D:$D, D157, 'Data Combined - all-runs'!$E:$E, E157)</f>
        <v>405</v>
      </c>
      <c r="K157" s="5">
        <f>AVERAGEIFS('Data Combined - all-runs'!$K:$K, 'Data Combined - all-runs'!$A:$A, A157,'Data Combined - all-runs'!$B:$B, B157,'Data Combined - all-runs'!$C:$C, C157, 'Data Combined - all-runs'!$D:$D, D157, 'Data Combined - all-runs'!$E:$E, E157)</f>
        <v>0.1040169405</v>
      </c>
      <c r="L157" s="5">
        <f>AVERAGEIFS('Data Combined - all-runs'!$L:$L, 'Data Combined - all-runs'!$A:$A, A157,'Data Combined - all-runs'!$B:$B, B157,'Data Combined - all-runs'!$C:$C, C157, 'Data Combined - all-runs'!$D:$D, D157, 'Data Combined - all-runs'!$E:$E, E157)</f>
        <v>8700.796215</v>
      </c>
      <c r="M157" s="5">
        <f>AVERAGEIFS('Data Combined - all-runs'!$M:$M, 'Data Combined - all-runs'!$A:$A, A157,'Data Combined - all-runs'!$B:$B, B157,'Data Combined - all-runs'!$C:$C, C157, 'Data Combined - all-runs'!$D:$D, D157, 'Data Combined - all-runs'!$E:$E, E157)</f>
        <v>32</v>
      </c>
      <c r="N157" s="5">
        <f>AVERAGEIFS('Data Combined - all-runs'!$N:$N, 'Data Combined - all-runs'!$A:$A, A157,'Data Combined - all-runs'!$B:$B, B157,'Data Combined - all-runs'!$C:$C, C157, 'Data Combined - all-runs'!$D:$D, D157, 'Data Combined - all-runs'!$E:$E, E157)</f>
        <v>20</v>
      </c>
      <c r="O157" s="5">
        <f>AVERAGEIFS('Data Combined - all-runs'!$O:$O, 'Data Combined - all-runs'!$A:$A, A157,'Data Combined - all-runs'!$B:$B, B157,'Data Combined - all-runs'!$C:$C, C157, 'Data Combined - all-runs'!$D:$D, D157, 'Data Combined - all-runs'!$E:$E, E157)</f>
        <v>1948</v>
      </c>
      <c r="P157" s="5">
        <f>AVERAGEIFS('Data Combined - all-runs'!$P:$P, 'Data Combined - all-runs'!$A:$A, A157,'Data Combined - all-runs'!$B:$B, B157,'Data Combined - all-runs'!$C:$C, C157, 'Data Combined - all-runs'!$D:$D, D157, 'Data Combined - all-runs'!$E:$E, E157)</f>
        <v>10.26694045</v>
      </c>
      <c r="Q157" s="5">
        <f>AVERAGEIFS('Data Combined - all-runs'!$Q:$Q, 'Data Combined - all-runs'!$A:$A, A157,'Data Combined - all-runs'!$B:$B, B157,'Data Combined - all-runs'!$C:$C, C157, 'Data Combined - all-runs'!$D:$D, D157, 'Data Combined - all-runs'!$E:$E, E157)</f>
        <v>666.8377823</v>
      </c>
      <c r="R157" s="5">
        <f>AVERAGEIFS('Data Combined - all-runs'!$R:$R, 'Data Combined - all-runs'!$A:$A, A157,'Data Combined - all-runs'!$B:$B, B157,'Data Combined - all-runs'!$C:$C, C157, 'Data Combined - all-runs'!$D:$D, D157, 'Data Combined - all-runs'!$E:$E, E157)</f>
        <v>64.95</v>
      </c>
      <c r="S157" s="5">
        <f>AVERAGEIFS('Data Combined - all-runs'!$S:$S, 'Data Combined - all-runs'!$A:$A, A157,'Data Combined - all-runs'!$B:$B, B157,'Data Combined - all-runs'!$C:$C, C157, 'Data Combined - all-runs'!$D:$D, D157, 'Data Combined - all-runs'!$E:$E, E157)</f>
        <v>0.311778291</v>
      </c>
      <c r="T157" s="5" t="str">
        <f>AVERAGEIFS('Data Combined - all-runs'!$T:$T, 'Data Combined - all-runs'!$A:$A, A157,'Data Combined - all-runs'!$B:$B, B157,'Data Combined - all-runs'!$C:$C, C157, 'Data Combined - all-runs'!$D:$D, D157, 'Data Combined - all-runs'!$E:$E, E157)</f>
        <v>#DIV/0!</v>
      </c>
      <c r="U157" s="5" t="b">
        <f t="shared" si="1"/>
        <v>1</v>
      </c>
      <c r="V157" s="5" t="b">
        <f t="shared" si="2"/>
        <v>1</v>
      </c>
      <c r="W157" s="5" t="b">
        <f t="shared" si="3"/>
        <v>1</v>
      </c>
    </row>
    <row r="158">
      <c r="A158" s="2" t="s">
        <v>460</v>
      </c>
      <c r="B158" s="2" t="s">
        <v>22</v>
      </c>
      <c r="C158" s="2" t="s">
        <v>23</v>
      </c>
      <c r="D158" s="2" t="s">
        <v>72</v>
      </c>
      <c r="E158" s="2" t="s">
        <v>25</v>
      </c>
      <c r="H158" s="5">
        <f>AVERAGEIFS('Data Combined - all-runs'!$H:$H, 'Data Combined - all-runs'!$A:$A, A158,'Data Combined - all-runs'!$B:$B, B158,'Data Combined - all-runs'!$C:$C, C158, 'Data Combined - all-runs'!$D:$D, D158, 'Data Combined - all-runs'!$E:$E, E158)</f>
        <v>1706</v>
      </c>
      <c r="I158" s="5" t="str">
        <f>AVERAGEIFS('Data Combined - all-runs'!$I:$I, 'Data Combined - all-runs'!$A:$A, A158,'Data Combined - all-runs'!$B:$B, B158,'Data Combined - all-runs'!$C:$C, C158, 'Data Combined - all-runs'!$D:$D, D158, 'Data Combined - all-runs'!$E:$E, E158)</f>
        <v>#DIV/0!</v>
      </c>
      <c r="J158" s="5">
        <f>AVERAGEIFS('Data Combined - all-runs'!$J:$J, 'Data Combined - all-runs'!$A:$A, A158,'Data Combined - all-runs'!$B:$B, B158,'Data Combined - all-runs'!$C:$C, C158, 'Data Combined - all-runs'!$D:$D, D158, 'Data Combined - all-runs'!$E:$E, E158)</f>
        <v>512</v>
      </c>
      <c r="K158" s="5">
        <f>AVERAGEIFS('Data Combined - all-runs'!$K:$K, 'Data Combined - all-runs'!$A:$A, A158,'Data Combined - all-runs'!$B:$B, B158,'Data Combined - all-runs'!$C:$C, C158, 'Data Combined - all-runs'!$D:$D, D158, 'Data Combined - all-runs'!$E:$E, E158)</f>
        <v>0.2025595763</v>
      </c>
      <c r="L158" s="5">
        <f>AVERAGEIFS('Data Combined - all-runs'!$L:$L, 'Data Combined - all-runs'!$A:$A, A158,'Data Combined - all-runs'!$B:$B, B158,'Data Combined - all-runs'!$C:$C, C158, 'Data Combined - all-runs'!$D:$D, D158, 'Data Combined - all-runs'!$E:$E, E158)</f>
        <v>4942.234317</v>
      </c>
      <c r="M158" s="5">
        <f>AVERAGEIFS('Data Combined - all-runs'!$M:$M, 'Data Combined - all-runs'!$A:$A, A158,'Data Combined - all-runs'!$B:$B, B158,'Data Combined - all-runs'!$C:$C, C158, 'Data Combined - all-runs'!$D:$D, D158, 'Data Combined - all-runs'!$E:$E, E158)</f>
        <v>326</v>
      </c>
      <c r="N158" s="5">
        <f>AVERAGEIFS('Data Combined - all-runs'!$N:$N, 'Data Combined - all-runs'!$A:$A, A158,'Data Combined - all-runs'!$B:$B, B158,'Data Combined - all-runs'!$C:$C, C158, 'Data Combined - all-runs'!$D:$D, D158, 'Data Combined - all-runs'!$E:$E, E158)</f>
        <v>11</v>
      </c>
      <c r="O158" s="5">
        <f>AVERAGEIFS('Data Combined - all-runs'!$O:$O, 'Data Combined - all-runs'!$A:$A, A158,'Data Combined - all-runs'!$B:$B, B158,'Data Combined - all-runs'!$C:$C, C158, 'Data Combined - all-runs'!$D:$D, D158, 'Data Combined - all-runs'!$E:$E, E158)</f>
        <v>3399</v>
      </c>
      <c r="P158" s="5">
        <f>AVERAGEIFS('Data Combined - all-runs'!$P:$P, 'Data Combined - all-runs'!$A:$A, A158,'Data Combined - all-runs'!$B:$B, B158,'Data Combined - all-runs'!$C:$C, C158, 'Data Combined - all-runs'!$D:$D, D158, 'Data Combined - all-runs'!$E:$E, E158)</f>
        <v>3.236245955</v>
      </c>
      <c r="Q158" s="5">
        <f>AVERAGEIFS('Data Combined - all-runs'!$Q:$Q, 'Data Combined - all-runs'!$A:$A, A158,'Data Combined - all-runs'!$B:$B, B158,'Data Combined - all-runs'!$C:$C, C158, 'Data Combined - all-runs'!$D:$D, D158, 'Data Combined - all-runs'!$E:$E, E158)</f>
        <v>501.9123272</v>
      </c>
      <c r="R158" s="5">
        <f>AVERAGEIFS('Data Combined - all-runs'!$R:$R, 'Data Combined - all-runs'!$A:$A, A158,'Data Combined - all-runs'!$B:$B, B158,'Data Combined - all-runs'!$C:$C, C158, 'Data Combined - all-runs'!$D:$D, D158, 'Data Combined - all-runs'!$E:$E, E158)</f>
        <v>155.0909091</v>
      </c>
      <c r="S158" s="5">
        <f>AVERAGEIFS('Data Combined - all-runs'!$S:$S, 'Data Combined - all-runs'!$A:$A, A158,'Data Combined - all-runs'!$B:$B, B158,'Data Combined - all-runs'!$C:$C, C158, 'Data Combined - all-runs'!$D:$D, D158, 'Data Combined - all-runs'!$E:$E, E158)</f>
        <v>0.3001172333</v>
      </c>
      <c r="T158" s="5" t="str">
        <f>AVERAGEIFS('Data Combined - all-runs'!$T:$T, 'Data Combined - all-runs'!$A:$A, A158,'Data Combined - all-runs'!$B:$B, B158,'Data Combined - all-runs'!$C:$C, C158, 'Data Combined - all-runs'!$D:$D, D158, 'Data Combined - all-runs'!$E:$E, E158)</f>
        <v>#DIV/0!</v>
      </c>
      <c r="U158" s="5" t="b">
        <f t="shared" si="1"/>
        <v>1</v>
      </c>
      <c r="V158" s="5" t="b">
        <f t="shared" si="2"/>
        <v>1</v>
      </c>
      <c r="W158" s="5" t="b">
        <f t="shared" si="3"/>
        <v>1</v>
      </c>
    </row>
    <row r="159">
      <c r="A159" s="2" t="s">
        <v>460</v>
      </c>
      <c r="B159" s="2" t="s">
        <v>22</v>
      </c>
      <c r="C159" s="2" t="s">
        <v>23</v>
      </c>
      <c r="D159" s="2" t="s">
        <v>72</v>
      </c>
      <c r="E159" s="2" t="s">
        <v>39</v>
      </c>
      <c r="H159" s="5">
        <f>AVERAGEIFS('Data Combined - all-runs'!$H:$H, 'Data Combined - all-runs'!$A:$A, A159,'Data Combined - all-runs'!$B:$B, B159,'Data Combined - all-runs'!$C:$C, C159, 'Data Combined - all-runs'!$D:$D, D159, 'Data Combined - all-runs'!$E:$E, E159)</f>
        <v>829</v>
      </c>
      <c r="I159" s="5" t="str">
        <f>AVERAGEIFS('Data Combined - all-runs'!$I:$I, 'Data Combined - all-runs'!$A:$A, A159,'Data Combined - all-runs'!$B:$B, B159,'Data Combined - all-runs'!$C:$C, C159, 'Data Combined - all-runs'!$D:$D, D159, 'Data Combined - all-runs'!$E:$E, E159)</f>
        <v>#DIV/0!</v>
      </c>
      <c r="J159" s="5">
        <f>AVERAGEIFS('Data Combined - all-runs'!$J:$J, 'Data Combined - all-runs'!$A:$A, A159,'Data Combined - all-runs'!$B:$B, B159,'Data Combined - all-runs'!$C:$C, C159, 'Data Combined - all-runs'!$D:$D, D159, 'Data Combined - all-runs'!$E:$E, E159)</f>
        <v>639</v>
      </c>
      <c r="K159" s="5">
        <f>AVERAGEIFS('Data Combined - all-runs'!$K:$K, 'Data Combined - all-runs'!$A:$A, A159,'Data Combined - all-runs'!$B:$B, B159,'Data Combined - all-runs'!$C:$C, C159, 'Data Combined - all-runs'!$D:$D, D159, 'Data Combined - all-runs'!$E:$E, E159)</f>
        <v>0.2002561913</v>
      </c>
      <c r="L159" s="5">
        <f>AVERAGEIFS('Data Combined - all-runs'!$L:$L, 'Data Combined - all-runs'!$A:$A, A159,'Data Combined - all-runs'!$B:$B, B159,'Data Combined - all-runs'!$C:$C, C159, 'Data Combined - all-runs'!$D:$D, D159, 'Data Combined - all-runs'!$E:$E, E159)</f>
        <v>2931.732248</v>
      </c>
      <c r="M159" s="5">
        <f>AVERAGEIFS('Data Combined - all-runs'!$M:$M, 'Data Combined - all-runs'!$A:$A, A159,'Data Combined - all-runs'!$B:$B, B159,'Data Combined - all-runs'!$C:$C, C159, 'Data Combined - all-runs'!$D:$D, D159, 'Data Combined - all-runs'!$E:$E, E159)</f>
        <v>91</v>
      </c>
      <c r="N159" s="5">
        <f>AVERAGEIFS('Data Combined - all-runs'!$N:$N, 'Data Combined - all-runs'!$A:$A, A159,'Data Combined - all-runs'!$B:$B, B159,'Data Combined - all-runs'!$C:$C, C159, 'Data Combined - all-runs'!$D:$D, D159, 'Data Combined - all-runs'!$E:$E, E159)</f>
        <v>4</v>
      </c>
      <c r="O159" s="5">
        <f>AVERAGEIFS('Data Combined - all-runs'!$O:$O, 'Data Combined - all-runs'!$A:$A, A159,'Data Combined - all-runs'!$B:$B, B159,'Data Combined - all-runs'!$C:$C, C159, 'Data Combined - all-runs'!$D:$D, D159, 'Data Combined - all-runs'!$E:$E, E159)</f>
        <v>1171</v>
      </c>
      <c r="P159" s="5">
        <f>AVERAGEIFS('Data Combined - all-runs'!$P:$P, 'Data Combined - all-runs'!$A:$A, A159,'Data Combined - all-runs'!$B:$B, B159,'Data Combined - all-runs'!$C:$C, C159, 'Data Combined - all-runs'!$D:$D, D159, 'Data Combined - all-runs'!$E:$E, E159)</f>
        <v>3.41588386</v>
      </c>
      <c r="Q159" s="5">
        <f>AVERAGEIFS('Data Combined - all-runs'!$Q:$Q, 'Data Combined - all-runs'!$A:$A, A159,'Data Combined - all-runs'!$B:$B, B159,'Data Combined - all-runs'!$C:$C, C159, 'Data Combined - all-runs'!$D:$D, D159, 'Data Combined - all-runs'!$E:$E, E159)</f>
        <v>707.94193</v>
      </c>
      <c r="R159" s="5">
        <f>AVERAGEIFS('Data Combined - all-runs'!$R:$R, 'Data Combined - all-runs'!$A:$A, A159,'Data Combined - all-runs'!$B:$B, B159,'Data Combined - all-runs'!$C:$C, C159, 'Data Combined - all-runs'!$D:$D, D159, 'Data Combined - all-runs'!$E:$E, E159)</f>
        <v>207.25</v>
      </c>
      <c r="S159" s="5">
        <f>AVERAGEIFS('Data Combined - all-runs'!$S:$S, 'Data Combined - all-runs'!$A:$A, A159,'Data Combined - all-runs'!$B:$B, B159,'Data Combined - all-runs'!$C:$C, C159, 'Data Combined - all-runs'!$D:$D, D159, 'Data Combined - all-runs'!$E:$E, E159)</f>
        <v>0.7708082027</v>
      </c>
      <c r="T159" s="5" t="str">
        <f>AVERAGEIFS('Data Combined - all-runs'!$T:$T, 'Data Combined - all-runs'!$A:$A, A159,'Data Combined - all-runs'!$B:$B, B159,'Data Combined - all-runs'!$C:$C, C159, 'Data Combined - all-runs'!$D:$D, D159, 'Data Combined - all-runs'!$E:$E, E159)</f>
        <v>#DIV/0!</v>
      </c>
      <c r="U159" s="5" t="b">
        <f t="shared" si="1"/>
        <v>1</v>
      </c>
      <c r="V159" s="5" t="b">
        <f t="shared" si="2"/>
        <v>1</v>
      </c>
      <c r="W159" s="5" t="b">
        <f t="shared" si="3"/>
        <v>1</v>
      </c>
    </row>
    <row r="160">
      <c r="A160" s="2" t="s">
        <v>460</v>
      </c>
      <c r="B160" s="2" t="s">
        <v>22</v>
      </c>
      <c r="C160" s="2" t="s">
        <v>23</v>
      </c>
      <c r="D160" s="2" t="s">
        <v>72</v>
      </c>
      <c r="E160" s="2" t="s">
        <v>43</v>
      </c>
      <c r="H160" s="5">
        <f>AVERAGEIFS('Data Combined - all-runs'!$H:$H, 'Data Combined - all-runs'!$A:$A, A160,'Data Combined - all-runs'!$B:$B, B160,'Data Combined - all-runs'!$C:$C, C160, 'Data Combined - all-runs'!$D:$D, D160, 'Data Combined - all-runs'!$E:$E, E160)</f>
        <v>693</v>
      </c>
      <c r="I160" s="5" t="str">
        <f>AVERAGEIFS('Data Combined - all-runs'!$I:$I, 'Data Combined - all-runs'!$A:$A, A160,'Data Combined - all-runs'!$B:$B, B160,'Data Combined - all-runs'!$C:$C, C160, 'Data Combined - all-runs'!$D:$D, D160, 'Data Combined - all-runs'!$E:$E, E160)</f>
        <v>#DIV/0!</v>
      </c>
      <c r="J160" s="5">
        <f>AVERAGEIFS('Data Combined - all-runs'!$J:$J, 'Data Combined - all-runs'!$A:$A, A160,'Data Combined - all-runs'!$B:$B, B160,'Data Combined - all-runs'!$C:$C, C160, 'Data Combined - all-runs'!$D:$D, D160, 'Data Combined - all-runs'!$E:$E, E160)</f>
        <v>371</v>
      </c>
      <c r="K160" s="5">
        <f>AVERAGEIFS('Data Combined - all-runs'!$K:$K, 'Data Combined - all-runs'!$A:$A, A160,'Data Combined - all-runs'!$B:$B, B160,'Data Combined - all-runs'!$C:$C, C160, 'Data Combined - all-runs'!$D:$D, D160, 'Data Combined - all-runs'!$E:$E, E160)</f>
        <v>0.1344435418</v>
      </c>
      <c r="L160" s="5">
        <f>AVERAGEIFS('Data Combined - all-runs'!$L:$L, 'Data Combined - all-runs'!$A:$A, A160,'Data Combined - all-runs'!$B:$B, B160,'Data Combined - all-runs'!$C:$C, C160, 'Data Combined - all-runs'!$D:$D, D160, 'Data Combined - all-runs'!$E:$E, E160)</f>
        <v>2874.896646</v>
      </c>
      <c r="M160" s="5">
        <f>AVERAGEIFS('Data Combined - all-runs'!$M:$M, 'Data Combined - all-runs'!$A:$A, A160,'Data Combined - all-runs'!$B:$B, B160,'Data Combined - all-runs'!$C:$C, C160, 'Data Combined - all-runs'!$D:$D, D160, 'Data Combined - all-runs'!$E:$E, E160)</f>
        <v>58</v>
      </c>
      <c r="N160" s="5">
        <f>AVERAGEIFS('Data Combined - all-runs'!$N:$N, 'Data Combined - all-runs'!$A:$A, A160,'Data Combined - all-runs'!$B:$B, B160,'Data Combined - all-runs'!$C:$C, C160, 'Data Combined - all-runs'!$D:$D, D160, 'Data Combined - all-runs'!$E:$E, E160)</f>
        <v>7</v>
      </c>
      <c r="O160" s="5">
        <f>AVERAGEIFS('Data Combined - all-runs'!$O:$O, 'Data Combined - all-runs'!$A:$A, A160,'Data Combined - all-runs'!$B:$B, B160,'Data Combined - all-runs'!$C:$C, C160, 'Data Combined - all-runs'!$D:$D, D160, 'Data Combined - all-runs'!$E:$E, E160)</f>
        <v>1231</v>
      </c>
      <c r="P160" s="5">
        <f>AVERAGEIFS('Data Combined - all-runs'!$P:$P, 'Data Combined - all-runs'!$A:$A, A160,'Data Combined - all-runs'!$B:$B, B160,'Data Combined - all-runs'!$C:$C, C160, 'Data Combined - all-runs'!$D:$D, D160, 'Data Combined - all-runs'!$E:$E, E160)</f>
        <v>5.686433794</v>
      </c>
      <c r="Q160" s="5">
        <f>AVERAGEIFS('Data Combined - all-runs'!$Q:$Q, 'Data Combined - all-runs'!$A:$A, A160,'Data Combined - all-runs'!$B:$B, B160,'Data Combined - all-runs'!$C:$C, C160, 'Data Combined - all-runs'!$D:$D, D160, 'Data Combined - all-runs'!$E:$E, E160)</f>
        <v>562.9569456</v>
      </c>
      <c r="R160" s="5">
        <f>AVERAGEIFS('Data Combined - all-runs'!$R:$R, 'Data Combined - all-runs'!$A:$A, A160,'Data Combined - all-runs'!$B:$B, B160,'Data Combined - all-runs'!$C:$C, C160, 'Data Combined - all-runs'!$D:$D, D160, 'Data Combined - all-runs'!$E:$E, E160)</f>
        <v>99</v>
      </c>
      <c r="S160" s="5">
        <f>AVERAGEIFS('Data Combined - all-runs'!$S:$S, 'Data Combined - all-runs'!$A:$A, A160,'Data Combined - all-runs'!$B:$B, B160,'Data Combined - all-runs'!$C:$C, C160, 'Data Combined - all-runs'!$D:$D, D160, 'Data Combined - all-runs'!$E:$E, E160)</f>
        <v>0.5353535354</v>
      </c>
      <c r="T160" s="5" t="str">
        <f>AVERAGEIFS('Data Combined - all-runs'!$T:$T, 'Data Combined - all-runs'!$A:$A, A160,'Data Combined - all-runs'!$B:$B, B160,'Data Combined - all-runs'!$C:$C, C160, 'Data Combined - all-runs'!$D:$D, D160, 'Data Combined - all-runs'!$E:$E, E160)</f>
        <v>#DIV/0!</v>
      </c>
      <c r="U160" s="5" t="b">
        <f t="shared" si="1"/>
        <v>1</v>
      </c>
      <c r="V160" s="5" t="b">
        <f t="shared" si="2"/>
        <v>1</v>
      </c>
      <c r="W160" s="5" t="b">
        <f t="shared" si="3"/>
        <v>1</v>
      </c>
    </row>
    <row r="161">
      <c r="A161" s="2" t="s">
        <v>460</v>
      </c>
      <c r="B161" s="2" t="s">
        <v>22</v>
      </c>
      <c r="C161" s="2" t="s">
        <v>23</v>
      </c>
      <c r="D161" s="2" t="s">
        <v>72</v>
      </c>
      <c r="E161" s="2" t="s">
        <v>34</v>
      </c>
      <c r="H161" s="5">
        <f>AVERAGEIFS('Data Combined - all-runs'!$H:$H, 'Data Combined - all-runs'!$A:$A, A161,'Data Combined - all-runs'!$B:$B, B161,'Data Combined - all-runs'!$C:$C, C161, 'Data Combined - all-runs'!$D:$D, D161, 'Data Combined - all-runs'!$E:$E, E161)</f>
        <v>1652</v>
      </c>
      <c r="I161" s="5" t="str">
        <f>AVERAGEIFS('Data Combined - all-runs'!$I:$I, 'Data Combined - all-runs'!$A:$A, A161,'Data Combined - all-runs'!$B:$B, B161,'Data Combined - all-runs'!$C:$C, C161, 'Data Combined - all-runs'!$D:$D, D161, 'Data Combined - all-runs'!$E:$E, E161)</f>
        <v>#DIV/0!</v>
      </c>
      <c r="J161" s="5">
        <f>AVERAGEIFS('Data Combined - all-runs'!$J:$J, 'Data Combined - all-runs'!$A:$A, A161,'Data Combined - all-runs'!$B:$B, B161,'Data Combined - all-runs'!$C:$C, C161, 'Data Combined - all-runs'!$D:$D, D161, 'Data Combined - all-runs'!$E:$E, E161)</f>
        <v>1229</v>
      </c>
      <c r="K161" s="5">
        <f>AVERAGEIFS('Data Combined - all-runs'!$K:$K, 'Data Combined - all-runs'!$A:$A, A161,'Data Combined - all-runs'!$B:$B, B161,'Data Combined - all-runs'!$C:$C, C161, 'Data Combined - all-runs'!$D:$D, D161, 'Data Combined - all-runs'!$E:$E, E161)</f>
        <v>0.2759259259</v>
      </c>
      <c r="L161" s="5">
        <f>AVERAGEIFS('Data Combined - all-runs'!$L:$L, 'Data Combined - all-runs'!$A:$A, A161,'Data Combined - all-runs'!$B:$B, B161,'Data Combined - all-runs'!$C:$C, C161, 'Data Combined - all-runs'!$D:$D, D161, 'Data Combined - all-runs'!$E:$E, E161)</f>
        <v>8512.425513</v>
      </c>
      <c r="M161" s="5">
        <f>AVERAGEIFS('Data Combined - all-runs'!$M:$M, 'Data Combined - all-runs'!$A:$A, A161,'Data Combined - all-runs'!$B:$B, B161,'Data Combined - all-runs'!$C:$C, C161, 'Data Combined - all-runs'!$D:$D, D161, 'Data Combined - all-runs'!$E:$E, E161)</f>
        <v>84</v>
      </c>
      <c r="N161" s="5">
        <f>AVERAGEIFS('Data Combined - all-runs'!$N:$N, 'Data Combined - all-runs'!$A:$A, A161,'Data Combined - all-runs'!$B:$B, B161,'Data Combined - all-runs'!$C:$C, C161, 'Data Combined - all-runs'!$D:$D, D161, 'Data Combined - all-runs'!$E:$E, E161)</f>
        <v>7</v>
      </c>
      <c r="O161" s="5">
        <f>AVERAGEIFS('Data Combined - all-runs'!$O:$O, 'Data Combined - all-runs'!$A:$A, A161,'Data Combined - all-runs'!$B:$B, B161,'Data Combined - all-runs'!$C:$C, C161, 'Data Combined - all-runs'!$D:$D, D161, 'Data Combined - all-runs'!$E:$E, E161)</f>
        <v>1890</v>
      </c>
      <c r="P161" s="5">
        <f>AVERAGEIFS('Data Combined - all-runs'!$P:$P, 'Data Combined - all-runs'!$A:$A, A161,'Data Combined - all-runs'!$B:$B, B161,'Data Combined - all-runs'!$C:$C, C161, 'Data Combined - all-runs'!$D:$D, D161, 'Data Combined - all-runs'!$E:$E, E161)</f>
        <v>3.703703704</v>
      </c>
      <c r="Q161" s="5">
        <f>AVERAGEIFS('Data Combined - all-runs'!$Q:$Q, 'Data Combined - all-runs'!$A:$A, A161,'Data Combined - all-runs'!$B:$B, B161,'Data Combined - all-runs'!$C:$C, C161, 'Data Combined - all-runs'!$D:$D, D161, 'Data Combined - all-runs'!$E:$E, E161)</f>
        <v>874.0740741</v>
      </c>
      <c r="R161" s="5">
        <f>AVERAGEIFS('Data Combined - all-runs'!$R:$R, 'Data Combined - all-runs'!$A:$A, A161,'Data Combined - all-runs'!$B:$B, B161,'Data Combined - all-runs'!$C:$C, C161, 'Data Combined - all-runs'!$D:$D, D161, 'Data Combined - all-runs'!$E:$E, E161)</f>
        <v>236</v>
      </c>
      <c r="S161" s="5">
        <f>AVERAGEIFS('Data Combined - all-runs'!$S:$S, 'Data Combined - all-runs'!$A:$A, A161,'Data Combined - all-runs'!$B:$B, B161,'Data Combined - all-runs'!$C:$C, C161, 'Data Combined - all-runs'!$D:$D, D161, 'Data Combined - all-runs'!$E:$E, E161)</f>
        <v>0.7439467312</v>
      </c>
      <c r="T161" s="5" t="str">
        <f>AVERAGEIFS('Data Combined - all-runs'!$T:$T, 'Data Combined - all-runs'!$A:$A, A161,'Data Combined - all-runs'!$B:$B, B161,'Data Combined - all-runs'!$C:$C, C161, 'Data Combined - all-runs'!$D:$D, D161, 'Data Combined - all-runs'!$E:$E, E161)</f>
        <v>#DIV/0!</v>
      </c>
      <c r="U161" s="5" t="b">
        <f t="shared" si="1"/>
        <v>1</v>
      </c>
      <c r="V161" s="5" t="b">
        <f t="shared" si="2"/>
        <v>1</v>
      </c>
      <c r="W161" s="5" t="b">
        <f t="shared" si="3"/>
        <v>1</v>
      </c>
    </row>
    <row r="162">
      <c r="A162" s="2" t="s">
        <v>460</v>
      </c>
      <c r="B162" s="2" t="s">
        <v>22</v>
      </c>
      <c r="C162" s="2" t="s">
        <v>23</v>
      </c>
      <c r="D162" s="2" t="s">
        <v>72</v>
      </c>
      <c r="E162" s="2" t="s">
        <v>47</v>
      </c>
      <c r="H162" s="5">
        <f>AVERAGEIFS('Data Combined - all-runs'!$H:$H, 'Data Combined - all-runs'!$A:$A, A162,'Data Combined - all-runs'!$B:$B, B162,'Data Combined - all-runs'!$C:$C, C162, 'Data Combined - all-runs'!$D:$D, D162, 'Data Combined - all-runs'!$E:$E, E162)</f>
        <v>1205</v>
      </c>
      <c r="I162" s="5" t="str">
        <f>AVERAGEIFS('Data Combined - all-runs'!$I:$I, 'Data Combined - all-runs'!$A:$A, A162,'Data Combined - all-runs'!$B:$B, B162,'Data Combined - all-runs'!$C:$C, C162, 'Data Combined - all-runs'!$D:$D, D162, 'Data Combined - all-runs'!$E:$E, E162)</f>
        <v>#DIV/0!</v>
      </c>
      <c r="J162" s="5">
        <f>AVERAGEIFS('Data Combined - all-runs'!$J:$J, 'Data Combined - all-runs'!$A:$A, A162,'Data Combined - all-runs'!$B:$B, B162,'Data Combined - all-runs'!$C:$C, C162, 'Data Combined - all-runs'!$D:$D, D162, 'Data Combined - all-runs'!$E:$E, E162)</f>
        <v>779</v>
      </c>
      <c r="K162" s="5">
        <f>AVERAGEIFS('Data Combined - all-runs'!$K:$K, 'Data Combined - all-runs'!$A:$A, A162,'Data Combined - all-runs'!$B:$B, B162,'Data Combined - all-runs'!$C:$C, C162, 'Data Combined - all-runs'!$D:$D, D162, 'Data Combined - all-runs'!$E:$E, E162)</f>
        <v>0.2028223113</v>
      </c>
      <c r="L162" s="5">
        <f>AVERAGEIFS('Data Combined - all-runs'!$L:$L, 'Data Combined - all-runs'!$A:$A, A162,'Data Combined - all-runs'!$B:$B, B162,'Data Combined - all-runs'!$C:$C, C162, 'Data Combined - all-runs'!$D:$D, D162, 'Data Combined - all-runs'!$E:$E, E162)</f>
        <v>6418.670017</v>
      </c>
      <c r="M162" s="5">
        <f>AVERAGEIFS('Data Combined - all-runs'!$M:$M, 'Data Combined - all-runs'!$A:$A, A162,'Data Combined - all-runs'!$B:$B, B162,'Data Combined - all-runs'!$C:$C, C162, 'Data Combined - all-runs'!$D:$D, D162, 'Data Combined - all-runs'!$E:$E, E162)</f>
        <v>169</v>
      </c>
      <c r="N162" s="5">
        <f>AVERAGEIFS('Data Combined - all-runs'!$N:$N, 'Data Combined - all-runs'!$A:$A, A162,'Data Combined - all-runs'!$B:$B, B162,'Data Combined - all-runs'!$C:$C, C162, 'Data Combined - all-runs'!$D:$D, D162, 'Data Combined - all-runs'!$E:$E, E162)</f>
        <v>7</v>
      </c>
      <c r="O162" s="5">
        <f>AVERAGEIFS('Data Combined - all-runs'!$O:$O, 'Data Combined - all-runs'!$A:$A, A162,'Data Combined - all-runs'!$B:$B, B162,'Data Combined - all-runs'!$C:$C, C162, 'Data Combined - all-runs'!$D:$D, D162, 'Data Combined - all-runs'!$E:$E, E162)</f>
        <v>1497</v>
      </c>
      <c r="P162" s="5">
        <f>AVERAGEIFS('Data Combined - all-runs'!$P:$P, 'Data Combined - all-runs'!$A:$A, A162,'Data Combined - all-runs'!$B:$B, B162,'Data Combined - all-runs'!$C:$C, C162, 'Data Combined - all-runs'!$D:$D, D162, 'Data Combined - all-runs'!$E:$E, E162)</f>
        <v>4.676018704</v>
      </c>
      <c r="Q162" s="5">
        <f>AVERAGEIFS('Data Combined - all-runs'!$Q:$Q, 'Data Combined - all-runs'!$A:$A, A162,'Data Combined - all-runs'!$B:$B, B162,'Data Combined - all-runs'!$C:$C, C162, 'Data Combined - all-runs'!$D:$D, D162, 'Data Combined - all-runs'!$E:$E, E162)</f>
        <v>804.9432198</v>
      </c>
      <c r="R162" s="5">
        <f>AVERAGEIFS('Data Combined - all-runs'!$R:$R, 'Data Combined - all-runs'!$A:$A, A162,'Data Combined - all-runs'!$B:$B, B162,'Data Combined - all-runs'!$C:$C, C162, 'Data Combined - all-runs'!$D:$D, D162, 'Data Combined - all-runs'!$E:$E, E162)</f>
        <v>172.1428571</v>
      </c>
      <c r="S162" s="5">
        <f>AVERAGEIFS('Data Combined - all-runs'!$S:$S, 'Data Combined - all-runs'!$A:$A, A162,'Data Combined - all-runs'!$B:$B, B162,'Data Combined - all-runs'!$C:$C, C162, 'Data Combined - all-runs'!$D:$D, D162, 'Data Combined - all-runs'!$E:$E, E162)</f>
        <v>0.646473029</v>
      </c>
      <c r="T162" s="5" t="str">
        <f>AVERAGEIFS('Data Combined - all-runs'!$T:$T, 'Data Combined - all-runs'!$A:$A, A162,'Data Combined - all-runs'!$B:$B, B162,'Data Combined - all-runs'!$C:$C, C162, 'Data Combined - all-runs'!$D:$D, D162, 'Data Combined - all-runs'!$E:$E, E162)</f>
        <v>#DIV/0!</v>
      </c>
      <c r="U162" s="5" t="b">
        <f t="shared" si="1"/>
        <v>1</v>
      </c>
      <c r="V162" s="5" t="b">
        <f t="shared" si="2"/>
        <v>1</v>
      </c>
      <c r="W162" s="5" t="b">
        <f t="shared" si="3"/>
        <v>1</v>
      </c>
    </row>
    <row r="163">
      <c r="A163" s="2" t="s">
        <v>460</v>
      </c>
      <c r="B163" s="2" t="s">
        <v>22</v>
      </c>
      <c r="C163" s="2" t="s">
        <v>23</v>
      </c>
      <c r="D163" s="2" t="s">
        <v>72</v>
      </c>
      <c r="E163" s="2" t="s">
        <v>51</v>
      </c>
      <c r="H163" s="5">
        <f>AVERAGEIFS('Data Combined - all-runs'!$H:$H, 'Data Combined - all-runs'!$A:$A, A163,'Data Combined - all-runs'!$B:$B, B163,'Data Combined - all-runs'!$C:$C, C163, 'Data Combined - all-runs'!$D:$D, D163, 'Data Combined - all-runs'!$E:$E, E163)</f>
        <v>1232</v>
      </c>
      <c r="I163" s="5" t="str">
        <f>AVERAGEIFS('Data Combined - all-runs'!$I:$I, 'Data Combined - all-runs'!$A:$A, A163,'Data Combined - all-runs'!$B:$B, B163,'Data Combined - all-runs'!$C:$C, C163, 'Data Combined - all-runs'!$D:$D, D163, 'Data Combined - all-runs'!$E:$E, E163)</f>
        <v>#DIV/0!</v>
      </c>
      <c r="J163" s="5">
        <f>AVERAGEIFS('Data Combined - all-runs'!$J:$J, 'Data Combined - all-runs'!$A:$A, A163,'Data Combined - all-runs'!$B:$B, B163,'Data Combined - all-runs'!$C:$C, C163, 'Data Combined - all-runs'!$D:$D, D163, 'Data Combined - all-runs'!$E:$E, E163)</f>
        <v>775</v>
      </c>
      <c r="K163" s="5">
        <f>AVERAGEIFS('Data Combined - all-runs'!$K:$K, 'Data Combined - all-runs'!$A:$A, A163,'Data Combined - all-runs'!$B:$B, B163,'Data Combined - all-runs'!$C:$C, C163, 'Data Combined - all-runs'!$D:$D, D163, 'Data Combined - all-runs'!$E:$E, E163)</f>
        <v>0.09755291005</v>
      </c>
      <c r="L163" s="5">
        <f>AVERAGEIFS('Data Combined - all-runs'!$L:$L, 'Data Combined - all-runs'!$A:$A, A163,'Data Combined - all-runs'!$B:$B, B163,'Data Combined - all-runs'!$C:$C, C163, 'Data Combined - all-runs'!$D:$D, D163, 'Data Combined - all-runs'!$E:$E, E163)</f>
        <v>5538.483813</v>
      </c>
      <c r="M163" s="5">
        <f>AVERAGEIFS('Data Combined - all-runs'!$M:$M, 'Data Combined - all-runs'!$A:$A, A163,'Data Combined - all-runs'!$B:$B, B163,'Data Combined - all-runs'!$C:$C, C163, 'Data Combined - all-runs'!$D:$D, D163, 'Data Combined - all-runs'!$E:$E, E163)</f>
        <v>65</v>
      </c>
      <c r="N163" s="5">
        <f>AVERAGEIFS('Data Combined - all-runs'!$N:$N, 'Data Combined - all-runs'!$A:$A, A163,'Data Combined - all-runs'!$B:$B, B163,'Data Combined - all-runs'!$C:$C, C163, 'Data Combined - all-runs'!$D:$D, D163, 'Data Combined - all-runs'!$E:$E, E163)</f>
        <v>13</v>
      </c>
      <c r="O163" s="5">
        <f>AVERAGEIFS('Data Combined - all-runs'!$O:$O, 'Data Combined - all-runs'!$A:$A, A163,'Data Combined - all-runs'!$B:$B, B163,'Data Combined - all-runs'!$C:$C, C163, 'Data Combined - all-runs'!$D:$D, D163, 'Data Combined - all-runs'!$E:$E, E163)</f>
        <v>2268</v>
      </c>
      <c r="P163" s="5">
        <f>AVERAGEIFS('Data Combined - all-runs'!$P:$P, 'Data Combined - all-runs'!$A:$A, A163,'Data Combined - all-runs'!$B:$B, B163,'Data Combined - all-runs'!$C:$C, C163, 'Data Combined - all-runs'!$D:$D, D163, 'Data Combined - all-runs'!$E:$E, E163)</f>
        <v>5.731922399</v>
      </c>
      <c r="Q163" s="5">
        <f>AVERAGEIFS('Data Combined - all-runs'!$Q:$Q, 'Data Combined - all-runs'!$A:$A, A163,'Data Combined - all-runs'!$B:$B, B163,'Data Combined - all-runs'!$C:$C, C163, 'Data Combined - all-runs'!$D:$D, D163, 'Data Combined - all-runs'!$E:$E, E163)</f>
        <v>543.2098765</v>
      </c>
      <c r="R163" s="5">
        <f>AVERAGEIFS('Data Combined - all-runs'!$R:$R, 'Data Combined - all-runs'!$A:$A, A163,'Data Combined - all-runs'!$B:$B, B163,'Data Combined - all-runs'!$C:$C, C163, 'Data Combined - all-runs'!$D:$D, D163, 'Data Combined - all-runs'!$E:$E, E163)</f>
        <v>94.76923077</v>
      </c>
      <c r="S163" s="5">
        <f>AVERAGEIFS('Data Combined - all-runs'!$S:$S, 'Data Combined - all-runs'!$A:$A, A163,'Data Combined - all-runs'!$B:$B, B163,'Data Combined - all-runs'!$C:$C, C163, 'Data Combined - all-runs'!$D:$D, D163, 'Data Combined - all-runs'!$E:$E, E163)</f>
        <v>0.6290584416</v>
      </c>
      <c r="T163" s="5" t="str">
        <f>AVERAGEIFS('Data Combined - all-runs'!$T:$T, 'Data Combined - all-runs'!$A:$A, A163,'Data Combined - all-runs'!$B:$B, B163,'Data Combined - all-runs'!$C:$C, C163, 'Data Combined - all-runs'!$D:$D, D163, 'Data Combined - all-runs'!$E:$E, E163)</f>
        <v>#DIV/0!</v>
      </c>
      <c r="U163" s="5" t="b">
        <f t="shared" si="1"/>
        <v>1</v>
      </c>
      <c r="V163" s="5" t="b">
        <f t="shared" si="2"/>
        <v>1</v>
      </c>
      <c r="W163" s="5" t="b">
        <f t="shared" si="3"/>
        <v>1</v>
      </c>
    </row>
    <row r="164">
      <c r="A164" s="2" t="s">
        <v>460</v>
      </c>
      <c r="B164" s="2" t="s">
        <v>22</v>
      </c>
      <c r="C164" s="2" t="s">
        <v>23</v>
      </c>
      <c r="D164" s="2" t="s">
        <v>64</v>
      </c>
      <c r="E164" s="2" t="s">
        <v>25</v>
      </c>
      <c r="H164" s="5">
        <f>AVERAGEIFS('Data Combined - all-runs'!$H:$H, 'Data Combined - all-runs'!$A:$A, A164,'Data Combined - all-runs'!$B:$B, B164,'Data Combined - all-runs'!$C:$C, C164, 'Data Combined - all-runs'!$D:$D, D164, 'Data Combined - all-runs'!$E:$E, E164)</f>
        <v>476</v>
      </c>
      <c r="I164" s="5">
        <f>AVERAGEIFS('Data Combined - all-runs'!$I:$I, 'Data Combined - all-runs'!$A:$A, A164,'Data Combined - all-runs'!$B:$B, B164,'Data Combined - all-runs'!$C:$C, C164, 'Data Combined - all-runs'!$D:$D, D164, 'Data Combined - all-runs'!$E:$E, E164)</f>
        <v>0</v>
      </c>
      <c r="J164" s="5">
        <f>AVERAGEIFS('Data Combined - all-runs'!$J:$J, 'Data Combined - all-runs'!$A:$A, A164,'Data Combined - all-runs'!$B:$B, B164,'Data Combined - all-runs'!$C:$C, C164, 'Data Combined - all-runs'!$D:$D, D164, 'Data Combined - all-runs'!$E:$E, E164)</f>
        <v>0.5</v>
      </c>
      <c r="K164" s="5">
        <f>AVERAGEIFS('Data Combined - all-runs'!$K:$K, 'Data Combined - all-runs'!$A:$A, A164,'Data Combined - all-runs'!$B:$B, B164,'Data Combined - all-runs'!$C:$C, C164, 'Data Combined - all-runs'!$D:$D, D164, 'Data Combined - all-runs'!$E:$E, E164)</f>
        <v>0.1481718438</v>
      </c>
      <c r="L164" s="5">
        <f>AVERAGEIFS('Data Combined - all-runs'!$L:$L, 'Data Combined - all-runs'!$A:$A, A164,'Data Combined - all-runs'!$B:$B, B164,'Data Combined - all-runs'!$C:$C, C164, 'Data Combined - all-runs'!$D:$D, D164, 'Data Combined - all-runs'!$E:$E, E164)</f>
        <v>1776.904733</v>
      </c>
      <c r="M164" s="5">
        <f>AVERAGEIFS('Data Combined - all-runs'!$M:$M, 'Data Combined - all-runs'!$A:$A, A164,'Data Combined - all-runs'!$B:$B, B164,'Data Combined - all-runs'!$C:$C, C164, 'Data Combined - all-runs'!$D:$D, D164, 'Data Combined - all-runs'!$E:$E, E164)</f>
        <v>82.5</v>
      </c>
      <c r="N164" s="5">
        <f>AVERAGEIFS('Data Combined - all-runs'!$N:$N, 'Data Combined - all-runs'!$A:$A, A164,'Data Combined - all-runs'!$B:$B, B164,'Data Combined - all-runs'!$C:$C, C164, 'Data Combined - all-runs'!$D:$D, D164, 'Data Combined - all-runs'!$E:$E, E164)</f>
        <v>5.5</v>
      </c>
      <c r="O164" s="5">
        <f>AVERAGEIFS('Data Combined - all-runs'!$O:$O, 'Data Combined - all-runs'!$A:$A, A164,'Data Combined - all-runs'!$B:$B, B164,'Data Combined - all-runs'!$C:$C, C164, 'Data Combined - all-runs'!$D:$D, D164, 'Data Combined - all-runs'!$E:$E, E164)</f>
        <v>1131.5</v>
      </c>
      <c r="P164" s="5">
        <f>AVERAGEIFS('Data Combined - all-runs'!$P:$P, 'Data Combined - all-runs'!$A:$A, A164,'Data Combined - all-runs'!$B:$B, B164,'Data Combined - all-runs'!$C:$C, C164, 'Data Combined - all-runs'!$D:$D, D164, 'Data Combined - all-runs'!$E:$E, E164)</f>
        <v>4.305375607</v>
      </c>
      <c r="Q164" s="5">
        <f>AVERAGEIFS('Data Combined - all-runs'!$Q:$Q, 'Data Combined - all-runs'!$A:$A, A164,'Data Combined - all-runs'!$B:$B, B164,'Data Combined - all-runs'!$C:$C, C164, 'Data Combined - all-runs'!$D:$D, D164, 'Data Combined - all-runs'!$E:$E, E164)</f>
        <v>385.0549482</v>
      </c>
      <c r="R164" s="5">
        <f>AVERAGEIFS('Data Combined - all-runs'!$R:$R, 'Data Combined - all-runs'!$A:$A, A164,'Data Combined - all-runs'!$B:$B, B164,'Data Combined - all-runs'!$C:$C, C164, 'Data Combined - all-runs'!$D:$D, D164, 'Data Combined - all-runs'!$E:$E, E164)</f>
        <v>93.33333333</v>
      </c>
      <c r="S164" s="5">
        <f>AVERAGEIFS('Data Combined - all-runs'!$S:$S, 'Data Combined - all-runs'!$A:$A, A164,'Data Combined - all-runs'!$B:$B, B164,'Data Combined - all-runs'!$C:$C, C164, 'Data Combined - all-runs'!$D:$D, D164, 'Data Combined - all-runs'!$E:$E, E164)</f>
        <v>0.0006720430108</v>
      </c>
      <c r="T164" s="5">
        <f>AVERAGEIFS('Data Combined - all-runs'!$T:$T, 'Data Combined - all-runs'!$A:$A, A164,'Data Combined - all-runs'!$B:$B, B164,'Data Combined - all-runs'!$C:$C, C164, 'Data Combined - all-runs'!$D:$D, D164, 'Data Combined - all-runs'!$E:$E, E164)</f>
        <v>0</v>
      </c>
      <c r="U164" s="5" t="b">
        <f t="shared" si="1"/>
        <v>1</v>
      </c>
      <c r="V164" s="5" t="b">
        <f t="shared" si="2"/>
        <v>1</v>
      </c>
      <c r="W164" s="5" t="b">
        <f t="shared" si="3"/>
        <v>1</v>
      </c>
    </row>
    <row r="165">
      <c r="A165" s="2" t="s">
        <v>460</v>
      </c>
      <c r="B165" s="2" t="s">
        <v>22</v>
      </c>
      <c r="C165" s="2" t="s">
        <v>23</v>
      </c>
      <c r="D165" s="2" t="s">
        <v>64</v>
      </c>
      <c r="E165" s="2" t="s">
        <v>39</v>
      </c>
      <c r="H165" s="5">
        <f>AVERAGEIFS('Data Combined - all-runs'!$H:$H, 'Data Combined - all-runs'!$A:$A, A165,'Data Combined - all-runs'!$B:$B, B165,'Data Combined - all-runs'!$C:$C, C165, 'Data Combined - all-runs'!$D:$D, D165, 'Data Combined - all-runs'!$E:$E, E165)</f>
        <v>375.5</v>
      </c>
      <c r="I165" s="5">
        <f>AVERAGEIFS('Data Combined - all-runs'!$I:$I, 'Data Combined - all-runs'!$A:$A, A165,'Data Combined - all-runs'!$B:$B, B165,'Data Combined - all-runs'!$C:$C, C165, 'Data Combined - all-runs'!$D:$D, D165, 'Data Combined - all-runs'!$E:$E, E165)</f>
        <v>0</v>
      </c>
      <c r="J165" s="5">
        <f>AVERAGEIFS('Data Combined - all-runs'!$J:$J, 'Data Combined - all-runs'!$A:$A, A165,'Data Combined - all-runs'!$B:$B, B165,'Data Combined - all-runs'!$C:$C, C165, 'Data Combined - all-runs'!$D:$D, D165, 'Data Combined - all-runs'!$E:$E, E165)</f>
        <v>2.5</v>
      </c>
      <c r="K165" s="5">
        <f>AVERAGEIFS('Data Combined - all-runs'!$K:$K, 'Data Combined - all-runs'!$A:$A, A165,'Data Combined - all-runs'!$B:$B, B165,'Data Combined - all-runs'!$C:$C, C165, 'Data Combined - all-runs'!$D:$D, D165, 'Data Combined - all-runs'!$E:$E, E165)</f>
        <v>0.1145557404</v>
      </c>
      <c r="L165" s="5">
        <f>AVERAGEIFS('Data Combined - all-runs'!$L:$L, 'Data Combined - all-runs'!$A:$A, A165,'Data Combined - all-runs'!$B:$B, B165,'Data Combined - all-runs'!$C:$C, C165, 'Data Combined - all-runs'!$D:$D, D165, 'Data Combined - all-runs'!$E:$E, E165)</f>
        <v>1727.790873</v>
      </c>
      <c r="M165" s="5">
        <f>AVERAGEIFS('Data Combined - all-runs'!$M:$M, 'Data Combined - all-runs'!$A:$A, A165,'Data Combined - all-runs'!$B:$B, B165,'Data Combined - all-runs'!$C:$C, C165, 'Data Combined - all-runs'!$D:$D, D165, 'Data Combined - all-runs'!$E:$E, E165)</f>
        <v>312</v>
      </c>
      <c r="N165" s="5">
        <f>AVERAGEIFS('Data Combined - all-runs'!$N:$N, 'Data Combined - all-runs'!$A:$A, A165,'Data Combined - all-runs'!$B:$B, B165,'Data Combined - all-runs'!$C:$C, C165, 'Data Combined - all-runs'!$D:$D, D165, 'Data Combined - all-runs'!$E:$E, E165)</f>
        <v>1.5</v>
      </c>
      <c r="O165" s="5">
        <f>AVERAGEIFS('Data Combined - all-runs'!$O:$O, 'Data Combined - all-runs'!$A:$A, A165,'Data Combined - all-runs'!$B:$B, B165,'Data Combined - all-runs'!$C:$C, C165, 'Data Combined - all-runs'!$D:$D, D165, 'Data Combined - all-runs'!$E:$E, E165)</f>
        <v>851</v>
      </c>
      <c r="P165" s="5">
        <f>AVERAGEIFS('Data Combined - all-runs'!$P:$P, 'Data Combined - all-runs'!$A:$A, A165,'Data Combined - all-runs'!$B:$B, B165,'Data Combined - all-runs'!$C:$C, C165, 'Data Combined - all-runs'!$D:$D, D165, 'Data Combined - all-runs'!$E:$E, E165)</f>
        <v>1.247920133</v>
      </c>
      <c r="Q165" s="5">
        <f>AVERAGEIFS('Data Combined - all-runs'!$Q:$Q, 'Data Combined - all-runs'!$A:$A, A165,'Data Combined - all-runs'!$B:$B, B165,'Data Combined - all-runs'!$C:$C, C165, 'Data Combined - all-runs'!$D:$D, D165, 'Data Combined - all-runs'!$E:$E, E165)</f>
        <v>421.608985</v>
      </c>
      <c r="R165" s="5">
        <f>AVERAGEIFS('Data Combined - all-runs'!$R:$R, 'Data Combined - all-runs'!$A:$A, A165,'Data Combined - all-runs'!$B:$B, B165,'Data Combined - all-runs'!$C:$C, C165, 'Data Combined - all-runs'!$D:$D, D165, 'Data Combined - all-runs'!$E:$E, E165)</f>
        <v>188</v>
      </c>
      <c r="S165" s="5">
        <f>AVERAGEIFS('Data Combined - all-runs'!$S:$S, 'Data Combined - all-runs'!$A:$A, A165,'Data Combined - all-runs'!$B:$B, B165,'Data Combined - all-runs'!$C:$C, C165, 'Data Combined - all-runs'!$D:$D, D165, 'Data Combined - all-runs'!$E:$E, E165)</f>
        <v>0.004432624113</v>
      </c>
      <c r="T165" s="5">
        <f>AVERAGEIFS('Data Combined - all-runs'!$T:$T, 'Data Combined - all-runs'!$A:$A, A165,'Data Combined - all-runs'!$B:$B, B165,'Data Combined - all-runs'!$C:$C, C165, 'Data Combined - all-runs'!$D:$D, D165, 'Data Combined - all-runs'!$E:$E, E165)</f>
        <v>0</v>
      </c>
      <c r="U165" s="5" t="b">
        <f t="shared" si="1"/>
        <v>1</v>
      </c>
      <c r="V165" s="5" t="b">
        <f t="shared" si="2"/>
        <v>1</v>
      </c>
      <c r="W165" s="5" t="b">
        <f t="shared" si="3"/>
        <v>1</v>
      </c>
    </row>
    <row r="166">
      <c r="A166" s="2" t="s">
        <v>460</v>
      </c>
      <c r="B166" s="2" t="s">
        <v>22</v>
      </c>
      <c r="C166" s="2" t="s">
        <v>23</v>
      </c>
      <c r="D166" s="2" t="s">
        <v>64</v>
      </c>
      <c r="E166" s="2" t="s">
        <v>43</v>
      </c>
      <c r="H166" s="5">
        <f>AVERAGEIFS('Data Combined - all-runs'!$H:$H, 'Data Combined - all-runs'!$A:$A, A166,'Data Combined - all-runs'!$B:$B, B166,'Data Combined - all-runs'!$C:$C, C166, 'Data Combined - all-runs'!$D:$D, D166, 'Data Combined - all-runs'!$E:$E, E166)</f>
        <v>638.5</v>
      </c>
      <c r="I166" s="5">
        <f>AVERAGEIFS('Data Combined - all-runs'!$I:$I, 'Data Combined - all-runs'!$A:$A, A166,'Data Combined - all-runs'!$B:$B, B166,'Data Combined - all-runs'!$C:$C, C166, 'Data Combined - all-runs'!$D:$D, D166, 'Data Combined - all-runs'!$E:$E, E166)</f>
        <v>0</v>
      </c>
      <c r="J166" s="5">
        <f>AVERAGEIFS('Data Combined - all-runs'!$J:$J, 'Data Combined - all-runs'!$A:$A, A166,'Data Combined - all-runs'!$B:$B, B166,'Data Combined - all-runs'!$C:$C, C166, 'Data Combined - all-runs'!$D:$D, D166, 'Data Combined - all-runs'!$E:$E, E166)</f>
        <v>69</v>
      </c>
      <c r="K166" s="5">
        <f>AVERAGEIFS('Data Combined - all-runs'!$K:$K, 'Data Combined - all-runs'!$A:$A, A166,'Data Combined - all-runs'!$B:$B, B166,'Data Combined - all-runs'!$C:$C, C166, 'Data Combined - all-runs'!$D:$D, D166, 'Data Combined - all-runs'!$E:$E, E166)</f>
        <v>0.09770271745</v>
      </c>
      <c r="L166" s="5">
        <f>AVERAGEIFS('Data Combined - all-runs'!$L:$L, 'Data Combined - all-runs'!$A:$A, A166,'Data Combined - all-runs'!$B:$B, B166,'Data Combined - all-runs'!$C:$C, C166, 'Data Combined - all-runs'!$D:$D, D166, 'Data Combined - all-runs'!$E:$E, E166)</f>
        <v>3531.644382</v>
      </c>
      <c r="M166" s="5">
        <f>AVERAGEIFS('Data Combined - all-runs'!$M:$M, 'Data Combined - all-runs'!$A:$A, A166,'Data Combined - all-runs'!$B:$B, B166,'Data Combined - all-runs'!$C:$C, C166, 'Data Combined - all-runs'!$D:$D, D166, 'Data Combined - all-runs'!$E:$E, E166)</f>
        <v>78</v>
      </c>
      <c r="N166" s="5">
        <f>AVERAGEIFS('Data Combined - all-runs'!$N:$N, 'Data Combined - all-runs'!$A:$A, A166,'Data Combined - all-runs'!$B:$B, B166,'Data Combined - all-runs'!$C:$C, C166, 'Data Combined - all-runs'!$D:$D, D166, 'Data Combined - all-runs'!$E:$E, E166)</f>
        <v>8.5</v>
      </c>
      <c r="O166" s="5">
        <f>AVERAGEIFS('Data Combined - all-runs'!$O:$O, 'Data Combined - all-runs'!$A:$A, A166,'Data Combined - all-runs'!$B:$B, B166,'Data Combined - all-runs'!$C:$C, C166, 'Data Combined - all-runs'!$D:$D, D166, 'Data Combined - all-runs'!$E:$E, E166)</f>
        <v>1295</v>
      </c>
      <c r="P166" s="5">
        <f>AVERAGEIFS('Data Combined - all-runs'!$P:$P, 'Data Combined - all-runs'!$A:$A, A166,'Data Combined - all-runs'!$B:$B, B166,'Data Combined - all-runs'!$C:$C, C166, 'Data Combined - all-runs'!$D:$D, D166, 'Data Combined - all-runs'!$E:$E, E166)</f>
        <v>6.789079268</v>
      </c>
      <c r="Q166" s="5">
        <f>AVERAGEIFS('Data Combined - all-runs'!$Q:$Q, 'Data Combined - all-runs'!$A:$A, A166,'Data Combined - all-runs'!$B:$B, B166,'Data Combined - all-runs'!$C:$C, C166, 'Data Combined - all-runs'!$D:$D, D166, 'Data Combined - all-runs'!$E:$E, E166)</f>
        <v>497.2488996</v>
      </c>
      <c r="R166" s="5">
        <f>AVERAGEIFS('Data Combined - all-runs'!$R:$R, 'Data Combined - all-runs'!$A:$A, A166,'Data Combined - all-runs'!$B:$B, B166,'Data Combined - all-runs'!$C:$C, C166, 'Data Combined - all-runs'!$D:$D, D166, 'Data Combined - all-runs'!$E:$E, E166)</f>
        <v>73.98571429</v>
      </c>
      <c r="S166" s="5">
        <f>AVERAGEIFS('Data Combined - all-runs'!$S:$S, 'Data Combined - all-runs'!$A:$A, A166,'Data Combined - all-runs'!$B:$B, B166,'Data Combined - all-runs'!$C:$C, C166, 'Data Combined - all-runs'!$D:$D, D166, 'Data Combined - all-runs'!$E:$E, E166)</f>
        <v>0.1458773784</v>
      </c>
      <c r="T166" s="5">
        <f>AVERAGEIFS('Data Combined - all-runs'!$T:$T, 'Data Combined - all-runs'!$A:$A, A166,'Data Combined - all-runs'!$B:$B, B166,'Data Combined - all-runs'!$C:$C, C166, 'Data Combined - all-runs'!$D:$D, D166, 'Data Combined - all-runs'!$E:$E, E166)</f>
        <v>0</v>
      </c>
      <c r="U166" s="5" t="b">
        <f t="shared" si="1"/>
        <v>1</v>
      </c>
      <c r="V166" s="5" t="b">
        <f t="shared" si="2"/>
        <v>1</v>
      </c>
      <c r="W166" s="5" t="b">
        <f t="shared" si="3"/>
        <v>1</v>
      </c>
    </row>
    <row r="167">
      <c r="A167" s="2" t="s">
        <v>460</v>
      </c>
      <c r="B167" s="2" t="s">
        <v>22</v>
      </c>
      <c r="C167" s="2" t="s">
        <v>23</v>
      </c>
      <c r="D167" s="2" t="s">
        <v>64</v>
      </c>
      <c r="E167" s="2" t="s">
        <v>34</v>
      </c>
      <c r="H167" s="5">
        <f>AVERAGEIFS('Data Combined - all-runs'!$H:$H, 'Data Combined - all-runs'!$A:$A, A167,'Data Combined - all-runs'!$B:$B, B167,'Data Combined - all-runs'!$C:$C, C167, 'Data Combined - all-runs'!$D:$D, D167, 'Data Combined - all-runs'!$E:$E, E167)</f>
        <v>501</v>
      </c>
      <c r="I167" s="5">
        <f>AVERAGEIFS('Data Combined - all-runs'!$I:$I, 'Data Combined - all-runs'!$A:$A, A167,'Data Combined - all-runs'!$B:$B, B167,'Data Combined - all-runs'!$C:$C, C167, 'Data Combined - all-runs'!$D:$D, D167, 'Data Combined - all-runs'!$E:$E, E167)</f>
        <v>0</v>
      </c>
      <c r="J167" s="5">
        <f>AVERAGEIFS('Data Combined - all-runs'!$J:$J, 'Data Combined - all-runs'!$A:$A, A167,'Data Combined - all-runs'!$B:$B, B167,'Data Combined - all-runs'!$C:$C, C167, 'Data Combined - all-runs'!$D:$D, D167, 'Data Combined - all-runs'!$E:$E, E167)</f>
        <v>139</v>
      </c>
      <c r="K167" s="5">
        <f>AVERAGEIFS('Data Combined - all-runs'!$K:$K, 'Data Combined - all-runs'!$A:$A, A167,'Data Combined - all-runs'!$B:$B, B167,'Data Combined - all-runs'!$C:$C, C167, 'Data Combined - all-runs'!$D:$D, D167, 'Data Combined - all-runs'!$E:$E, E167)</f>
        <v>0.2429805353</v>
      </c>
      <c r="L167" s="5">
        <f>AVERAGEIFS('Data Combined - all-runs'!$L:$L, 'Data Combined - all-runs'!$A:$A, A167,'Data Combined - all-runs'!$B:$B, B167,'Data Combined - all-runs'!$C:$C, C167, 'Data Combined - all-runs'!$D:$D, D167, 'Data Combined - all-runs'!$E:$E, E167)</f>
        <v>3673.437148</v>
      </c>
      <c r="M167" s="5">
        <f>AVERAGEIFS('Data Combined - all-runs'!$M:$M, 'Data Combined - all-runs'!$A:$A, A167,'Data Combined - all-runs'!$B:$B, B167,'Data Combined - all-runs'!$C:$C, C167, 'Data Combined - all-runs'!$D:$D, D167, 'Data Combined - all-runs'!$E:$E, E167)</f>
        <v>24</v>
      </c>
      <c r="N167" s="5">
        <f>AVERAGEIFS('Data Combined - all-runs'!$N:$N, 'Data Combined - all-runs'!$A:$A, A167,'Data Combined - all-runs'!$B:$B, B167,'Data Combined - all-runs'!$C:$C, C167, 'Data Combined - all-runs'!$D:$D, D167, 'Data Combined - all-runs'!$E:$E, E167)</f>
        <v>1</v>
      </c>
      <c r="O167" s="5">
        <f>AVERAGEIFS('Data Combined - all-runs'!$O:$O, 'Data Combined - all-runs'!$A:$A, A167,'Data Combined - all-runs'!$B:$B, B167,'Data Combined - all-runs'!$C:$C, C167, 'Data Combined - all-runs'!$D:$D, D167, 'Data Combined - all-runs'!$E:$E, E167)</f>
        <v>524</v>
      </c>
      <c r="P167" s="5">
        <f>AVERAGEIFS('Data Combined - all-runs'!$P:$P, 'Data Combined - all-runs'!$A:$A, A167,'Data Combined - all-runs'!$B:$B, B167,'Data Combined - all-runs'!$C:$C, C167, 'Data Combined - all-runs'!$D:$D, D167, 'Data Combined - all-runs'!$E:$E, E167)</f>
        <v>1.824817518</v>
      </c>
      <c r="Q167" s="5">
        <f>AVERAGEIFS('Data Combined - all-runs'!$Q:$Q, 'Data Combined - all-runs'!$A:$A, A167,'Data Combined - all-runs'!$B:$B, B167,'Data Combined - all-runs'!$C:$C, C167, 'Data Combined - all-runs'!$D:$D, D167, 'Data Combined - all-runs'!$E:$E, E167)</f>
        <v>954.7883212</v>
      </c>
      <c r="R167" s="5">
        <f>AVERAGEIFS('Data Combined - all-runs'!$R:$R, 'Data Combined - all-runs'!$A:$A, A167,'Data Combined - all-runs'!$B:$B, B167,'Data Combined - all-runs'!$C:$C, C167, 'Data Combined - all-runs'!$D:$D, D167, 'Data Combined - all-runs'!$E:$E, E167)</f>
        <v>269.5</v>
      </c>
      <c r="S167" s="5">
        <f>AVERAGEIFS('Data Combined - all-runs'!$S:$S, 'Data Combined - all-runs'!$A:$A, A167,'Data Combined - all-runs'!$B:$B, B167,'Data Combined - all-runs'!$C:$C, C167, 'Data Combined - all-runs'!$D:$D, D167, 'Data Combined - all-runs'!$E:$E, E167)</f>
        <v>0.3002159827</v>
      </c>
      <c r="T167" s="5">
        <f>AVERAGEIFS('Data Combined - all-runs'!$T:$T, 'Data Combined - all-runs'!$A:$A, A167,'Data Combined - all-runs'!$B:$B, B167,'Data Combined - all-runs'!$C:$C, C167, 'Data Combined - all-runs'!$D:$D, D167, 'Data Combined - all-runs'!$E:$E, E167)</f>
        <v>0</v>
      </c>
      <c r="U167" s="5" t="b">
        <f t="shared" si="1"/>
        <v>1</v>
      </c>
      <c r="V167" s="5" t="b">
        <f t="shared" si="2"/>
        <v>1</v>
      </c>
      <c r="W167" s="5" t="b">
        <f t="shared" si="3"/>
        <v>1</v>
      </c>
    </row>
    <row r="168">
      <c r="A168" s="2" t="s">
        <v>460</v>
      </c>
      <c r="B168" s="2" t="s">
        <v>22</v>
      </c>
      <c r="C168" s="2" t="s">
        <v>23</v>
      </c>
      <c r="D168" s="2" t="s">
        <v>64</v>
      </c>
      <c r="E168" s="2" t="s">
        <v>47</v>
      </c>
      <c r="H168" s="5">
        <f>AVERAGEIFS('Data Combined - all-runs'!$H:$H, 'Data Combined - all-runs'!$A:$A, A168,'Data Combined - all-runs'!$B:$B, B168,'Data Combined - all-runs'!$C:$C, C168, 'Data Combined - all-runs'!$D:$D, D168, 'Data Combined - all-runs'!$E:$E, E168)</f>
        <v>604</v>
      </c>
      <c r="I168" s="5">
        <f>AVERAGEIFS('Data Combined - all-runs'!$I:$I, 'Data Combined - all-runs'!$A:$A, A168,'Data Combined - all-runs'!$B:$B, B168,'Data Combined - all-runs'!$C:$C, C168, 'Data Combined - all-runs'!$D:$D, D168, 'Data Combined - all-runs'!$E:$E, E168)</f>
        <v>0</v>
      </c>
      <c r="J168" s="5">
        <f>AVERAGEIFS('Data Combined - all-runs'!$J:$J, 'Data Combined - all-runs'!$A:$A, A168,'Data Combined - all-runs'!$B:$B, B168,'Data Combined - all-runs'!$C:$C, C168, 'Data Combined - all-runs'!$D:$D, D168, 'Data Combined - all-runs'!$E:$E, E168)</f>
        <v>423</v>
      </c>
      <c r="K168" s="5">
        <f>AVERAGEIFS('Data Combined - all-runs'!$K:$K, 'Data Combined - all-runs'!$A:$A, A168,'Data Combined - all-runs'!$B:$B, B168,'Data Combined - all-runs'!$C:$C, C168, 'Data Combined - all-runs'!$D:$D, D168, 'Data Combined - all-runs'!$E:$E, E168)</f>
        <v>0.2084894737</v>
      </c>
      <c r="L168" s="5">
        <f>AVERAGEIFS('Data Combined - all-runs'!$L:$L, 'Data Combined - all-runs'!$A:$A, A168,'Data Combined - all-runs'!$B:$B, B168,'Data Combined - all-runs'!$C:$C, C168, 'Data Combined - all-runs'!$D:$D, D168, 'Data Combined - all-runs'!$E:$E, E168)</f>
        <v>5073.141279</v>
      </c>
      <c r="M168" s="5">
        <f>AVERAGEIFS('Data Combined - all-runs'!$M:$M, 'Data Combined - all-runs'!$A:$A, A168,'Data Combined - all-runs'!$B:$B, B168,'Data Combined - all-runs'!$C:$C, C168, 'Data Combined - all-runs'!$D:$D, D168, 'Data Combined - all-runs'!$E:$E, E168)</f>
        <v>85.5</v>
      </c>
      <c r="N168" s="5">
        <f>AVERAGEIFS('Data Combined - all-runs'!$N:$N, 'Data Combined - all-runs'!$A:$A, A168,'Data Combined - all-runs'!$B:$B, B168,'Data Combined - all-runs'!$C:$C, C168, 'Data Combined - all-runs'!$D:$D, D168, 'Data Combined - all-runs'!$E:$E, E168)</f>
        <v>2.5</v>
      </c>
      <c r="O168" s="5">
        <f>AVERAGEIFS('Data Combined - all-runs'!$O:$O, 'Data Combined - all-runs'!$A:$A, A168,'Data Combined - all-runs'!$B:$B, B168,'Data Combined - all-runs'!$C:$C, C168, 'Data Combined - all-runs'!$D:$D, D168, 'Data Combined - all-runs'!$E:$E, E168)</f>
        <v>645</v>
      </c>
      <c r="P168" s="5">
        <f>AVERAGEIFS('Data Combined - all-runs'!$P:$P, 'Data Combined - all-runs'!$A:$A, A168,'Data Combined - all-runs'!$B:$B, B168,'Data Combined - all-runs'!$C:$C, C168, 'Data Combined - all-runs'!$D:$D, D168, 'Data Combined - all-runs'!$E:$E, E168)</f>
        <v>3.807518797</v>
      </c>
      <c r="Q168" s="5">
        <f>AVERAGEIFS('Data Combined - all-runs'!$Q:$Q, 'Data Combined - all-runs'!$A:$A, A168,'Data Combined - all-runs'!$B:$B, B168,'Data Combined - all-runs'!$C:$C, C168, 'Data Combined - all-runs'!$D:$D, D168, 'Data Combined - all-runs'!$E:$E, E168)</f>
        <v>936.806015</v>
      </c>
      <c r="R168" s="5">
        <f>AVERAGEIFS('Data Combined - all-runs'!$R:$R, 'Data Combined - all-runs'!$A:$A, A168,'Data Combined - all-runs'!$B:$B, B168,'Data Combined - all-runs'!$C:$C, C168, 'Data Combined - all-runs'!$D:$D, D168, 'Data Combined - all-runs'!$E:$E, E168)</f>
        <v>373.375</v>
      </c>
      <c r="S168" s="5">
        <f>AVERAGEIFS('Data Combined - all-runs'!$S:$S, 'Data Combined - all-runs'!$A:$A, A168,'Data Combined - all-runs'!$B:$B, B168,'Data Combined - all-runs'!$C:$C, C168, 'Data Combined - all-runs'!$D:$D, D168, 'Data Combined - all-runs'!$E:$E, E168)</f>
        <v>0.7133220911</v>
      </c>
      <c r="T168" s="5">
        <f>AVERAGEIFS('Data Combined - all-runs'!$T:$T, 'Data Combined - all-runs'!$A:$A, A168,'Data Combined - all-runs'!$B:$B, B168,'Data Combined - all-runs'!$C:$C, C168, 'Data Combined - all-runs'!$D:$D, D168, 'Data Combined - all-runs'!$E:$E, E168)</f>
        <v>0</v>
      </c>
      <c r="U168" s="5" t="b">
        <f t="shared" si="1"/>
        <v>1</v>
      </c>
      <c r="V168" s="5" t="b">
        <f t="shared" si="2"/>
        <v>1</v>
      </c>
      <c r="W168" s="5" t="b">
        <f t="shared" si="3"/>
        <v>1</v>
      </c>
    </row>
    <row r="169">
      <c r="A169" s="2" t="s">
        <v>460</v>
      </c>
      <c r="B169" s="2" t="s">
        <v>22</v>
      </c>
      <c r="C169" s="2" t="s">
        <v>23</v>
      </c>
      <c r="D169" s="2" t="s">
        <v>64</v>
      </c>
      <c r="E169" s="2" t="s">
        <v>51</v>
      </c>
      <c r="H169" s="5">
        <f>AVERAGEIFS('Data Combined - all-runs'!$H:$H, 'Data Combined - all-runs'!$A:$A, A169,'Data Combined - all-runs'!$B:$B, B169,'Data Combined - all-runs'!$C:$C, C169, 'Data Combined - all-runs'!$D:$D, D169, 'Data Combined - all-runs'!$E:$E, E169)</f>
        <v>485</v>
      </c>
      <c r="I169" s="5">
        <f>AVERAGEIFS('Data Combined - all-runs'!$I:$I, 'Data Combined - all-runs'!$A:$A, A169,'Data Combined - all-runs'!$B:$B, B169,'Data Combined - all-runs'!$C:$C, C169, 'Data Combined - all-runs'!$D:$D, D169, 'Data Combined - all-runs'!$E:$E, E169)</f>
        <v>0</v>
      </c>
      <c r="J169" s="5">
        <f>AVERAGEIFS('Data Combined - all-runs'!$J:$J, 'Data Combined - all-runs'!$A:$A, A169,'Data Combined - all-runs'!$B:$B, B169,'Data Combined - all-runs'!$C:$C, C169, 'Data Combined - all-runs'!$D:$D, D169, 'Data Combined - all-runs'!$E:$E, E169)</f>
        <v>51.5</v>
      </c>
      <c r="K169" s="5">
        <f>AVERAGEIFS('Data Combined - all-runs'!$K:$K, 'Data Combined - all-runs'!$A:$A, A169,'Data Combined - all-runs'!$B:$B, B169,'Data Combined - all-runs'!$C:$C, C169, 'Data Combined - all-runs'!$D:$D, D169, 'Data Combined - all-runs'!$E:$E, E169)</f>
        <v>0.07517061484</v>
      </c>
      <c r="L169" s="5">
        <f>AVERAGEIFS('Data Combined - all-runs'!$L:$L, 'Data Combined - all-runs'!$A:$A, A169,'Data Combined - all-runs'!$B:$B, B169,'Data Combined - all-runs'!$C:$C, C169, 'Data Combined - all-runs'!$D:$D, D169, 'Data Combined - all-runs'!$E:$E, E169)</f>
        <v>2942.344511</v>
      </c>
      <c r="M169" s="5">
        <f>AVERAGEIFS('Data Combined - all-runs'!$M:$M, 'Data Combined - all-runs'!$A:$A, A169,'Data Combined - all-runs'!$B:$B, B169,'Data Combined - all-runs'!$C:$C, C169, 'Data Combined - all-runs'!$D:$D, D169, 'Data Combined - all-runs'!$E:$E, E169)</f>
        <v>47.5</v>
      </c>
      <c r="N169" s="5">
        <f>AVERAGEIFS('Data Combined - all-runs'!$N:$N, 'Data Combined - all-runs'!$A:$A, A169,'Data Combined - all-runs'!$B:$B, B169,'Data Combined - all-runs'!$C:$C, C169, 'Data Combined - all-runs'!$D:$D, D169, 'Data Combined - all-runs'!$E:$E, E169)</f>
        <v>7</v>
      </c>
      <c r="O169" s="5">
        <f>AVERAGEIFS('Data Combined - all-runs'!$O:$O, 'Data Combined - all-runs'!$A:$A, A169,'Data Combined - all-runs'!$B:$B, B169,'Data Combined - all-runs'!$C:$C, C169, 'Data Combined - all-runs'!$D:$D, D169, 'Data Combined - all-runs'!$E:$E, E169)</f>
        <v>926.5</v>
      </c>
      <c r="P169" s="5">
        <f>AVERAGEIFS('Data Combined - all-runs'!$P:$P, 'Data Combined - all-runs'!$A:$A, A169,'Data Combined - all-runs'!$B:$B, B169,'Data Combined - all-runs'!$C:$C, C169, 'Data Combined - all-runs'!$D:$D, D169, 'Data Combined - all-runs'!$E:$E, E169)</f>
        <v>7.543501968</v>
      </c>
      <c r="Q169" s="5">
        <f>AVERAGEIFS('Data Combined - all-runs'!$Q:$Q, 'Data Combined - all-runs'!$A:$A, A169,'Data Combined - all-runs'!$B:$B, B169,'Data Combined - all-runs'!$C:$C, C169, 'Data Combined - all-runs'!$D:$D, D169, 'Data Combined - all-runs'!$E:$E, E169)</f>
        <v>525.5784458</v>
      </c>
      <c r="R169" s="5">
        <f>AVERAGEIFS('Data Combined - all-runs'!$R:$R, 'Data Combined - all-runs'!$A:$A, A169,'Data Combined - all-runs'!$B:$B, B169,'Data Combined - all-runs'!$C:$C, C169, 'Data Combined - all-runs'!$D:$D, D169, 'Data Combined - all-runs'!$E:$E, E169)</f>
        <v>69.70833333</v>
      </c>
      <c r="S169" s="5">
        <f>AVERAGEIFS('Data Combined - all-runs'!$S:$S, 'Data Combined - all-runs'!$A:$A, A169,'Data Combined - all-runs'!$B:$B, B169,'Data Combined - all-runs'!$C:$C, C169, 'Data Combined - all-runs'!$D:$D, D169, 'Data Combined - all-runs'!$E:$E, E169)</f>
        <v>0.09644194757</v>
      </c>
      <c r="T169" s="5">
        <f>AVERAGEIFS('Data Combined - all-runs'!$T:$T, 'Data Combined - all-runs'!$A:$A, A169,'Data Combined - all-runs'!$B:$B, B169,'Data Combined - all-runs'!$C:$C, C169, 'Data Combined - all-runs'!$D:$D, D169, 'Data Combined - all-runs'!$E:$E, E169)</f>
        <v>0</v>
      </c>
      <c r="U169" s="5" t="b">
        <f t="shared" si="1"/>
        <v>1</v>
      </c>
      <c r="V169" s="5" t="b">
        <f t="shared" si="2"/>
        <v>1</v>
      </c>
      <c r="W169" s="5" t="b">
        <f t="shared" si="3"/>
        <v>1</v>
      </c>
    </row>
    <row r="170">
      <c r="A170" s="2" t="s">
        <v>460</v>
      </c>
      <c r="B170" s="2" t="s">
        <v>22</v>
      </c>
      <c r="C170" s="2" t="s">
        <v>23</v>
      </c>
      <c r="D170" s="2" t="s">
        <v>102</v>
      </c>
      <c r="E170" s="2" t="s">
        <v>25</v>
      </c>
      <c r="H170" s="5">
        <f>AVERAGEIFS('Data Combined - all-runs'!$H:$H, 'Data Combined - all-runs'!$A:$A, A170,'Data Combined - all-runs'!$B:$B, B170,'Data Combined - all-runs'!$C:$C, C170, 'Data Combined - all-runs'!$D:$D, D170, 'Data Combined - all-runs'!$E:$E, E170)</f>
        <v>179</v>
      </c>
      <c r="I170" s="5" t="str">
        <f>AVERAGEIFS('Data Combined - all-runs'!$I:$I, 'Data Combined - all-runs'!$A:$A, A170,'Data Combined - all-runs'!$B:$B, B170,'Data Combined - all-runs'!$C:$C, C170, 'Data Combined - all-runs'!$D:$D, D170, 'Data Combined - all-runs'!$E:$E, E170)</f>
        <v>#DIV/0!</v>
      </c>
      <c r="J170" s="5">
        <f>AVERAGEIFS('Data Combined - all-runs'!$J:$J, 'Data Combined - all-runs'!$A:$A, A170,'Data Combined - all-runs'!$B:$B, B170,'Data Combined - all-runs'!$C:$C, C170, 'Data Combined - all-runs'!$D:$D, D170, 'Data Combined - all-runs'!$E:$E, E170)</f>
        <v>0</v>
      </c>
      <c r="K170" s="5">
        <f>AVERAGEIFS('Data Combined - all-runs'!$K:$K, 'Data Combined - all-runs'!$A:$A, A170,'Data Combined - all-runs'!$B:$B, B170,'Data Combined - all-runs'!$C:$C, C170, 'Data Combined - all-runs'!$D:$D, D170, 'Data Combined - all-runs'!$E:$E, E170)</f>
        <v>0.0936329588</v>
      </c>
      <c r="L170" s="5">
        <f>AVERAGEIFS('Data Combined - all-runs'!$L:$L, 'Data Combined - all-runs'!$A:$A, A170,'Data Combined - all-runs'!$B:$B, B170,'Data Combined - all-runs'!$C:$C, C170, 'Data Combined - all-runs'!$D:$D, D170, 'Data Combined - all-runs'!$E:$E, E170)</f>
        <v>2788.94243</v>
      </c>
      <c r="M170" s="5">
        <f>AVERAGEIFS('Data Combined - all-runs'!$M:$M, 'Data Combined - all-runs'!$A:$A, A170,'Data Combined - all-runs'!$B:$B, B170,'Data Combined - all-runs'!$C:$C, C170, 'Data Combined - all-runs'!$D:$D, D170, 'Data Combined - all-runs'!$E:$E, E170)</f>
        <v>34</v>
      </c>
      <c r="N170" s="5">
        <f>AVERAGEIFS('Data Combined - all-runs'!$N:$N, 'Data Combined - all-runs'!$A:$A, A170,'Data Combined - all-runs'!$B:$B, B170,'Data Combined - all-runs'!$C:$C, C170, 'Data Combined - all-runs'!$D:$D, D170, 'Data Combined - all-runs'!$E:$E, E170)</f>
        <v>1</v>
      </c>
      <c r="O170" s="5">
        <f>AVERAGEIFS('Data Combined - all-runs'!$O:$O, 'Data Combined - all-runs'!$A:$A, A170,'Data Combined - all-runs'!$B:$B, B170,'Data Combined - all-runs'!$C:$C, C170, 'Data Combined - all-runs'!$D:$D, D170, 'Data Combined - all-runs'!$E:$E, E170)</f>
        <v>534</v>
      </c>
      <c r="P170" s="5">
        <f>AVERAGEIFS('Data Combined - all-runs'!$P:$P, 'Data Combined - all-runs'!$A:$A, A170,'Data Combined - all-runs'!$B:$B, B170,'Data Combined - all-runs'!$C:$C, C170, 'Data Combined - all-runs'!$D:$D, D170, 'Data Combined - all-runs'!$E:$E, E170)</f>
        <v>1.872659176</v>
      </c>
      <c r="Q170" s="5">
        <f>AVERAGEIFS('Data Combined - all-runs'!$Q:$Q, 'Data Combined - all-runs'!$A:$A, A170,'Data Combined - all-runs'!$B:$B, B170,'Data Combined - all-runs'!$C:$C, C170, 'Data Combined - all-runs'!$D:$D, D170, 'Data Combined - all-runs'!$E:$E, E170)</f>
        <v>335.2059925</v>
      </c>
      <c r="R170" s="5">
        <f>AVERAGEIFS('Data Combined - all-runs'!$R:$R, 'Data Combined - all-runs'!$A:$A, A170,'Data Combined - all-runs'!$B:$B, B170,'Data Combined - all-runs'!$C:$C, C170, 'Data Combined - all-runs'!$D:$D, D170, 'Data Combined - all-runs'!$E:$E, E170)</f>
        <v>179</v>
      </c>
      <c r="S170" s="5">
        <f>AVERAGEIFS('Data Combined - all-runs'!$S:$S, 'Data Combined - all-runs'!$A:$A, A170,'Data Combined - all-runs'!$B:$B, B170,'Data Combined - all-runs'!$C:$C, C170, 'Data Combined - all-runs'!$D:$D, D170, 'Data Combined - all-runs'!$E:$E, E170)</f>
        <v>0</v>
      </c>
      <c r="T170" s="5" t="str">
        <f>AVERAGEIFS('Data Combined - all-runs'!$T:$T, 'Data Combined - all-runs'!$A:$A, A170,'Data Combined - all-runs'!$B:$B, B170,'Data Combined - all-runs'!$C:$C, C170, 'Data Combined - all-runs'!$D:$D, D170, 'Data Combined - all-runs'!$E:$E, E170)</f>
        <v>#DIV/0!</v>
      </c>
      <c r="U170" s="5" t="b">
        <f t="shared" si="1"/>
        <v>1</v>
      </c>
      <c r="V170" s="5" t="b">
        <f t="shared" si="2"/>
        <v>1</v>
      </c>
      <c r="W170" s="5" t="b">
        <f t="shared" si="3"/>
        <v>1</v>
      </c>
    </row>
    <row r="171">
      <c r="A171" s="2" t="s">
        <v>460</v>
      </c>
      <c r="B171" s="2" t="s">
        <v>22</v>
      </c>
      <c r="C171" s="2" t="s">
        <v>23</v>
      </c>
      <c r="D171" s="2" t="s">
        <v>102</v>
      </c>
      <c r="E171" s="2" t="s">
        <v>39</v>
      </c>
      <c r="H171" s="5">
        <f>AVERAGEIFS('Data Combined - all-runs'!$H:$H, 'Data Combined - all-runs'!$A:$A, A171,'Data Combined - all-runs'!$B:$B, B171,'Data Combined - all-runs'!$C:$C, C171, 'Data Combined - all-runs'!$D:$D, D171, 'Data Combined - all-runs'!$E:$E, E171)</f>
        <v>1037</v>
      </c>
      <c r="I171" s="5" t="str">
        <f>AVERAGEIFS('Data Combined - all-runs'!$I:$I, 'Data Combined - all-runs'!$A:$A, A171,'Data Combined - all-runs'!$B:$B, B171,'Data Combined - all-runs'!$C:$C, C171, 'Data Combined - all-runs'!$D:$D, D171, 'Data Combined - all-runs'!$E:$E, E171)</f>
        <v>#DIV/0!</v>
      </c>
      <c r="J171" s="5">
        <f>AVERAGEIFS('Data Combined - all-runs'!$J:$J, 'Data Combined - all-runs'!$A:$A, A171,'Data Combined - all-runs'!$B:$B, B171,'Data Combined - all-runs'!$C:$C, C171, 'Data Combined - all-runs'!$D:$D, D171, 'Data Combined - all-runs'!$E:$E, E171)</f>
        <v>7</v>
      </c>
      <c r="K171" s="5">
        <f>AVERAGEIFS('Data Combined - all-runs'!$K:$K, 'Data Combined - all-runs'!$A:$A, A171,'Data Combined - all-runs'!$B:$B, B171,'Data Combined - all-runs'!$C:$C, C171, 'Data Combined - all-runs'!$D:$D, D171, 'Data Combined - all-runs'!$E:$E, E171)</f>
        <v>0.1150412088</v>
      </c>
      <c r="L171" s="5">
        <f>AVERAGEIFS('Data Combined - all-runs'!$L:$L, 'Data Combined - all-runs'!$A:$A, A171,'Data Combined - all-runs'!$B:$B, B171,'Data Combined - all-runs'!$C:$C, C171, 'Data Combined - all-runs'!$D:$D, D171, 'Data Combined - all-runs'!$E:$E, E171)</f>
        <v>17175.89782</v>
      </c>
      <c r="M171" s="5">
        <f>AVERAGEIFS('Data Combined - all-runs'!$M:$M, 'Data Combined - all-runs'!$A:$A, A171,'Data Combined - all-runs'!$B:$B, B171,'Data Combined - all-runs'!$C:$C, C171, 'Data Combined - all-runs'!$D:$D, D171, 'Data Combined - all-runs'!$E:$E, E171)</f>
        <v>73</v>
      </c>
      <c r="N171" s="5">
        <f>AVERAGEIFS('Data Combined - all-runs'!$N:$N, 'Data Combined - all-runs'!$A:$A, A171,'Data Combined - all-runs'!$B:$B, B171,'Data Combined - all-runs'!$C:$C, C171, 'Data Combined - all-runs'!$D:$D, D171, 'Data Combined - all-runs'!$E:$E, E171)</f>
        <v>9</v>
      </c>
      <c r="O171" s="5">
        <f>AVERAGEIFS('Data Combined - all-runs'!$O:$O, 'Data Combined - all-runs'!$A:$A, A171,'Data Combined - all-runs'!$B:$B, B171,'Data Combined - all-runs'!$C:$C, C171, 'Data Combined - all-runs'!$D:$D, D171, 'Data Combined - all-runs'!$E:$E, E171)</f>
        <v>2184</v>
      </c>
      <c r="P171" s="5">
        <f>AVERAGEIFS('Data Combined - all-runs'!$P:$P, 'Data Combined - all-runs'!$A:$A, A171,'Data Combined - all-runs'!$B:$B, B171,'Data Combined - all-runs'!$C:$C, C171, 'Data Combined - all-runs'!$D:$D, D171, 'Data Combined - all-runs'!$E:$E, E171)</f>
        <v>4.120879121</v>
      </c>
      <c r="Q171" s="5">
        <f>AVERAGEIFS('Data Combined - all-runs'!$Q:$Q, 'Data Combined - all-runs'!$A:$A, A171,'Data Combined - all-runs'!$B:$B, B171,'Data Combined - all-runs'!$C:$C, C171, 'Data Combined - all-runs'!$D:$D, D171, 'Data Combined - all-runs'!$E:$E, E171)</f>
        <v>474.8168498</v>
      </c>
      <c r="R171" s="5">
        <f>AVERAGEIFS('Data Combined - all-runs'!$R:$R, 'Data Combined - all-runs'!$A:$A, A171,'Data Combined - all-runs'!$B:$B, B171,'Data Combined - all-runs'!$C:$C, C171, 'Data Combined - all-runs'!$D:$D, D171, 'Data Combined - all-runs'!$E:$E, E171)</f>
        <v>115.2222222</v>
      </c>
      <c r="S171" s="5">
        <f>AVERAGEIFS('Data Combined - all-runs'!$S:$S, 'Data Combined - all-runs'!$A:$A, A171,'Data Combined - all-runs'!$B:$B, B171,'Data Combined - all-runs'!$C:$C, C171, 'Data Combined - all-runs'!$D:$D, D171, 'Data Combined - all-runs'!$E:$E, E171)</f>
        <v>0.00675024108</v>
      </c>
      <c r="T171" s="5" t="str">
        <f>AVERAGEIFS('Data Combined - all-runs'!$T:$T, 'Data Combined - all-runs'!$A:$A, A171,'Data Combined - all-runs'!$B:$B, B171,'Data Combined - all-runs'!$C:$C, C171, 'Data Combined - all-runs'!$D:$D, D171, 'Data Combined - all-runs'!$E:$E, E171)</f>
        <v>#DIV/0!</v>
      </c>
      <c r="U171" s="5" t="b">
        <f t="shared" si="1"/>
        <v>1</v>
      </c>
      <c r="V171" s="5" t="b">
        <f t="shared" si="2"/>
        <v>1</v>
      </c>
      <c r="W171" s="5" t="b">
        <f t="shared" si="3"/>
        <v>1</v>
      </c>
    </row>
    <row r="172">
      <c r="A172" s="2" t="s">
        <v>460</v>
      </c>
      <c r="B172" s="2" t="s">
        <v>22</v>
      </c>
      <c r="C172" s="2" t="s">
        <v>23</v>
      </c>
      <c r="D172" s="2" t="s">
        <v>102</v>
      </c>
      <c r="E172" s="2" t="s">
        <v>43</v>
      </c>
      <c r="H172" s="5">
        <f>AVERAGEIFS('Data Combined - all-runs'!$H:$H, 'Data Combined - all-runs'!$A:$A, A172,'Data Combined - all-runs'!$B:$B, B172,'Data Combined - all-runs'!$C:$C, C172, 'Data Combined - all-runs'!$D:$D, D172, 'Data Combined - all-runs'!$E:$E, E172)</f>
        <v>896</v>
      </c>
      <c r="I172" s="5" t="str">
        <f>AVERAGEIFS('Data Combined - all-runs'!$I:$I, 'Data Combined - all-runs'!$A:$A, A172,'Data Combined - all-runs'!$B:$B, B172,'Data Combined - all-runs'!$C:$C, C172, 'Data Combined - all-runs'!$D:$D, D172, 'Data Combined - all-runs'!$E:$E, E172)</f>
        <v>#DIV/0!</v>
      </c>
      <c r="J172" s="5">
        <f>AVERAGEIFS('Data Combined - all-runs'!$J:$J, 'Data Combined - all-runs'!$A:$A, A172,'Data Combined - all-runs'!$B:$B, B172,'Data Combined - all-runs'!$C:$C, C172, 'Data Combined - all-runs'!$D:$D, D172, 'Data Combined - all-runs'!$E:$E, E172)</f>
        <v>57</v>
      </c>
      <c r="K172" s="5">
        <f>AVERAGEIFS('Data Combined - all-runs'!$K:$K, 'Data Combined - all-runs'!$A:$A, A172,'Data Combined - all-runs'!$B:$B, B172,'Data Combined - all-runs'!$C:$C, C172, 'Data Combined - all-runs'!$D:$D, D172, 'Data Combined - all-runs'!$E:$E, E172)</f>
        <v>0.09124017635</v>
      </c>
      <c r="L172" s="5">
        <f>AVERAGEIFS('Data Combined - all-runs'!$L:$L, 'Data Combined - all-runs'!$A:$A, A172,'Data Combined - all-runs'!$B:$B, B172,'Data Combined - all-runs'!$C:$C, C172, 'Data Combined - all-runs'!$D:$D, D172, 'Data Combined - all-runs'!$E:$E, E172)</f>
        <v>15186.40939</v>
      </c>
      <c r="M172" s="5">
        <f>AVERAGEIFS('Data Combined - all-runs'!$M:$M, 'Data Combined - all-runs'!$A:$A, A172,'Data Combined - all-runs'!$B:$B, B172,'Data Combined - all-runs'!$C:$C, C172, 'Data Combined - all-runs'!$D:$D, D172, 'Data Combined - all-runs'!$E:$E, E172)</f>
        <v>39</v>
      </c>
      <c r="N172" s="5">
        <f>AVERAGEIFS('Data Combined - all-runs'!$N:$N, 'Data Combined - all-runs'!$A:$A, A172,'Data Combined - all-runs'!$B:$B, B172,'Data Combined - all-runs'!$C:$C, C172, 'Data Combined - all-runs'!$D:$D, D172, 'Data Combined - all-runs'!$E:$E, E172)</f>
        <v>11</v>
      </c>
      <c r="O172" s="5">
        <f>AVERAGEIFS('Data Combined - all-runs'!$O:$O, 'Data Combined - all-runs'!$A:$A, A172,'Data Combined - all-runs'!$B:$B, B172,'Data Combined - all-runs'!$C:$C, C172, 'Data Combined - all-runs'!$D:$D, D172, 'Data Combined - all-runs'!$E:$E, E172)</f>
        <v>1739</v>
      </c>
      <c r="P172" s="5">
        <f>AVERAGEIFS('Data Combined - all-runs'!$P:$P, 'Data Combined - all-runs'!$A:$A, A172,'Data Combined - all-runs'!$B:$B, B172,'Data Combined - all-runs'!$C:$C, C172, 'Data Combined - all-runs'!$D:$D, D172, 'Data Combined - all-runs'!$E:$E, E172)</f>
        <v>6.325474411</v>
      </c>
      <c r="Q172" s="5">
        <f>AVERAGEIFS('Data Combined - all-runs'!$Q:$Q, 'Data Combined - all-runs'!$A:$A, A172,'Data Combined - all-runs'!$B:$B, B172,'Data Combined - all-runs'!$C:$C, C172, 'Data Combined - all-runs'!$D:$D, D172, 'Data Combined - all-runs'!$E:$E, E172)</f>
        <v>515.2386429</v>
      </c>
      <c r="R172" s="5">
        <f>AVERAGEIFS('Data Combined - all-runs'!$R:$R, 'Data Combined - all-runs'!$A:$A, A172,'Data Combined - all-runs'!$B:$B, B172,'Data Combined - all-runs'!$C:$C, C172, 'Data Combined - all-runs'!$D:$D, D172, 'Data Combined - all-runs'!$E:$E, E172)</f>
        <v>81.45454545</v>
      </c>
      <c r="S172" s="5">
        <f>AVERAGEIFS('Data Combined - all-runs'!$S:$S, 'Data Combined - all-runs'!$A:$A, A172,'Data Combined - all-runs'!$B:$B, B172,'Data Combined - all-runs'!$C:$C, C172, 'Data Combined - all-runs'!$D:$D, D172, 'Data Combined - all-runs'!$E:$E, E172)</f>
        <v>0.06361607143</v>
      </c>
      <c r="T172" s="5" t="str">
        <f>AVERAGEIFS('Data Combined - all-runs'!$T:$T, 'Data Combined - all-runs'!$A:$A, A172,'Data Combined - all-runs'!$B:$B, B172,'Data Combined - all-runs'!$C:$C, C172, 'Data Combined - all-runs'!$D:$D, D172, 'Data Combined - all-runs'!$E:$E, E172)</f>
        <v>#DIV/0!</v>
      </c>
      <c r="U172" s="5" t="b">
        <f t="shared" si="1"/>
        <v>1</v>
      </c>
      <c r="V172" s="5" t="b">
        <f t="shared" si="2"/>
        <v>1</v>
      </c>
      <c r="W172" s="5" t="b">
        <f t="shared" si="3"/>
        <v>1</v>
      </c>
    </row>
    <row r="173">
      <c r="A173" s="2" t="s">
        <v>460</v>
      </c>
      <c r="B173" s="2" t="s">
        <v>22</v>
      </c>
      <c r="C173" s="2" t="s">
        <v>23</v>
      </c>
      <c r="D173" s="2" t="s">
        <v>102</v>
      </c>
      <c r="E173" s="2" t="s">
        <v>34</v>
      </c>
      <c r="H173" s="5">
        <f>AVERAGEIFS('Data Combined - all-runs'!$H:$H, 'Data Combined - all-runs'!$A:$A, A173,'Data Combined - all-runs'!$B:$B, B173,'Data Combined - all-runs'!$C:$C, C173, 'Data Combined - all-runs'!$D:$D, D173, 'Data Combined - all-runs'!$E:$E, E173)</f>
        <v>1674</v>
      </c>
      <c r="I173" s="5" t="str">
        <f>AVERAGEIFS('Data Combined - all-runs'!$I:$I, 'Data Combined - all-runs'!$A:$A, A173,'Data Combined - all-runs'!$B:$B, B173,'Data Combined - all-runs'!$C:$C, C173, 'Data Combined - all-runs'!$D:$D, D173, 'Data Combined - all-runs'!$E:$E, E173)</f>
        <v>#DIV/0!</v>
      </c>
      <c r="J173" s="5">
        <f>AVERAGEIFS('Data Combined - all-runs'!$J:$J, 'Data Combined - all-runs'!$A:$A, A173,'Data Combined - all-runs'!$B:$B, B173,'Data Combined - all-runs'!$C:$C, C173, 'Data Combined - all-runs'!$D:$D, D173, 'Data Combined - all-runs'!$E:$E, E173)</f>
        <v>306</v>
      </c>
      <c r="K173" s="5">
        <f>AVERAGEIFS('Data Combined - all-runs'!$K:$K, 'Data Combined - all-runs'!$A:$A, A173,'Data Combined - all-runs'!$B:$B, B173,'Data Combined - all-runs'!$C:$C, C173, 'Data Combined - all-runs'!$D:$D, D173, 'Data Combined - all-runs'!$E:$E, E173)</f>
        <v>0.1968819599</v>
      </c>
      <c r="L173" s="5">
        <f>AVERAGEIFS('Data Combined - all-runs'!$L:$L, 'Data Combined - all-runs'!$A:$A, A173,'Data Combined - all-runs'!$B:$B, B173,'Data Combined - all-runs'!$C:$C, C173, 'Data Combined - all-runs'!$D:$D, D173, 'Data Combined - all-runs'!$E:$E, E173)</f>
        <v>29884.83571</v>
      </c>
      <c r="M173" s="5">
        <f>AVERAGEIFS('Data Combined - all-runs'!$M:$M, 'Data Combined - all-runs'!$A:$A, A173,'Data Combined - all-runs'!$B:$B, B173,'Data Combined - all-runs'!$C:$C, C173, 'Data Combined - all-runs'!$D:$D, D173, 'Data Combined - all-runs'!$E:$E, E173)</f>
        <v>69</v>
      </c>
      <c r="N173" s="5">
        <f>AVERAGEIFS('Data Combined - all-runs'!$N:$N, 'Data Combined - all-runs'!$A:$A, A173,'Data Combined - all-runs'!$B:$B, B173,'Data Combined - all-runs'!$C:$C, C173, 'Data Combined - all-runs'!$D:$D, D173, 'Data Combined - all-runs'!$E:$E, E173)</f>
        <v>15</v>
      </c>
      <c r="O173" s="5">
        <f>AVERAGEIFS('Data Combined - all-runs'!$O:$O, 'Data Combined - all-runs'!$A:$A, A173,'Data Combined - all-runs'!$B:$B, B173,'Data Combined - all-runs'!$C:$C, C173, 'Data Combined - all-runs'!$D:$D, D173, 'Data Combined - all-runs'!$E:$E, E173)</f>
        <v>2245</v>
      </c>
      <c r="P173" s="5">
        <f>AVERAGEIFS('Data Combined - all-runs'!$P:$P, 'Data Combined - all-runs'!$A:$A, A173,'Data Combined - all-runs'!$B:$B, B173,'Data Combined - all-runs'!$C:$C, C173, 'Data Combined - all-runs'!$D:$D, D173, 'Data Combined - all-runs'!$E:$E, E173)</f>
        <v>6.681514477</v>
      </c>
      <c r="Q173" s="5">
        <f>AVERAGEIFS('Data Combined - all-runs'!$Q:$Q, 'Data Combined - all-runs'!$A:$A, A173,'Data Combined - all-runs'!$B:$B, B173,'Data Combined - all-runs'!$C:$C, C173, 'Data Combined - all-runs'!$D:$D, D173, 'Data Combined - all-runs'!$E:$E, E173)</f>
        <v>745.6570156</v>
      </c>
      <c r="R173" s="5">
        <f>AVERAGEIFS('Data Combined - all-runs'!$R:$R, 'Data Combined - all-runs'!$A:$A, A173,'Data Combined - all-runs'!$B:$B, B173,'Data Combined - all-runs'!$C:$C, C173, 'Data Combined - all-runs'!$D:$D, D173, 'Data Combined - all-runs'!$E:$E, E173)</f>
        <v>111.6</v>
      </c>
      <c r="S173" s="5">
        <f>AVERAGEIFS('Data Combined - all-runs'!$S:$S, 'Data Combined - all-runs'!$A:$A, A173,'Data Combined - all-runs'!$B:$B, B173,'Data Combined - all-runs'!$C:$C, C173, 'Data Combined - all-runs'!$D:$D, D173, 'Data Combined - all-runs'!$E:$E, E173)</f>
        <v>0.1827956989</v>
      </c>
      <c r="T173" s="5" t="str">
        <f>AVERAGEIFS('Data Combined - all-runs'!$T:$T, 'Data Combined - all-runs'!$A:$A, A173,'Data Combined - all-runs'!$B:$B, B173,'Data Combined - all-runs'!$C:$C, C173, 'Data Combined - all-runs'!$D:$D, D173, 'Data Combined - all-runs'!$E:$E, E173)</f>
        <v>#DIV/0!</v>
      </c>
      <c r="U173" s="5" t="b">
        <f t="shared" si="1"/>
        <v>1</v>
      </c>
      <c r="V173" s="5" t="b">
        <f t="shared" si="2"/>
        <v>1</v>
      </c>
      <c r="W173" s="5" t="b">
        <f t="shared" si="3"/>
        <v>1</v>
      </c>
    </row>
    <row r="174">
      <c r="A174" s="2" t="s">
        <v>460</v>
      </c>
      <c r="B174" s="2" t="s">
        <v>22</v>
      </c>
      <c r="C174" s="2" t="s">
        <v>23</v>
      </c>
      <c r="D174" s="2" t="s">
        <v>102</v>
      </c>
      <c r="E174" s="2" t="s">
        <v>47</v>
      </c>
      <c r="H174" s="5">
        <f>AVERAGEIFS('Data Combined - all-runs'!$H:$H, 'Data Combined - all-runs'!$A:$A, A174,'Data Combined - all-runs'!$B:$B, B174,'Data Combined - all-runs'!$C:$C, C174, 'Data Combined - all-runs'!$D:$D, D174, 'Data Combined - all-runs'!$E:$E, E174)</f>
        <v>1195</v>
      </c>
      <c r="I174" s="5" t="str">
        <f>AVERAGEIFS('Data Combined - all-runs'!$I:$I, 'Data Combined - all-runs'!$A:$A, A174,'Data Combined - all-runs'!$B:$B, B174,'Data Combined - all-runs'!$C:$C, C174, 'Data Combined - all-runs'!$D:$D, D174, 'Data Combined - all-runs'!$E:$E, E174)</f>
        <v>#DIV/0!</v>
      </c>
      <c r="J174" s="5">
        <f>AVERAGEIFS('Data Combined - all-runs'!$J:$J, 'Data Combined - all-runs'!$A:$A, A174,'Data Combined - all-runs'!$B:$B, B174,'Data Combined - all-runs'!$C:$C, C174, 'Data Combined - all-runs'!$D:$D, D174, 'Data Combined - all-runs'!$E:$E, E174)</f>
        <v>360</v>
      </c>
      <c r="K174" s="5">
        <f>AVERAGEIFS('Data Combined - all-runs'!$K:$K, 'Data Combined - all-runs'!$A:$A, A174,'Data Combined - all-runs'!$B:$B, B174,'Data Combined - all-runs'!$C:$C, C174, 'Data Combined - all-runs'!$D:$D, D174, 'Data Combined - all-runs'!$E:$E, E174)</f>
        <v>0.1310958118</v>
      </c>
      <c r="L174" s="5">
        <f>AVERAGEIFS('Data Combined - all-runs'!$L:$L, 'Data Combined - all-runs'!$A:$A, A174,'Data Combined - all-runs'!$B:$B, B174,'Data Combined - all-runs'!$C:$C, C174, 'Data Combined - all-runs'!$D:$D, D174, 'Data Combined - all-runs'!$E:$E, E174)</f>
        <v>21746.2524</v>
      </c>
      <c r="M174" s="5">
        <f>AVERAGEIFS('Data Combined - all-runs'!$M:$M, 'Data Combined - all-runs'!$A:$A, A174,'Data Combined - all-runs'!$B:$B, B174,'Data Combined - all-runs'!$C:$C, C174, 'Data Combined - all-runs'!$D:$D, D174, 'Data Combined - all-runs'!$E:$E, E174)</f>
        <v>181</v>
      </c>
      <c r="N174" s="5">
        <f>AVERAGEIFS('Data Combined - all-runs'!$N:$N, 'Data Combined - all-runs'!$A:$A, A174,'Data Combined - all-runs'!$B:$B, B174,'Data Combined - all-runs'!$C:$C, C174, 'Data Combined - all-runs'!$D:$D, D174, 'Data Combined - all-runs'!$E:$E, E174)</f>
        <v>9</v>
      </c>
      <c r="O174" s="5">
        <f>AVERAGEIFS('Data Combined - all-runs'!$O:$O, 'Data Combined - all-runs'!$A:$A, A174,'Data Combined - all-runs'!$B:$B, B174,'Data Combined - all-runs'!$C:$C, C174, 'Data Combined - all-runs'!$D:$D, D174, 'Data Combined - all-runs'!$E:$E, E174)</f>
        <v>1743</v>
      </c>
      <c r="P174" s="5">
        <f>AVERAGEIFS('Data Combined - all-runs'!$P:$P, 'Data Combined - all-runs'!$A:$A, A174,'Data Combined - all-runs'!$B:$B, B174,'Data Combined - all-runs'!$C:$C, C174, 'Data Combined - all-runs'!$D:$D, D174, 'Data Combined - all-runs'!$E:$E, E174)</f>
        <v>5.163511188</v>
      </c>
      <c r="Q174" s="5">
        <f>AVERAGEIFS('Data Combined - all-runs'!$Q:$Q, 'Data Combined - all-runs'!$A:$A, A174,'Data Combined - all-runs'!$B:$B, B174,'Data Combined - all-runs'!$C:$C, C174, 'Data Combined - all-runs'!$D:$D, D174, 'Data Combined - all-runs'!$E:$E, E174)</f>
        <v>685.599541</v>
      </c>
      <c r="R174" s="5">
        <f>AVERAGEIFS('Data Combined - all-runs'!$R:$R, 'Data Combined - all-runs'!$A:$A, A174,'Data Combined - all-runs'!$B:$B, B174,'Data Combined - all-runs'!$C:$C, C174, 'Data Combined - all-runs'!$D:$D, D174, 'Data Combined - all-runs'!$E:$E, E174)</f>
        <v>132.7777778</v>
      </c>
      <c r="S174" s="5">
        <f>AVERAGEIFS('Data Combined - all-runs'!$S:$S, 'Data Combined - all-runs'!$A:$A, A174,'Data Combined - all-runs'!$B:$B, B174,'Data Combined - all-runs'!$C:$C, C174, 'Data Combined - all-runs'!$D:$D, D174, 'Data Combined - all-runs'!$E:$E, E174)</f>
        <v>0.3012552301</v>
      </c>
      <c r="T174" s="5" t="str">
        <f>AVERAGEIFS('Data Combined - all-runs'!$T:$T, 'Data Combined - all-runs'!$A:$A, A174,'Data Combined - all-runs'!$B:$B, B174,'Data Combined - all-runs'!$C:$C, C174, 'Data Combined - all-runs'!$D:$D, D174, 'Data Combined - all-runs'!$E:$E, E174)</f>
        <v>#DIV/0!</v>
      </c>
      <c r="U174" s="5" t="b">
        <f t="shared" si="1"/>
        <v>1</v>
      </c>
      <c r="V174" s="5" t="b">
        <f t="shared" si="2"/>
        <v>1</v>
      </c>
      <c r="W174" s="5" t="b">
        <f t="shared" si="3"/>
        <v>1</v>
      </c>
    </row>
    <row r="175">
      <c r="A175" s="2" t="s">
        <v>460</v>
      </c>
      <c r="B175" s="2" t="s">
        <v>22</v>
      </c>
      <c r="C175" s="2" t="s">
        <v>23</v>
      </c>
      <c r="D175" s="2" t="s">
        <v>102</v>
      </c>
      <c r="E175" s="2" t="s">
        <v>51</v>
      </c>
      <c r="H175" s="5">
        <f>AVERAGEIFS('Data Combined - all-runs'!$H:$H, 'Data Combined - all-runs'!$A:$A, A175,'Data Combined - all-runs'!$B:$B, B175,'Data Combined - all-runs'!$C:$C, C175, 'Data Combined - all-runs'!$D:$D, D175, 'Data Combined - all-runs'!$E:$E, E175)</f>
        <v>754</v>
      </c>
      <c r="I175" s="5" t="str">
        <f>AVERAGEIFS('Data Combined - all-runs'!$I:$I, 'Data Combined - all-runs'!$A:$A, A175,'Data Combined - all-runs'!$B:$B, B175,'Data Combined - all-runs'!$C:$C, C175, 'Data Combined - all-runs'!$D:$D, D175, 'Data Combined - all-runs'!$E:$E, E175)</f>
        <v>#DIV/0!</v>
      </c>
      <c r="J175" s="5">
        <f>AVERAGEIFS('Data Combined - all-runs'!$J:$J, 'Data Combined - all-runs'!$A:$A, A175,'Data Combined - all-runs'!$B:$B, B175,'Data Combined - all-runs'!$C:$C, C175, 'Data Combined - all-runs'!$D:$D, D175, 'Data Combined - all-runs'!$E:$E, E175)</f>
        <v>63</v>
      </c>
      <c r="K175" s="5">
        <f>AVERAGEIFS('Data Combined - all-runs'!$K:$K, 'Data Combined - all-runs'!$A:$A, A175,'Data Combined - all-runs'!$B:$B, B175,'Data Combined - all-runs'!$C:$C, C175, 'Data Combined - all-runs'!$D:$D, D175, 'Data Combined - all-runs'!$E:$E, E175)</f>
        <v>0.06910828025</v>
      </c>
      <c r="L175" s="5">
        <f>AVERAGEIFS('Data Combined - all-runs'!$L:$L, 'Data Combined - all-runs'!$A:$A, A175,'Data Combined - all-runs'!$B:$B, B175,'Data Combined - all-runs'!$C:$C, C175, 'Data Combined - all-runs'!$D:$D, D175, 'Data Combined - all-runs'!$E:$E, E175)</f>
        <v>13144.55332</v>
      </c>
      <c r="M175" s="5">
        <f>AVERAGEIFS('Data Combined - all-runs'!$M:$M, 'Data Combined - all-runs'!$A:$A, A175,'Data Combined - all-runs'!$B:$B, B175,'Data Combined - all-runs'!$C:$C, C175, 'Data Combined - all-runs'!$D:$D, D175, 'Data Combined - all-runs'!$E:$E, E175)</f>
        <v>49</v>
      </c>
      <c r="N175" s="5">
        <f>AVERAGEIFS('Data Combined - all-runs'!$N:$N, 'Data Combined - all-runs'!$A:$A, A175,'Data Combined - all-runs'!$B:$B, B175,'Data Combined - all-runs'!$C:$C, C175, 'Data Combined - all-runs'!$D:$D, D175, 'Data Combined - all-runs'!$E:$E, E175)</f>
        <v>9</v>
      </c>
      <c r="O175" s="5">
        <f>AVERAGEIFS('Data Combined - all-runs'!$O:$O, 'Data Combined - all-runs'!$A:$A, A175,'Data Combined - all-runs'!$B:$B, B175,'Data Combined - all-runs'!$C:$C, C175, 'Data Combined - all-runs'!$D:$D, D175, 'Data Combined - all-runs'!$E:$E, E175)</f>
        <v>1570</v>
      </c>
      <c r="P175" s="5">
        <f>AVERAGEIFS('Data Combined - all-runs'!$P:$P, 'Data Combined - all-runs'!$A:$A, A175,'Data Combined - all-runs'!$B:$B, B175,'Data Combined - all-runs'!$C:$C, C175, 'Data Combined - all-runs'!$D:$D, D175, 'Data Combined - all-runs'!$E:$E, E175)</f>
        <v>5.732484076</v>
      </c>
      <c r="Q175" s="5">
        <f>AVERAGEIFS('Data Combined - all-runs'!$Q:$Q, 'Data Combined - all-runs'!$A:$A, A175,'Data Combined - all-runs'!$B:$B, B175,'Data Combined - all-runs'!$C:$C, C175, 'Data Combined - all-runs'!$D:$D, D175, 'Data Combined - all-runs'!$E:$E, E175)</f>
        <v>480.2547771</v>
      </c>
      <c r="R175" s="5">
        <f>AVERAGEIFS('Data Combined - all-runs'!$R:$R, 'Data Combined - all-runs'!$A:$A, A175,'Data Combined - all-runs'!$B:$B, B175,'Data Combined - all-runs'!$C:$C, C175, 'Data Combined - all-runs'!$D:$D, D175, 'Data Combined - all-runs'!$E:$E, E175)</f>
        <v>83.77777778</v>
      </c>
      <c r="S175" s="5">
        <f>AVERAGEIFS('Data Combined - all-runs'!$S:$S, 'Data Combined - all-runs'!$A:$A, A175,'Data Combined - all-runs'!$B:$B, B175,'Data Combined - all-runs'!$C:$C, C175, 'Data Combined - all-runs'!$D:$D, D175, 'Data Combined - all-runs'!$E:$E, E175)</f>
        <v>0.08355437666</v>
      </c>
      <c r="T175" s="5" t="str">
        <f>AVERAGEIFS('Data Combined - all-runs'!$T:$T, 'Data Combined - all-runs'!$A:$A, A175,'Data Combined - all-runs'!$B:$B, B175,'Data Combined - all-runs'!$C:$C, C175, 'Data Combined - all-runs'!$D:$D, D175, 'Data Combined - all-runs'!$E:$E, E175)</f>
        <v>#DIV/0!</v>
      </c>
      <c r="U175" s="5" t="b">
        <f t="shared" si="1"/>
        <v>1</v>
      </c>
      <c r="V175" s="5" t="b">
        <f t="shared" si="2"/>
        <v>1</v>
      </c>
      <c r="W175" s="5" t="b">
        <f t="shared" si="3"/>
        <v>1</v>
      </c>
    </row>
    <row r="176">
      <c r="A176" s="2" t="s">
        <v>460</v>
      </c>
      <c r="B176" s="2" t="s">
        <v>22</v>
      </c>
      <c r="C176" s="2" t="s">
        <v>23</v>
      </c>
      <c r="D176" s="2" t="s">
        <v>118</v>
      </c>
      <c r="E176" s="2" t="s">
        <v>25</v>
      </c>
      <c r="H176" s="5">
        <f>AVERAGEIFS('Data Combined - all-runs'!$H:$H, 'Data Combined - all-runs'!$A:$A, A176,'Data Combined - all-runs'!$B:$B, B176,'Data Combined - all-runs'!$C:$C, C176, 'Data Combined - all-runs'!$D:$D, D176, 'Data Combined - all-runs'!$E:$E, E176)</f>
        <v>956</v>
      </c>
      <c r="I176" s="5" t="str">
        <f>AVERAGEIFS('Data Combined - all-runs'!$I:$I, 'Data Combined - all-runs'!$A:$A, A176,'Data Combined - all-runs'!$B:$B, B176,'Data Combined - all-runs'!$C:$C, C176, 'Data Combined - all-runs'!$D:$D, D176, 'Data Combined - all-runs'!$E:$E, E176)</f>
        <v>#DIV/0!</v>
      </c>
      <c r="J176" s="5">
        <f>AVERAGEIFS('Data Combined - all-runs'!$J:$J, 'Data Combined - all-runs'!$A:$A, A176,'Data Combined - all-runs'!$B:$B, B176,'Data Combined - all-runs'!$C:$C, C176, 'Data Combined - all-runs'!$D:$D, D176, 'Data Combined - all-runs'!$E:$E, E176)</f>
        <v>0</v>
      </c>
      <c r="K176" s="5">
        <f>AVERAGEIFS('Data Combined - all-runs'!$K:$K, 'Data Combined - all-runs'!$A:$A, A176,'Data Combined - all-runs'!$B:$B, B176,'Data Combined - all-runs'!$C:$C, C176, 'Data Combined - all-runs'!$D:$D, D176, 'Data Combined - all-runs'!$E:$E, E176)</f>
        <v>0.2517889088</v>
      </c>
      <c r="L176" s="5">
        <f>AVERAGEIFS('Data Combined - all-runs'!$L:$L, 'Data Combined - all-runs'!$A:$A, A176,'Data Combined - all-runs'!$B:$B, B176,'Data Combined - all-runs'!$C:$C, C176, 'Data Combined - all-runs'!$D:$D, D176, 'Data Combined - all-runs'!$E:$E, E176)</f>
        <v>2645.08655</v>
      </c>
      <c r="M176" s="5">
        <f>AVERAGEIFS('Data Combined - all-runs'!$M:$M, 'Data Combined - all-runs'!$A:$A, A176,'Data Combined - all-runs'!$B:$B, B176,'Data Combined - all-runs'!$C:$C, C176, 'Data Combined - all-runs'!$D:$D, D176, 'Data Combined - all-runs'!$E:$E, E176)</f>
        <v>61</v>
      </c>
      <c r="N176" s="5">
        <f>AVERAGEIFS('Data Combined - all-runs'!$N:$N, 'Data Combined - all-runs'!$A:$A, A176,'Data Combined - all-runs'!$B:$B, B176,'Data Combined - all-runs'!$C:$C, C176, 'Data Combined - all-runs'!$D:$D, D176, 'Data Combined - all-runs'!$E:$E, E176)</f>
        <v>9</v>
      </c>
      <c r="O176" s="5">
        <f>AVERAGEIFS('Data Combined - all-runs'!$O:$O, 'Data Combined - all-runs'!$A:$A, A176,'Data Combined - all-runs'!$B:$B, B176,'Data Combined - all-runs'!$C:$C, C176, 'Data Combined - all-runs'!$D:$D, D176, 'Data Combined - all-runs'!$E:$E, E176)</f>
        <v>1118</v>
      </c>
      <c r="P176" s="5">
        <f>AVERAGEIFS('Data Combined - all-runs'!$P:$P, 'Data Combined - all-runs'!$A:$A, A176,'Data Combined - all-runs'!$B:$B, B176,'Data Combined - all-runs'!$C:$C, C176, 'Data Combined - all-runs'!$D:$D, D176, 'Data Combined - all-runs'!$E:$E, E176)</f>
        <v>8.050089445</v>
      </c>
      <c r="Q176" s="5">
        <f>AVERAGEIFS('Data Combined - all-runs'!$Q:$Q, 'Data Combined - all-runs'!$A:$A, A176,'Data Combined - all-runs'!$B:$B, B176,'Data Combined - all-runs'!$C:$C, C176, 'Data Combined - all-runs'!$D:$D, D176, 'Data Combined - all-runs'!$E:$E, E176)</f>
        <v>855.09839</v>
      </c>
      <c r="R176" s="5">
        <f>AVERAGEIFS('Data Combined - all-runs'!$R:$R, 'Data Combined - all-runs'!$A:$A, A176,'Data Combined - all-runs'!$B:$B, B176,'Data Combined - all-runs'!$C:$C, C176, 'Data Combined - all-runs'!$D:$D, D176, 'Data Combined - all-runs'!$E:$E, E176)</f>
        <v>106.2222222</v>
      </c>
      <c r="S176" s="5">
        <f>AVERAGEIFS('Data Combined - all-runs'!$S:$S, 'Data Combined - all-runs'!$A:$A, A176,'Data Combined - all-runs'!$B:$B, B176,'Data Combined - all-runs'!$C:$C, C176, 'Data Combined - all-runs'!$D:$D, D176, 'Data Combined - all-runs'!$E:$E, E176)</f>
        <v>0</v>
      </c>
      <c r="T176" s="5" t="str">
        <f>AVERAGEIFS('Data Combined - all-runs'!$T:$T, 'Data Combined - all-runs'!$A:$A, A176,'Data Combined - all-runs'!$B:$B, B176,'Data Combined - all-runs'!$C:$C, C176, 'Data Combined - all-runs'!$D:$D, D176, 'Data Combined - all-runs'!$E:$E, E176)</f>
        <v>#DIV/0!</v>
      </c>
      <c r="U176" s="5" t="b">
        <f t="shared" si="1"/>
        <v>1</v>
      </c>
      <c r="V176" s="5" t="b">
        <f t="shared" si="2"/>
        <v>1</v>
      </c>
      <c r="W176" s="5" t="b">
        <f t="shared" si="3"/>
        <v>1</v>
      </c>
    </row>
    <row r="177">
      <c r="A177" s="2" t="s">
        <v>460</v>
      </c>
      <c r="B177" s="2" t="s">
        <v>22</v>
      </c>
      <c r="C177" s="2" t="s">
        <v>23</v>
      </c>
      <c r="D177" s="2" t="s">
        <v>118</v>
      </c>
      <c r="E177" s="2" t="s">
        <v>39</v>
      </c>
      <c r="H177" s="5">
        <f>AVERAGEIFS('Data Combined - all-runs'!$H:$H, 'Data Combined - all-runs'!$A:$A, A177,'Data Combined - all-runs'!$B:$B, B177,'Data Combined - all-runs'!$C:$C, C177, 'Data Combined - all-runs'!$D:$D, D177, 'Data Combined - all-runs'!$E:$E, E177)</f>
        <v>155</v>
      </c>
      <c r="I177" s="5" t="str">
        <f>AVERAGEIFS('Data Combined - all-runs'!$I:$I, 'Data Combined - all-runs'!$A:$A, A177,'Data Combined - all-runs'!$B:$B, B177,'Data Combined - all-runs'!$C:$C, C177, 'Data Combined - all-runs'!$D:$D, D177, 'Data Combined - all-runs'!$E:$E, E177)</f>
        <v>#DIV/0!</v>
      </c>
      <c r="J177" s="5">
        <f>AVERAGEIFS('Data Combined - all-runs'!$J:$J, 'Data Combined - all-runs'!$A:$A, A177,'Data Combined - all-runs'!$B:$B, B177,'Data Combined - all-runs'!$C:$C, C177, 'Data Combined - all-runs'!$D:$D, D177, 'Data Combined - all-runs'!$E:$E, E177)</f>
        <v>0</v>
      </c>
      <c r="K177" s="5">
        <f>AVERAGEIFS('Data Combined - all-runs'!$K:$K, 'Data Combined - all-runs'!$A:$A, A177,'Data Combined - all-runs'!$B:$B, B177,'Data Combined - all-runs'!$C:$C, C177, 'Data Combined - all-runs'!$D:$D, D177, 'Data Combined - all-runs'!$E:$E, E177)</f>
        <v>0.1025</v>
      </c>
      <c r="L177" s="5">
        <f>AVERAGEIFS('Data Combined - all-runs'!$L:$L, 'Data Combined - all-runs'!$A:$A, A177,'Data Combined - all-runs'!$B:$B, B177,'Data Combined - all-runs'!$C:$C, C177, 'Data Combined - all-runs'!$D:$D, D177, 'Data Combined - all-runs'!$E:$E, E177)</f>
        <v>597.7887182</v>
      </c>
      <c r="M177" s="5" t="str">
        <f>AVERAGEIFS('Data Combined - all-runs'!$M:$M, 'Data Combined - all-runs'!$A:$A, A177,'Data Combined - all-runs'!$B:$B, B177,'Data Combined - all-runs'!$C:$C, C177, 'Data Combined - all-runs'!$D:$D, D177, 'Data Combined - all-runs'!$E:$E, E177)</f>
        <v>#DIV/0!</v>
      </c>
      <c r="N177" s="5">
        <f>AVERAGEIFS('Data Combined - all-runs'!$N:$N, 'Data Combined - all-runs'!$A:$A, A177,'Data Combined - all-runs'!$B:$B, B177,'Data Combined - all-runs'!$C:$C, C177, 'Data Combined - all-runs'!$D:$D, D177, 'Data Combined - all-runs'!$E:$E, E177)</f>
        <v>0</v>
      </c>
      <c r="O177" s="5">
        <f>AVERAGEIFS('Data Combined - all-runs'!$O:$O, 'Data Combined - all-runs'!$A:$A, A177,'Data Combined - all-runs'!$B:$B, B177,'Data Combined - all-runs'!$C:$C, C177, 'Data Combined - all-runs'!$D:$D, D177, 'Data Combined - all-runs'!$E:$E, E177)</f>
        <v>500</v>
      </c>
      <c r="P177" s="5">
        <f>AVERAGEIFS('Data Combined - all-runs'!$P:$P, 'Data Combined - all-runs'!$A:$A, A177,'Data Combined - all-runs'!$B:$B, B177,'Data Combined - all-runs'!$C:$C, C177, 'Data Combined - all-runs'!$D:$D, D177, 'Data Combined - all-runs'!$E:$E, E177)</f>
        <v>0</v>
      </c>
      <c r="Q177" s="5">
        <f>AVERAGEIFS('Data Combined - all-runs'!$Q:$Q, 'Data Combined - all-runs'!$A:$A, A177,'Data Combined - all-runs'!$B:$B, B177,'Data Combined - all-runs'!$C:$C, C177, 'Data Combined - all-runs'!$D:$D, D177, 'Data Combined - all-runs'!$E:$E, E177)</f>
        <v>310</v>
      </c>
      <c r="R177" s="5" t="str">
        <f>AVERAGEIFS('Data Combined - all-runs'!$R:$R, 'Data Combined - all-runs'!$A:$A, A177,'Data Combined - all-runs'!$B:$B, B177,'Data Combined - all-runs'!$C:$C, C177, 'Data Combined - all-runs'!$D:$D, D177, 'Data Combined - all-runs'!$E:$E, E177)</f>
        <v>#DIV/0!</v>
      </c>
      <c r="S177" s="5">
        <f>AVERAGEIFS('Data Combined - all-runs'!$S:$S, 'Data Combined - all-runs'!$A:$A, A177,'Data Combined - all-runs'!$B:$B, B177,'Data Combined - all-runs'!$C:$C, C177, 'Data Combined - all-runs'!$D:$D, D177, 'Data Combined - all-runs'!$E:$E, E177)</f>
        <v>0</v>
      </c>
      <c r="T177" s="5" t="str">
        <f>AVERAGEIFS('Data Combined - all-runs'!$T:$T, 'Data Combined - all-runs'!$A:$A, A177,'Data Combined - all-runs'!$B:$B, B177,'Data Combined - all-runs'!$C:$C, C177, 'Data Combined - all-runs'!$D:$D, D177, 'Data Combined - all-runs'!$E:$E, E177)</f>
        <v>#DIV/0!</v>
      </c>
      <c r="U177" s="5" t="b">
        <f t="shared" si="1"/>
        <v>1</v>
      </c>
      <c r="V177" s="5" t="b">
        <f t="shared" si="2"/>
        <v>1</v>
      </c>
      <c r="W177" s="5" t="b">
        <f t="shared" si="3"/>
        <v>1</v>
      </c>
    </row>
    <row r="178">
      <c r="A178" s="2" t="s">
        <v>460</v>
      </c>
      <c r="B178" s="2" t="s">
        <v>22</v>
      </c>
      <c r="C178" s="2" t="s">
        <v>23</v>
      </c>
      <c r="D178" s="2" t="s">
        <v>118</v>
      </c>
      <c r="E178" s="2" t="s">
        <v>43</v>
      </c>
      <c r="H178" s="5">
        <f>AVERAGEIFS('Data Combined - all-runs'!$H:$H, 'Data Combined - all-runs'!$A:$A, A178,'Data Combined - all-runs'!$B:$B, B178,'Data Combined - all-runs'!$C:$C, C178, 'Data Combined - all-runs'!$D:$D, D178, 'Data Combined - all-runs'!$E:$E, E178)</f>
        <v>1214</v>
      </c>
      <c r="I178" s="5" t="str">
        <f>AVERAGEIFS('Data Combined - all-runs'!$I:$I, 'Data Combined - all-runs'!$A:$A, A178,'Data Combined - all-runs'!$B:$B, B178,'Data Combined - all-runs'!$C:$C, C178, 'Data Combined - all-runs'!$D:$D, D178, 'Data Combined - all-runs'!$E:$E, E178)</f>
        <v>#DIV/0!</v>
      </c>
      <c r="J178" s="5">
        <f>AVERAGEIFS('Data Combined - all-runs'!$J:$J, 'Data Combined - all-runs'!$A:$A, A178,'Data Combined - all-runs'!$B:$B, B178,'Data Combined - all-runs'!$C:$C, C178, 'Data Combined - all-runs'!$D:$D, D178, 'Data Combined - all-runs'!$E:$E, E178)</f>
        <v>30</v>
      </c>
      <c r="K178" s="5">
        <f>AVERAGEIFS('Data Combined - all-runs'!$K:$K, 'Data Combined - all-runs'!$A:$A, A178,'Data Combined - all-runs'!$B:$B, B178,'Data Combined - all-runs'!$C:$C, C178, 'Data Combined - all-runs'!$D:$D, D178, 'Data Combined - all-runs'!$E:$E, E178)</f>
        <v>0.09880686055</v>
      </c>
      <c r="L178" s="5">
        <f>AVERAGEIFS('Data Combined - all-runs'!$L:$L, 'Data Combined - all-runs'!$A:$A, A178,'Data Combined - all-runs'!$B:$B, B178,'Data Combined - all-runs'!$C:$C, C178, 'Data Combined - all-runs'!$D:$D, D178, 'Data Combined - all-runs'!$E:$E, E178)</f>
        <v>5820.015657</v>
      </c>
      <c r="M178" s="5">
        <f>AVERAGEIFS('Data Combined - all-runs'!$M:$M, 'Data Combined - all-runs'!$A:$A, A178,'Data Combined - all-runs'!$B:$B, B178,'Data Combined - all-runs'!$C:$C, C178, 'Data Combined - all-runs'!$D:$D, D178, 'Data Combined - all-runs'!$E:$E, E178)</f>
        <v>56</v>
      </c>
      <c r="N178" s="5">
        <f>AVERAGEIFS('Data Combined - all-runs'!$N:$N, 'Data Combined - all-runs'!$A:$A, A178,'Data Combined - all-runs'!$B:$B, B178,'Data Combined - all-runs'!$C:$C, C178, 'Data Combined - all-runs'!$D:$D, D178, 'Data Combined - all-runs'!$E:$E, E178)</f>
        <v>15</v>
      </c>
      <c r="O178" s="5">
        <f>AVERAGEIFS('Data Combined - all-runs'!$O:$O, 'Data Combined - all-runs'!$A:$A, A178,'Data Combined - all-runs'!$B:$B, B178,'Data Combined - all-runs'!$C:$C, C178, 'Data Combined - all-runs'!$D:$D, D178, 'Data Combined - all-runs'!$E:$E, E178)</f>
        <v>2235</v>
      </c>
      <c r="P178" s="5">
        <f>AVERAGEIFS('Data Combined - all-runs'!$P:$P, 'Data Combined - all-runs'!$A:$A, A178,'Data Combined - all-runs'!$B:$B, B178,'Data Combined - all-runs'!$C:$C, C178, 'Data Combined - all-runs'!$D:$D, D178, 'Data Combined - all-runs'!$E:$E, E178)</f>
        <v>6.711409396</v>
      </c>
      <c r="Q178" s="5">
        <f>AVERAGEIFS('Data Combined - all-runs'!$Q:$Q, 'Data Combined - all-runs'!$A:$A, A178,'Data Combined - all-runs'!$B:$B, B178,'Data Combined - all-runs'!$C:$C, C178, 'Data Combined - all-runs'!$D:$D, D178, 'Data Combined - all-runs'!$E:$E, E178)</f>
        <v>543.1767338</v>
      </c>
      <c r="R178" s="5">
        <f>AVERAGEIFS('Data Combined - all-runs'!$R:$R, 'Data Combined - all-runs'!$A:$A, A178,'Data Combined - all-runs'!$B:$B, B178,'Data Combined - all-runs'!$C:$C, C178, 'Data Combined - all-runs'!$D:$D, D178, 'Data Combined - all-runs'!$E:$E, E178)</f>
        <v>80.93333333</v>
      </c>
      <c r="S178" s="5">
        <f>AVERAGEIFS('Data Combined - all-runs'!$S:$S, 'Data Combined - all-runs'!$A:$A, A178,'Data Combined - all-runs'!$B:$B, B178,'Data Combined - all-runs'!$C:$C, C178, 'Data Combined - all-runs'!$D:$D, D178, 'Data Combined - all-runs'!$E:$E, E178)</f>
        <v>0.02471169687</v>
      </c>
      <c r="T178" s="5" t="str">
        <f>AVERAGEIFS('Data Combined - all-runs'!$T:$T, 'Data Combined - all-runs'!$A:$A, A178,'Data Combined - all-runs'!$B:$B, B178,'Data Combined - all-runs'!$C:$C, C178, 'Data Combined - all-runs'!$D:$D, D178, 'Data Combined - all-runs'!$E:$E, E178)</f>
        <v>#DIV/0!</v>
      </c>
      <c r="U178" s="5" t="b">
        <f t="shared" si="1"/>
        <v>1</v>
      </c>
      <c r="V178" s="5" t="b">
        <f t="shared" si="2"/>
        <v>1</v>
      </c>
      <c r="W178" s="5" t="b">
        <f t="shared" si="3"/>
        <v>1</v>
      </c>
    </row>
    <row r="179">
      <c r="A179" s="2" t="s">
        <v>460</v>
      </c>
      <c r="B179" s="2" t="s">
        <v>22</v>
      </c>
      <c r="C179" s="2" t="s">
        <v>23</v>
      </c>
      <c r="D179" s="2" t="s">
        <v>118</v>
      </c>
      <c r="E179" s="2" t="s">
        <v>34</v>
      </c>
      <c r="H179" s="5">
        <f>AVERAGEIFS('Data Combined - all-runs'!$H:$H, 'Data Combined - all-runs'!$A:$A, A179,'Data Combined - all-runs'!$B:$B, B179,'Data Combined - all-runs'!$C:$C, C179, 'Data Combined - all-runs'!$D:$D, D179, 'Data Combined - all-runs'!$E:$E, E179)</f>
        <v>499</v>
      </c>
      <c r="I179" s="5" t="str">
        <f>AVERAGEIFS('Data Combined - all-runs'!$I:$I, 'Data Combined - all-runs'!$A:$A, A179,'Data Combined - all-runs'!$B:$B, B179,'Data Combined - all-runs'!$C:$C, C179, 'Data Combined - all-runs'!$D:$D, D179, 'Data Combined - all-runs'!$E:$E, E179)</f>
        <v>#DIV/0!</v>
      </c>
      <c r="J179" s="5">
        <f>AVERAGEIFS('Data Combined - all-runs'!$J:$J, 'Data Combined - all-runs'!$A:$A, A179,'Data Combined - all-runs'!$B:$B, B179,'Data Combined - all-runs'!$C:$C, C179, 'Data Combined - all-runs'!$D:$D, D179, 'Data Combined - all-runs'!$E:$E, E179)</f>
        <v>162</v>
      </c>
      <c r="K179" s="5">
        <f>AVERAGEIFS('Data Combined - all-runs'!$K:$K, 'Data Combined - all-runs'!$A:$A, A179,'Data Combined - all-runs'!$B:$B, B179,'Data Combined - all-runs'!$C:$C, C179, 'Data Combined - all-runs'!$D:$D, D179, 'Data Combined - all-runs'!$E:$E, E179)</f>
        <v>0.3286666667</v>
      </c>
      <c r="L179" s="5">
        <f>AVERAGEIFS('Data Combined - all-runs'!$L:$L, 'Data Combined - all-runs'!$A:$A, A179,'Data Combined - all-runs'!$B:$B, B179,'Data Combined - all-runs'!$C:$C, C179, 'Data Combined - all-runs'!$D:$D, D179, 'Data Combined - all-runs'!$E:$E, E179)</f>
        <v>3351.93669</v>
      </c>
      <c r="M179" s="5" t="str">
        <f>AVERAGEIFS('Data Combined - all-runs'!$M:$M, 'Data Combined - all-runs'!$A:$A, A179,'Data Combined - all-runs'!$B:$B, B179,'Data Combined - all-runs'!$C:$C, C179, 'Data Combined - all-runs'!$D:$D, D179, 'Data Combined - all-runs'!$E:$E, E179)</f>
        <v>#DIV/0!</v>
      </c>
      <c r="N179" s="5">
        <f>AVERAGEIFS('Data Combined - all-runs'!$N:$N, 'Data Combined - all-runs'!$A:$A, A179,'Data Combined - all-runs'!$B:$B, B179,'Data Combined - all-runs'!$C:$C, C179, 'Data Combined - all-runs'!$D:$D, D179, 'Data Combined - all-runs'!$E:$E, E179)</f>
        <v>0</v>
      </c>
      <c r="O179" s="5">
        <f>AVERAGEIFS('Data Combined - all-runs'!$O:$O, 'Data Combined - all-runs'!$A:$A, A179,'Data Combined - all-runs'!$B:$B, B179,'Data Combined - all-runs'!$C:$C, C179, 'Data Combined - all-runs'!$D:$D, D179, 'Data Combined - all-runs'!$E:$E, E179)</f>
        <v>500</v>
      </c>
      <c r="P179" s="5">
        <f>AVERAGEIFS('Data Combined - all-runs'!$P:$P, 'Data Combined - all-runs'!$A:$A, A179,'Data Combined - all-runs'!$B:$B, B179,'Data Combined - all-runs'!$C:$C, C179, 'Data Combined - all-runs'!$D:$D, D179, 'Data Combined - all-runs'!$E:$E, E179)</f>
        <v>0</v>
      </c>
      <c r="Q179" s="5">
        <f>AVERAGEIFS('Data Combined - all-runs'!$Q:$Q, 'Data Combined - all-runs'!$A:$A, A179,'Data Combined - all-runs'!$B:$B, B179,'Data Combined - all-runs'!$C:$C, C179, 'Data Combined - all-runs'!$D:$D, D179, 'Data Combined - all-runs'!$E:$E, E179)</f>
        <v>998</v>
      </c>
      <c r="R179" s="5" t="str">
        <f>AVERAGEIFS('Data Combined - all-runs'!$R:$R, 'Data Combined - all-runs'!$A:$A, A179,'Data Combined - all-runs'!$B:$B, B179,'Data Combined - all-runs'!$C:$C, C179, 'Data Combined - all-runs'!$D:$D, D179, 'Data Combined - all-runs'!$E:$E, E179)</f>
        <v>#DIV/0!</v>
      </c>
      <c r="S179" s="5">
        <f>AVERAGEIFS('Data Combined - all-runs'!$S:$S, 'Data Combined - all-runs'!$A:$A, A179,'Data Combined - all-runs'!$B:$B, B179,'Data Combined - all-runs'!$C:$C, C179, 'Data Combined - all-runs'!$D:$D, D179, 'Data Combined - all-runs'!$E:$E, E179)</f>
        <v>0.3246492986</v>
      </c>
      <c r="T179" s="5" t="str">
        <f>AVERAGEIFS('Data Combined - all-runs'!$T:$T, 'Data Combined - all-runs'!$A:$A, A179,'Data Combined - all-runs'!$B:$B, B179,'Data Combined - all-runs'!$C:$C, C179, 'Data Combined - all-runs'!$D:$D, D179, 'Data Combined - all-runs'!$E:$E, E179)</f>
        <v>#DIV/0!</v>
      </c>
      <c r="U179" s="5" t="b">
        <f t="shared" si="1"/>
        <v>1</v>
      </c>
      <c r="V179" s="5" t="b">
        <f t="shared" si="2"/>
        <v>1</v>
      </c>
      <c r="W179" s="5" t="b">
        <f t="shared" si="3"/>
        <v>1</v>
      </c>
    </row>
    <row r="180">
      <c r="A180" s="2" t="s">
        <v>460</v>
      </c>
      <c r="B180" s="2" t="s">
        <v>22</v>
      </c>
      <c r="C180" s="2" t="s">
        <v>23</v>
      </c>
      <c r="D180" s="2" t="s">
        <v>118</v>
      </c>
      <c r="E180" s="2" t="s">
        <v>47</v>
      </c>
      <c r="H180" s="5">
        <f>AVERAGEIFS('Data Combined - all-runs'!$H:$H, 'Data Combined - all-runs'!$A:$A, A180,'Data Combined - all-runs'!$B:$B, B180,'Data Combined - all-runs'!$C:$C, C180, 'Data Combined - all-runs'!$D:$D, D180, 'Data Combined - all-runs'!$E:$E, E180)</f>
        <v>2217</v>
      </c>
      <c r="I180" s="5" t="str">
        <f>AVERAGEIFS('Data Combined - all-runs'!$I:$I, 'Data Combined - all-runs'!$A:$A, A180,'Data Combined - all-runs'!$B:$B, B180,'Data Combined - all-runs'!$C:$C, C180, 'Data Combined - all-runs'!$D:$D, D180, 'Data Combined - all-runs'!$E:$E, E180)</f>
        <v>#DIV/0!</v>
      </c>
      <c r="J180" s="5">
        <f>AVERAGEIFS('Data Combined - all-runs'!$J:$J, 'Data Combined - all-runs'!$A:$A, A180,'Data Combined - all-runs'!$B:$B, B180,'Data Combined - all-runs'!$C:$C, C180, 'Data Combined - all-runs'!$D:$D, D180, 'Data Combined - all-runs'!$E:$E, E180)</f>
        <v>1253</v>
      </c>
      <c r="K180" s="5">
        <f>AVERAGEIFS('Data Combined - all-runs'!$K:$K, 'Data Combined - all-runs'!$A:$A, A180,'Data Combined - all-runs'!$B:$B, B180,'Data Combined - all-runs'!$C:$C, C180, 'Data Combined - all-runs'!$D:$D, D180, 'Data Combined - all-runs'!$E:$E, E180)</f>
        <v>0.188523791</v>
      </c>
      <c r="L180" s="5">
        <f>AVERAGEIFS('Data Combined - all-runs'!$L:$L, 'Data Combined - all-runs'!$A:$A, A180,'Data Combined - all-runs'!$B:$B, B180,'Data Combined - all-runs'!$C:$C, C180, 'Data Combined - all-runs'!$D:$D, D180, 'Data Combined - all-runs'!$E:$E, E180)</f>
        <v>14025.24121</v>
      </c>
      <c r="M180" s="5">
        <f>AVERAGEIFS('Data Combined - all-runs'!$M:$M, 'Data Combined - all-runs'!$A:$A, A180,'Data Combined - all-runs'!$B:$B, B180,'Data Combined - all-runs'!$C:$C, C180, 'Data Combined - all-runs'!$D:$D, D180, 'Data Combined - all-runs'!$E:$E, E180)</f>
        <v>425</v>
      </c>
      <c r="N180" s="5">
        <f>AVERAGEIFS('Data Combined - all-runs'!$N:$N, 'Data Combined - all-runs'!$A:$A, A180,'Data Combined - all-runs'!$B:$B, B180,'Data Combined - all-runs'!$C:$C, C180, 'Data Combined - all-runs'!$D:$D, D180, 'Data Combined - all-runs'!$E:$E, E180)</f>
        <v>16</v>
      </c>
      <c r="O180" s="5">
        <f>AVERAGEIFS('Data Combined - all-runs'!$O:$O, 'Data Combined - all-runs'!$A:$A, A180,'Data Combined - all-runs'!$B:$B, B180,'Data Combined - all-runs'!$C:$C, C180, 'Data Combined - all-runs'!$D:$D, D180, 'Data Combined - all-runs'!$E:$E, E180)</f>
        <v>2564</v>
      </c>
      <c r="P180" s="5">
        <f>AVERAGEIFS('Data Combined - all-runs'!$P:$P, 'Data Combined - all-runs'!$A:$A, A180,'Data Combined - all-runs'!$B:$B, B180,'Data Combined - all-runs'!$C:$C, C180, 'Data Combined - all-runs'!$D:$D, D180, 'Data Combined - all-runs'!$E:$E, E180)</f>
        <v>6.24024961</v>
      </c>
      <c r="Q180" s="5">
        <f>AVERAGEIFS('Data Combined - all-runs'!$Q:$Q, 'Data Combined - all-runs'!$A:$A, A180,'Data Combined - all-runs'!$B:$B, B180,'Data Combined - all-runs'!$C:$C, C180, 'Data Combined - all-runs'!$D:$D, D180, 'Data Combined - all-runs'!$E:$E, E180)</f>
        <v>864.6645866</v>
      </c>
      <c r="R180" s="5">
        <f>AVERAGEIFS('Data Combined - all-runs'!$R:$R, 'Data Combined - all-runs'!$A:$A, A180,'Data Combined - all-runs'!$B:$B, B180,'Data Combined - all-runs'!$C:$C, C180, 'Data Combined - all-runs'!$D:$D, D180, 'Data Combined - all-runs'!$E:$E, E180)</f>
        <v>138.5625</v>
      </c>
      <c r="S180" s="5">
        <f>AVERAGEIFS('Data Combined - all-runs'!$S:$S, 'Data Combined - all-runs'!$A:$A, A180,'Data Combined - all-runs'!$B:$B, B180,'Data Combined - all-runs'!$C:$C, C180, 'Data Combined - all-runs'!$D:$D, D180, 'Data Combined - all-runs'!$E:$E, E180)</f>
        <v>0.5651781687</v>
      </c>
      <c r="T180" s="5" t="str">
        <f>AVERAGEIFS('Data Combined - all-runs'!$T:$T, 'Data Combined - all-runs'!$A:$A, A180,'Data Combined - all-runs'!$B:$B, B180,'Data Combined - all-runs'!$C:$C, C180, 'Data Combined - all-runs'!$D:$D, D180, 'Data Combined - all-runs'!$E:$E, E180)</f>
        <v>#DIV/0!</v>
      </c>
      <c r="U180" s="5" t="b">
        <f t="shared" si="1"/>
        <v>1</v>
      </c>
      <c r="V180" s="5" t="b">
        <f t="shared" si="2"/>
        <v>1</v>
      </c>
      <c r="W180" s="5" t="b">
        <f t="shared" si="3"/>
        <v>1</v>
      </c>
    </row>
    <row r="181">
      <c r="A181" s="2" t="s">
        <v>460</v>
      </c>
      <c r="B181" s="2" t="s">
        <v>22</v>
      </c>
      <c r="C181" s="2" t="s">
        <v>23</v>
      </c>
      <c r="D181" s="2" t="s">
        <v>118</v>
      </c>
      <c r="E181" s="2" t="s">
        <v>51</v>
      </c>
      <c r="H181" s="5">
        <f>AVERAGEIFS('Data Combined - all-runs'!$H:$H, 'Data Combined - all-runs'!$A:$A, A181,'Data Combined - all-runs'!$B:$B, B181,'Data Combined - all-runs'!$C:$C, C181, 'Data Combined - all-runs'!$D:$D, D181, 'Data Combined - all-runs'!$E:$E, E181)</f>
        <v>492</v>
      </c>
      <c r="I181" s="5" t="str">
        <f>AVERAGEIFS('Data Combined - all-runs'!$I:$I, 'Data Combined - all-runs'!$A:$A, A181,'Data Combined - all-runs'!$B:$B, B181,'Data Combined - all-runs'!$C:$C, C181, 'Data Combined - all-runs'!$D:$D, D181, 'Data Combined - all-runs'!$E:$E, E181)</f>
        <v>#DIV/0!</v>
      </c>
      <c r="J181" s="5">
        <f>AVERAGEIFS('Data Combined - all-runs'!$J:$J, 'Data Combined - all-runs'!$A:$A, A181,'Data Combined - all-runs'!$B:$B, B181,'Data Combined - all-runs'!$C:$C, C181, 'Data Combined - all-runs'!$D:$D, D181, 'Data Combined - all-runs'!$E:$E, E181)</f>
        <v>50</v>
      </c>
      <c r="K181" s="5">
        <f>AVERAGEIFS('Data Combined - all-runs'!$K:$K, 'Data Combined - all-runs'!$A:$A, A181,'Data Combined - all-runs'!$B:$B, B181,'Data Combined - all-runs'!$C:$C, C181, 'Data Combined - all-runs'!$D:$D, D181, 'Data Combined - all-runs'!$E:$E, E181)</f>
        <v>0.07826967593</v>
      </c>
      <c r="L181" s="5">
        <f>AVERAGEIFS('Data Combined - all-runs'!$L:$L, 'Data Combined - all-runs'!$A:$A, A181,'Data Combined - all-runs'!$B:$B, B181,'Data Combined - all-runs'!$C:$C, C181, 'Data Combined - all-runs'!$D:$D, D181, 'Data Combined - all-runs'!$E:$E, E181)</f>
        <v>2666.650963</v>
      </c>
      <c r="M181" s="5">
        <f>AVERAGEIFS('Data Combined - all-runs'!$M:$M, 'Data Combined - all-runs'!$A:$A, A181,'Data Combined - all-runs'!$B:$B, B181,'Data Combined - all-runs'!$C:$C, C181, 'Data Combined - all-runs'!$D:$D, D181, 'Data Combined - all-runs'!$E:$E, E181)</f>
        <v>56</v>
      </c>
      <c r="N181" s="5">
        <f>AVERAGEIFS('Data Combined - all-runs'!$N:$N, 'Data Combined - all-runs'!$A:$A, A181,'Data Combined - all-runs'!$B:$B, B181,'Data Combined - all-runs'!$C:$C, C181, 'Data Combined - all-runs'!$D:$D, D181, 'Data Combined - all-runs'!$E:$E, E181)</f>
        <v>8</v>
      </c>
      <c r="O181" s="5">
        <f>AVERAGEIFS('Data Combined - all-runs'!$O:$O, 'Data Combined - all-runs'!$A:$A, A181,'Data Combined - all-runs'!$B:$B, B181,'Data Combined - all-runs'!$C:$C, C181, 'Data Combined - all-runs'!$D:$D, D181, 'Data Combined - all-runs'!$E:$E, E181)</f>
        <v>864</v>
      </c>
      <c r="P181" s="5">
        <f>AVERAGEIFS('Data Combined - all-runs'!$P:$P, 'Data Combined - all-runs'!$A:$A, A181,'Data Combined - all-runs'!$B:$B, B181,'Data Combined - all-runs'!$C:$C, C181, 'Data Combined - all-runs'!$D:$D, D181, 'Data Combined - all-runs'!$E:$E, E181)</f>
        <v>9.259259259</v>
      </c>
      <c r="Q181" s="5">
        <f>AVERAGEIFS('Data Combined - all-runs'!$Q:$Q, 'Data Combined - all-runs'!$A:$A, A181,'Data Combined - all-runs'!$B:$B, B181,'Data Combined - all-runs'!$C:$C, C181, 'Data Combined - all-runs'!$D:$D, D181, 'Data Combined - all-runs'!$E:$E, E181)</f>
        <v>569.4444444</v>
      </c>
      <c r="R181" s="5">
        <f>AVERAGEIFS('Data Combined - all-runs'!$R:$R, 'Data Combined - all-runs'!$A:$A, A181,'Data Combined - all-runs'!$B:$B, B181,'Data Combined - all-runs'!$C:$C, C181, 'Data Combined - all-runs'!$D:$D, D181, 'Data Combined - all-runs'!$E:$E, E181)</f>
        <v>61.5</v>
      </c>
      <c r="S181" s="5">
        <f>AVERAGEIFS('Data Combined - all-runs'!$S:$S, 'Data Combined - all-runs'!$A:$A, A181,'Data Combined - all-runs'!$B:$B, B181,'Data Combined - all-runs'!$C:$C, C181, 'Data Combined - all-runs'!$D:$D, D181, 'Data Combined - all-runs'!$E:$E, E181)</f>
        <v>0.1016260163</v>
      </c>
      <c r="T181" s="5" t="str">
        <f>AVERAGEIFS('Data Combined - all-runs'!$T:$T, 'Data Combined - all-runs'!$A:$A, A181,'Data Combined - all-runs'!$B:$B, B181,'Data Combined - all-runs'!$C:$C, C181, 'Data Combined - all-runs'!$D:$D, D181, 'Data Combined - all-runs'!$E:$E, E181)</f>
        <v>#DIV/0!</v>
      </c>
      <c r="U181" s="5" t="b">
        <f t="shared" si="1"/>
        <v>1</v>
      </c>
      <c r="V181" s="5" t="b">
        <f t="shared" si="2"/>
        <v>1</v>
      </c>
      <c r="W181" s="5" t="b">
        <f t="shared" si="3"/>
        <v>1</v>
      </c>
    </row>
    <row r="182">
      <c r="A182" s="2" t="s">
        <v>460</v>
      </c>
      <c r="B182" s="2" t="s">
        <v>22</v>
      </c>
      <c r="C182" s="2" t="s">
        <v>35</v>
      </c>
      <c r="D182" s="2" t="s">
        <v>24</v>
      </c>
      <c r="E182" s="2" t="s">
        <v>25</v>
      </c>
      <c r="H182" s="5">
        <f>AVERAGEIFS('Data Combined - all-runs'!$H:$H, 'Data Combined - all-runs'!$A:$A, A182,'Data Combined - all-runs'!$B:$B, B182,'Data Combined - all-runs'!$C:$C, C182, 'Data Combined - all-runs'!$D:$D, D182, 'Data Combined - all-runs'!$E:$E, E182)</f>
        <v>260</v>
      </c>
      <c r="I182" s="5">
        <f>AVERAGEIFS('Data Combined - all-runs'!$I:$I, 'Data Combined - all-runs'!$A:$A, A182,'Data Combined - all-runs'!$B:$B, B182,'Data Combined - all-runs'!$C:$C, C182, 'Data Combined - all-runs'!$D:$D, D182, 'Data Combined - all-runs'!$E:$E, E182)</f>
        <v>34</v>
      </c>
      <c r="J182" s="5">
        <f>AVERAGEIFS('Data Combined - all-runs'!$J:$J, 'Data Combined - all-runs'!$A:$A, A182,'Data Combined - all-runs'!$B:$B, B182,'Data Combined - all-runs'!$C:$C, C182, 'Data Combined - all-runs'!$D:$D, D182, 'Data Combined - all-runs'!$E:$E, E182)</f>
        <v>0</v>
      </c>
      <c r="K182" s="5">
        <f>AVERAGEIFS('Data Combined - all-runs'!$K:$K, 'Data Combined - all-runs'!$A:$A, A182,'Data Combined - all-runs'!$B:$B, B182,'Data Combined - all-runs'!$C:$C, C182, 'Data Combined - all-runs'!$D:$D, D182, 'Data Combined - all-runs'!$E:$E, E182)</f>
        <v>0</v>
      </c>
      <c r="L182" s="5">
        <f>AVERAGEIFS('Data Combined - all-runs'!$L:$L, 'Data Combined - all-runs'!$A:$A, A182,'Data Combined - all-runs'!$B:$B, B182,'Data Combined - all-runs'!$C:$C, C182, 'Data Combined - all-runs'!$D:$D, D182, 'Data Combined - all-runs'!$E:$E, E182)</f>
        <v>972.80425</v>
      </c>
      <c r="M182" s="5" t="str">
        <f>AVERAGEIFS('Data Combined - all-runs'!$M:$M, 'Data Combined - all-runs'!$A:$A, A182,'Data Combined - all-runs'!$B:$B, B182,'Data Combined - all-runs'!$C:$C, C182, 'Data Combined - all-runs'!$D:$D, D182, 'Data Combined - all-runs'!$E:$E, E182)</f>
        <v>#DIV/0!</v>
      </c>
      <c r="N182" s="5">
        <f>AVERAGEIFS('Data Combined - all-runs'!$N:$N, 'Data Combined - all-runs'!$A:$A, A182,'Data Combined - all-runs'!$B:$B, B182,'Data Combined - all-runs'!$C:$C, C182, 'Data Combined - all-runs'!$D:$D, D182, 'Data Combined - all-runs'!$E:$E, E182)</f>
        <v>0</v>
      </c>
      <c r="O182" s="5">
        <f>AVERAGEIFS('Data Combined - all-runs'!$O:$O, 'Data Combined - all-runs'!$A:$A, A182,'Data Combined - all-runs'!$B:$B, B182,'Data Combined - all-runs'!$C:$C, C182, 'Data Combined - all-runs'!$D:$D, D182, 'Data Combined - all-runs'!$E:$E, E182)</f>
        <v>500</v>
      </c>
      <c r="P182" s="5">
        <f>AVERAGEIFS('Data Combined - all-runs'!$P:$P, 'Data Combined - all-runs'!$A:$A, A182,'Data Combined - all-runs'!$B:$B, B182,'Data Combined - all-runs'!$C:$C, C182, 'Data Combined - all-runs'!$D:$D, D182, 'Data Combined - all-runs'!$E:$E, E182)</f>
        <v>0</v>
      </c>
      <c r="Q182" s="5">
        <f>AVERAGEIFS('Data Combined - all-runs'!$Q:$Q, 'Data Combined - all-runs'!$A:$A, A182,'Data Combined - all-runs'!$B:$B, B182,'Data Combined - all-runs'!$C:$C, C182, 'Data Combined - all-runs'!$D:$D, D182, 'Data Combined - all-runs'!$E:$E, E182)</f>
        <v>520</v>
      </c>
      <c r="R182" s="5" t="str">
        <f>AVERAGEIFS('Data Combined - all-runs'!$R:$R, 'Data Combined - all-runs'!$A:$A, A182,'Data Combined - all-runs'!$B:$B, B182,'Data Combined - all-runs'!$C:$C, C182, 'Data Combined - all-runs'!$D:$D, D182, 'Data Combined - all-runs'!$E:$E, E182)</f>
        <v>#DIV/0!</v>
      </c>
      <c r="S182" s="5">
        <f>AVERAGEIFS('Data Combined - all-runs'!$S:$S, 'Data Combined - all-runs'!$A:$A, A182,'Data Combined - all-runs'!$B:$B, B182,'Data Combined - all-runs'!$C:$C, C182, 'Data Combined - all-runs'!$D:$D, D182, 'Data Combined - all-runs'!$E:$E, E182)</f>
        <v>0</v>
      </c>
      <c r="T182" s="5">
        <f>AVERAGEIFS('Data Combined - all-runs'!$T:$T, 'Data Combined - all-runs'!$A:$A, A182,'Data Combined - all-runs'!$B:$B, B182,'Data Combined - all-runs'!$C:$C, C182, 'Data Combined - all-runs'!$D:$D, D182, 'Data Combined - all-runs'!$E:$E, E182)</f>
        <v>0.1307692308</v>
      </c>
      <c r="U182" s="5" t="b">
        <f t="shared" si="1"/>
        <v>1</v>
      </c>
      <c r="V182" s="5" t="b">
        <f t="shared" si="2"/>
        <v>1</v>
      </c>
      <c r="W182" s="5" t="b">
        <f t="shared" si="3"/>
        <v>0</v>
      </c>
    </row>
    <row r="183">
      <c r="A183" s="2" t="s">
        <v>460</v>
      </c>
      <c r="B183" s="2" t="s">
        <v>22</v>
      </c>
      <c r="C183" s="2" t="s">
        <v>35</v>
      </c>
      <c r="D183" s="2" t="s">
        <v>24</v>
      </c>
      <c r="E183" s="2" t="s">
        <v>39</v>
      </c>
      <c r="H183" s="5">
        <f>AVERAGEIFS('Data Combined - all-runs'!$H:$H, 'Data Combined - all-runs'!$A:$A, A183,'Data Combined - all-runs'!$B:$B, B183,'Data Combined - all-runs'!$C:$C, C183, 'Data Combined - all-runs'!$D:$D, D183, 'Data Combined - all-runs'!$E:$E, E183)</f>
        <v>298</v>
      </c>
      <c r="I183" s="5">
        <f>AVERAGEIFS('Data Combined - all-runs'!$I:$I, 'Data Combined - all-runs'!$A:$A, A183,'Data Combined - all-runs'!$B:$B, B183,'Data Combined - all-runs'!$C:$C, C183, 'Data Combined - all-runs'!$D:$D, D183, 'Data Combined - all-runs'!$E:$E, E183)</f>
        <v>76</v>
      </c>
      <c r="J183" s="5">
        <f>AVERAGEIFS('Data Combined - all-runs'!$J:$J, 'Data Combined - all-runs'!$A:$A, A183,'Data Combined - all-runs'!$B:$B, B183,'Data Combined - all-runs'!$C:$C, C183, 'Data Combined - all-runs'!$D:$D, D183, 'Data Combined - all-runs'!$E:$E, E183)</f>
        <v>204</v>
      </c>
      <c r="K183" s="5">
        <f>AVERAGEIFS('Data Combined - all-runs'!$K:$K, 'Data Combined - all-runs'!$A:$A, A183,'Data Combined - all-runs'!$B:$B, B183,'Data Combined - all-runs'!$C:$C, C183, 'Data Combined - all-runs'!$D:$D, D183, 'Data Combined - all-runs'!$E:$E, E183)</f>
        <v>0</v>
      </c>
      <c r="L183" s="5">
        <f>AVERAGEIFS('Data Combined - all-runs'!$L:$L, 'Data Combined - all-runs'!$A:$A, A183,'Data Combined - all-runs'!$B:$B, B183,'Data Combined - all-runs'!$C:$C, C183, 'Data Combined - all-runs'!$D:$D, D183, 'Data Combined - all-runs'!$E:$E, E183)</f>
        <v>909.102767</v>
      </c>
      <c r="M183" s="5" t="str">
        <f>AVERAGEIFS('Data Combined - all-runs'!$M:$M, 'Data Combined - all-runs'!$A:$A, A183,'Data Combined - all-runs'!$B:$B, B183,'Data Combined - all-runs'!$C:$C, C183, 'Data Combined - all-runs'!$D:$D, D183, 'Data Combined - all-runs'!$E:$E, E183)</f>
        <v>#DIV/0!</v>
      </c>
      <c r="N183" s="5">
        <f>AVERAGEIFS('Data Combined - all-runs'!$N:$N, 'Data Combined - all-runs'!$A:$A, A183,'Data Combined - all-runs'!$B:$B, B183,'Data Combined - all-runs'!$C:$C, C183, 'Data Combined - all-runs'!$D:$D, D183, 'Data Combined - all-runs'!$E:$E, E183)</f>
        <v>0</v>
      </c>
      <c r="O183" s="5">
        <f>AVERAGEIFS('Data Combined - all-runs'!$O:$O, 'Data Combined - all-runs'!$A:$A, A183,'Data Combined - all-runs'!$B:$B, B183,'Data Combined - all-runs'!$C:$C, C183, 'Data Combined - all-runs'!$D:$D, D183, 'Data Combined - all-runs'!$E:$E, E183)</f>
        <v>500</v>
      </c>
      <c r="P183" s="5">
        <f>AVERAGEIFS('Data Combined - all-runs'!$P:$P, 'Data Combined - all-runs'!$A:$A, A183,'Data Combined - all-runs'!$B:$B, B183,'Data Combined - all-runs'!$C:$C, C183, 'Data Combined - all-runs'!$D:$D, D183, 'Data Combined - all-runs'!$E:$E, E183)</f>
        <v>0</v>
      </c>
      <c r="Q183" s="5">
        <f>AVERAGEIFS('Data Combined - all-runs'!$Q:$Q, 'Data Combined - all-runs'!$A:$A, A183,'Data Combined - all-runs'!$B:$B, B183,'Data Combined - all-runs'!$C:$C, C183, 'Data Combined - all-runs'!$D:$D, D183, 'Data Combined - all-runs'!$E:$E, E183)</f>
        <v>596</v>
      </c>
      <c r="R183" s="5" t="str">
        <f>AVERAGEIFS('Data Combined - all-runs'!$R:$R, 'Data Combined - all-runs'!$A:$A, A183,'Data Combined - all-runs'!$B:$B, B183,'Data Combined - all-runs'!$C:$C, C183, 'Data Combined - all-runs'!$D:$D, D183, 'Data Combined - all-runs'!$E:$E, E183)</f>
        <v>#DIV/0!</v>
      </c>
      <c r="S183" s="5">
        <f>AVERAGEIFS('Data Combined - all-runs'!$S:$S, 'Data Combined - all-runs'!$A:$A, A183,'Data Combined - all-runs'!$B:$B, B183,'Data Combined - all-runs'!$C:$C, C183, 'Data Combined - all-runs'!$D:$D, D183, 'Data Combined - all-runs'!$E:$E, E183)</f>
        <v>0.6845637584</v>
      </c>
      <c r="T183" s="5">
        <f>AVERAGEIFS('Data Combined - all-runs'!$T:$T, 'Data Combined - all-runs'!$A:$A, A183,'Data Combined - all-runs'!$B:$B, B183,'Data Combined - all-runs'!$C:$C, C183, 'Data Combined - all-runs'!$D:$D, D183, 'Data Combined - all-runs'!$E:$E, E183)</f>
        <v>0.255033557</v>
      </c>
      <c r="U183" s="5" t="b">
        <f t="shared" si="1"/>
        <v>1</v>
      </c>
      <c r="V183" s="5" t="b">
        <f t="shared" si="2"/>
        <v>1</v>
      </c>
      <c r="W183" s="5" t="b">
        <f t="shared" si="3"/>
        <v>0</v>
      </c>
    </row>
    <row r="184">
      <c r="A184" s="2" t="s">
        <v>460</v>
      </c>
      <c r="B184" s="2" t="s">
        <v>22</v>
      </c>
      <c r="C184" s="2" t="s">
        <v>35</v>
      </c>
      <c r="D184" s="2" t="s">
        <v>24</v>
      </c>
      <c r="E184" s="2" t="s">
        <v>43</v>
      </c>
      <c r="H184" s="5">
        <f>AVERAGEIFS('Data Combined - all-runs'!$H:$H, 'Data Combined - all-runs'!$A:$A, A184,'Data Combined - all-runs'!$B:$B, B184,'Data Combined - all-runs'!$C:$C, C184, 'Data Combined - all-runs'!$D:$D, D184, 'Data Combined - all-runs'!$E:$E, E184)</f>
        <v>405</v>
      </c>
      <c r="I184" s="5">
        <f>AVERAGEIFS('Data Combined - all-runs'!$I:$I, 'Data Combined - all-runs'!$A:$A, A184,'Data Combined - all-runs'!$B:$B, B184,'Data Combined - all-runs'!$C:$C, C184, 'Data Combined - all-runs'!$D:$D, D184, 'Data Combined - all-runs'!$E:$E, E184)</f>
        <v>88</v>
      </c>
      <c r="J184" s="5">
        <f>AVERAGEIFS('Data Combined - all-runs'!$J:$J, 'Data Combined - all-runs'!$A:$A, A184,'Data Combined - all-runs'!$B:$B, B184,'Data Combined - all-runs'!$C:$C, C184, 'Data Combined - all-runs'!$D:$D, D184, 'Data Combined - all-runs'!$E:$E, E184)</f>
        <v>140</v>
      </c>
      <c r="K184" s="5">
        <f>AVERAGEIFS('Data Combined - all-runs'!$K:$K, 'Data Combined - all-runs'!$A:$A, A184,'Data Combined - all-runs'!$B:$B, B184,'Data Combined - all-runs'!$C:$C, C184, 'Data Combined - all-runs'!$D:$D, D184, 'Data Combined - all-runs'!$E:$E, E184)</f>
        <v>0.001333333333</v>
      </c>
      <c r="L184" s="5">
        <f>AVERAGEIFS('Data Combined - all-runs'!$L:$L, 'Data Combined - all-runs'!$A:$A, A184,'Data Combined - all-runs'!$B:$B, B184,'Data Combined - all-runs'!$C:$C, C184, 'Data Combined - all-runs'!$D:$D, D184, 'Data Combined - all-runs'!$E:$E, E184)</f>
        <v>1528.056669</v>
      </c>
      <c r="M184" s="5" t="str">
        <f>AVERAGEIFS('Data Combined - all-runs'!$M:$M, 'Data Combined - all-runs'!$A:$A, A184,'Data Combined - all-runs'!$B:$B, B184,'Data Combined - all-runs'!$C:$C, C184, 'Data Combined - all-runs'!$D:$D, D184, 'Data Combined - all-runs'!$E:$E, E184)</f>
        <v>#DIV/0!</v>
      </c>
      <c r="N184" s="5">
        <f>AVERAGEIFS('Data Combined - all-runs'!$N:$N, 'Data Combined - all-runs'!$A:$A, A184,'Data Combined - all-runs'!$B:$B, B184,'Data Combined - all-runs'!$C:$C, C184, 'Data Combined - all-runs'!$D:$D, D184, 'Data Combined - all-runs'!$E:$E, E184)</f>
        <v>0</v>
      </c>
      <c r="O184" s="5">
        <f>AVERAGEIFS('Data Combined - all-runs'!$O:$O, 'Data Combined - all-runs'!$A:$A, A184,'Data Combined - all-runs'!$B:$B, B184,'Data Combined - all-runs'!$C:$C, C184, 'Data Combined - all-runs'!$D:$D, D184, 'Data Combined - all-runs'!$E:$E, E184)</f>
        <v>500</v>
      </c>
      <c r="P184" s="5">
        <f>AVERAGEIFS('Data Combined - all-runs'!$P:$P, 'Data Combined - all-runs'!$A:$A, A184,'Data Combined - all-runs'!$B:$B, B184,'Data Combined - all-runs'!$C:$C, C184, 'Data Combined - all-runs'!$D:$D, D184, 'Data Combined - all-runs'!$E:$E, E184)</f>
        <v>0</v>
      </c>
      <c r="Q184" s="5">
        <f>AVERAGEIFS('Data Combined - all-runs'!$Q:$Q, 'Data Combined - all-runs'!$A:$A, A184,'Data Combined - all-runs'!$B:$B, B184,'Data Combined - all-runs'!$C:$C, C184, 'Data Combined - all-runs'!$D:$D, D184, 'Data Combined - all-runs'!$E:$E, E184)</f>
        <v>810</v>
      </c>
      <c r="R184" s="5" t="str">
        <f>AVERAGEIFS('Data Combined - all-runs'!$R:$R, 'Data Combined - all-runs'!$A:$A, A184,'Data Combined - all-runs'!$B:$B, B184,'Data Combined - all-runs'!$C:$C, C184, 'Data Combined - all-runs'!$D:$D, D184, 'Data Combined - all-runs'!$E:$E, E184)</f>
        <v>#DIV/0!</v>
      </c>
      <c r="S184" s="5">
        <f>AVERAGEIFS('Data Combined - all-runs'!$S:$S, 'Data Combined - all-runs'!$A:$A, A184,'Data Combined - all-runs'!$B:$B, B184,'Data Combined - all-runs'!$C:$C, C184, 'Data Combined - all-runs'!$D:$D, D184, 'Data Combined - all-runs'!$E:$E, E184)</f>
        <v>0.3456790123</v>
      </c>
      <c r="T184" s="5">
        <f>AVERAGEIFS('Data Combined - all-runs'!$T:$T, 'Data Combined - all-runs'!$A:$A, A184,'Data Combined - all-runs'!$B:$B, B184,'Data Combined - all-runs'!$C:$C, C184, 'Data Combined - all-runs'!$D:$D, D184, 'Data Combined - all-runs'!$E:$E, E184)</f>
        <v>0.2172839506</v>
      </c>
      <c r="U184" s="5" t="b">
        <f t="shared" si="1"/>
        <v>1</v>
      </c>
      <c r="V184" s="5" t="b">
        <f t="shared" si="2"/>
        <v>1</v>
      </c>
      <c r="W184" s="5" t="b">
        <f t="shared" si="3"/>
        <v>0</v>
      </c>
    </row>
    <row r="185">
      <c r="A185" s="2" t="s">
        <v>460</v>
      </c>
      <c r="B185" s="2" t="s">
        <v>22</v>
      </c>
      <c r="C185" s="2" t="s">
        <v>35</v>
      </c>
      <c r="D185" s="2" t="s">
        <v>24</v>
      </c>
      <c r="E185" s="2" t="s">
        <v>34</v>
      </c>
      <c r="H185" s="5">
        <f>AVERAGEIFS('Data Combined - all-runs'!$H:$H, 'Data Combined - all-runs'!$A:$A, A185,'Data Combined - all-runs'!$B:$B, B185,'Data Combined - all-runs'!$C:$C, C185, 'Data Combined - all-runs'!$D:$D, D185, 'Data Combined - all-runs'!$E:$E, E185)</f>
        <v>491</v>
      </c>
      <c r="I185" s="5">
        <f>AVERAGEIFS('Data Combined - all-runs'!$I:$I, 'Data Combined - all-runs'!$A:$A, A185,'Data Combined - all-runs'!$B:$B, B185,'Data Combined - all-runs'!$C:$C, C185, 'Data Combined - all-runs'!$D:$D, D185, 'Data Combined - all-runs'!$E:$E, E185)</f>
        <v>0</v>
      </c>
      <c r="J185" s="5">
        <f>AVERAGEIFS('Data Combined - all-runs'!$J:$J, 'Data Combined - all-runs'!$A:$A, A185,'Data Combined - all-runs'!$B:$B, B185,'Data Combined - all-runs'!$C:$C, C185, 'Data Combined - all-runs'!$D:$D, D185, 'Data Combined - all-runs'!$E:$E, E185)</f>
        <v>0</v>
      </c>
      <c r="K185" s="5">
        <f>AVERAGEIFS('Data Combined - all-runs'!$K:$K, 'Data Combined - all-runs'!$A:$A, A185,'Data Combined - all-runs'!$B:$B, B185,'Data Combined - all-runs'!$C:$C, C185, 'Data Combined - all-runs'!$D:$D, D185, 'Data Combined - all-runs'!$E:$E, E185)</f>
        <v>0</v>
      </c>
      <c r="L185" s="5">
        <f>AVERAGEIFS('Data Combined - all-runs'!$L:$L, 'Data Combined - all-runs'!$A:$A, A185,'Data Combined - all-runs'!$B:$B, B185,'Data Combined - all-runs'!$C:$C, C185, 'Data Combined - all-runs'!$D:$D, D185, 'Data Combined - all-runs'!$E:$E, E185)</f>
        <v>2639.14088</v>
      </c>
      <c r="M185" s="5" t="str">
        <f>AVERAGEIFS('Data Combined - all-runs'!$M:$M, 'Data Combined - all-runs'!$A:$A, A185,'Data Combined - all-runs'!$B:$B, B185,'Data Combined - all-runs'!$C:$C, C185, 'Data Combined - all-runs'!$D:$D, D185, 'Data Combined - all-runs'!$E:$E, E185)</f>
        <v>#DIV/0!</v>
      </c>
      <c r="N185" s="5">
        <f>AVERAGEIFS('Data Combined - all-runs'!$N:$N, 'Data Combined - all-runs'!$A:$A, A185,'Data Combined - all-runs'!$B:$B, B185,'Data Combined - all-runs'!$C:$C, C185, 'Data Combined - all-runs'!$D:$D, D185, 'Data Combined - all-runs'!$E:$E, E185)</f>
        <v>0</v>
      </c>
      <c r="O185" s="5">
        <f>AVERAGEIFS('Data Combined - all-runs'!$O:$O, 'Data Combined - all-runs'!$A:$A, A185,'Data Combined - all-runs'!$B:$B, B185,'Data Combined - all-runs'!$C:$C, C185, 'Data Combined - all-runs'!$D:$D, D185, 'Data Combined - all-runs'!$E:$E, E185)</f>
        <v>500</v>
      </c>
      <c r="P185" s="5">
        <f>AVERAGEIFS('Data Combined - all-runs'!$P:$P, 'Data Combined - all-runs'!$A:$A, A185,'Data Combined - all-runs'!$B:$B, B185,'Data Combined - all-runs'!$C:$C, C185, 'Data Combined - all-runs'!$D:$D, D185, 'Data Combined - all-runs'!$E:$E, E185)</f>
        <v>0</v>
      </c>
      <c r="Q185" s="5">
        <f>AVERAGEIFS('Data Combined - all-runs'!$Q:$Q, 'Data Combined - all-runs'!$A:$A, A185,'Data Combined - all-runs'!$B:$B, B185,'Data Combined - all-runs'!$C:$C, C185, 'Data Combined - all-runs'!$D:$D, D185, 'Data Combined - all-runs'!$E:$E, E185)</f>
        <v>982</v>
      </c>
      <c r="R185" s="5" t="str">
        <f>AVERAGEIFS('Data Combined - all-runs'!$R:$R, 'Data Combined - all-runs'!$A:$A, A185,'Data Combined - all-runs'!$B:$B, B185,'Data Combined - all-runs'!$C:$C, C185, 'Data Combined - all-runs'!$D:$D, D185, 'Data Combined - all-runs'!$E:$E, E185)</f>
        <v>#DIV/0!</v>
      </c>
      <c r="S185" s="5">
        <f>AVERAGEIFS('Data Combined - all-runs'!$S:$S, 'Data Combined - all-runs'!$A:$A, A185,'Data Combined - all-runs'!$B:$B, B185,'Data Combined - all-runs'!$C:$C, C185, 'Data Combined - all-runs'!$D:$D, D185, 'Data Combined - all-runs'!$E:$E, E185)</f>
        <v>0</v>
      </c>
      <c r="T185" s="5">
        <f>AVERAGEIFS('Data Combined - all-runs'!$T:$T, 'Data Combined - all-runs'!$A:$A, A185,'Data Combined - all-runs'!$B:$B, B185,'Data Combined - all-runs'!$C:$C, C185, 'Data Combined - all-runs'!$D:$D, D185, 'Data Combined - all-runs'!$E:$E, E185)</f>
        <v>0</v>
      </c>
      <c r="U185" s="5" t="b">
        <f t="shared" si="1"/>
        <v>1</v>
      </c>
      <c r="V185" s="5" t="b">
        <f t="shared" si="2"/>
        <v>1</v>
      </c>
      <c r="W185" s="5" t="b">
        <f t="shared" si="3"/>
        <v>0</v>
      </c>
    </row>
    <row r="186">
      <c r="A186" s="2" t="s">
        <v>460</v>
      </c>
      <c r="B186" s="2" t="s">
        <v>22</v>
      </c>
      <c r="C186" s="2" t="s">
        <v>35</v>
      </c>
      <c r="D186" s="2" t="s">
        <v>24</v>
      </c>
      <c r="E186" s="2" t="s">
        <v>47</v>
      </c>
      <c r="H186" s="5">
        <f>AVERAGEIFS('Data Combined - all-runs'!$H:$H, 'Data Combined - all-runs'!$A:$A, A186,'Data Combined - all-runs'!$B:$B, B186,'Data Combined - all-runs'!$C:$C, C186, 'Data Combined - all-runs'!$D:$D, D186, 'Data Combined - all-runs'!$E:$E, E186)</f>
        <v>300</v>
      </c>
      <c r="I186" s="5">
        <f>AVERAGEIFS('Data Combined - all-runs'!$I:$I, 'Data Combined - all-runs'!$A:$A, A186,'Data Combined - all-runs'!$B:$B, B186,'Data Combined - all-runs'!$C:$C, C186, 'Data Combined - all-runs'!$D:$D, D186, 'Data Combined - all-runs'!$E:$E, E186)</f>
        <v>26</v>
      </c>
      <c r="J186" s="5">
        <f>AVERAGEIFS('Data Combined - all-runs'!$J:$J, 'Data Combined - all-runs'!$A:$A, A186,'Data Combined - all-runs'!$B:$B, B186,'Data Combined - all-runs'!$C:$C, C186, 'Data Combined - all-runs'!$D:$D, D186, 'Data Combined - all-runs'!$E:$E, E186)</f>
        <v>71</v>
      </c>
      <c r="K186" s="5">
        <f>AVERAGEIFS('Data Combined - all-runs'!$K:$K, 'Data Combined - all-runs'!$A:$A, A186,'Data Combined - all-runs'!$B:$B, B186,'Data Combined - all-runs'!$C:$C, C186, 'Data Combined - all-runs'!$D:$D, D186, 'Data Combined - all-runs'!$E:$E, E186)</f>
        <v>0.0115</v>
      </c>
      <c r="L186" s="5">
        <f>AVERAGEIFS('Data Combined - all-runs'!$L:$L, 'Data Combined - all-runs'!$A:$A, A186,'Data Combined - all-runs'!$B:$B, B186,'Data Combined - all-runs'!$C:$C, C186, 'Data Combined - all-runs'!$D:$D, D186, 'Data Combined - all-runs'!$E:$E, E186)</f>
        <v>1671.708195</v>
      </c>
      <c r="M186" s="5" t="str">
        <f>AVERAGEIFS('Data Combined - all-runs'!$M:$M, 'Data Combined - all-runs'!$A:$A, A186,'Data Combined - all-runs'!$B:$B, B186,'Data Combined - all-runs'!$C:$C, C186, 'Data Combined - all-runs'!$D:$D, D186, 'Data Combined - all-runs'!$E:$E, E186)</f>
        <v>#DIV/0!</v>
      </c>
      <c r="N186" s="5">
        <f>AVERAGEIFS('Data Combined - all-runs'!$N:$N, 'Data Combined - all-runs'!$A:$A, A186,'Data Combined - all-runs'!$B:$B, B186,'Data Combined - all-runs'!$C:$C, C186, 'Data Combined - all-runs'!$D:$D, D186, 'Data Combined - all-runs'!$E:$E, E186)</f>
        <v>0</v>
      </c>
      <c r="O186" s="5">
        <f>AVERAGEIFS('Data Combined - all-runs'!$O:$O, 'Data Combined - all-runs'!$A:$A, A186,'Data Combined - all-runs'!$B:$B, B186,'Data Combined - all-runs'!$C:$C, C186, 'Data Combined - all-runs'!$D:$D, D186, 'Data Combined - all-runs'!$E:$E, E186)</f>
        <v>500</v>
      </c>
      <c r="P186" s="5">
        <f>AVERAGEIFS('Data Combined - all-runs'!$P:$P, 'Data Combined - all-runs'!$A:$A, A186,'Data Combined - all-runs'!$B:$B, B186,'Data Combined - all-runs'!$C:$C, C186, 'Data Combined - all-runs'!$D:$D, D186, 'Data Combined - all-runs'!$E:$E, E186)</f>
        <v>0</v>
      </c>
      <c r="Q186" s="5">
        <f>AVERAGEIFS('Data Combined - all-runs'!$Q:$Q, 'Data Combined - all-runs'!$A:$A, A186,'Data Combined - all-runs'!$B:$B, B186,'Data Combined - all-runs'!$C:$C, C186, 'Data Combined - all-runs'!$D:$D, D186, 'Data Combined - all-runs'!$E:$E, E186)</f>
        <v>600</v>
      </c>
      <c r="R186" s="5" t="str">
        <f>AVERAGEIFS('Data Combined - all-runs'!$R:$R, 'Data Combined - all-runs'!$A:$A, A186,'Data Combined - all-runs'!$B:$B, B186,'Data Combined - all-runs'!$C:$C, C186, 'Data Combined - all-runs'!$D:$D, D186, 'Data Combined - all-runs'!$E:$E, E186)</f>
        <v>#DIV/0!</v>
      </c>
      <c r="S186" s="5">
        <f>AVERAGEIFS('Data Combined - all-runs'!$S:$S, 'Data Combined - all-runs'!$A:$A, A186,'Data Combined - all-runs'!$B:$B, B186,'Data Combined - all-runs'!$C:$C, C186, 'Data Combined - all-runs'!$D:$D, D186, 'Data Combined - all-runs'!$E:$E, E186)</f>
        <v>0.2366666667</v>
      </c>
      <c r="T186" s="5">
        <f>AVERAGEIFS('Data Combined - all-runs'!$T:$T, 'Data Combined - all-runs'!$A:$A, A186,'Data Combined - all-runs'!$B:$B, B186,'Data Combined - all-runs'!$C:$C, C186, 'Data Combined - all-runs'!$D:$D, D186, 'Data Combined - all-runs'!$E:$E, E186)</f>
        <v>0.08666666667</v>
      </c>
      <c r="U186" s="5" t="b">
        <f t="shared" si="1"/>
        <v>1</v>
      </c>
      <c r="V186" s="5" t="b">
        <f t="shared" si="2"/>
        <v>1</v>
      </c>
      <c r="W186" s="5" t="b">
        <f t="shared" si="3"/>
        <v>0</v>
      </c>
    </row>
    <row r="187">
      <c r="A187" s="2" t="s">
        <v>460</v>
      </c>
      <c r="B187" s="2" t="s">
        <v>22</v>
      </c>
      <c r="C187" s="2" t="s">
        <v>35</v>
      </c>
      <c r="D187" s="2" t="s">
        <v>24</v>
      </c>
      <c r="E187" s="2" t="s">
        <v>51</v>
      </c>
      <c r="H187" s="5">
        <f>AVERAGEIFS('Data Combined - all-runs'!$H:$H, 'Data Combined - all-runs'!$A:$A, A187,'Data Combined - all-runs'!$B:$B, B187,'Data Combined - all-runs'!$C:$C, C187, 'Data Combined - all-runs'!$D:$D, D187, 'Data Combined - all-runs'!$E:$E, E187)</f>
        <v>368</v>
      </c>
      <c r="I187" s="5">
        <f>AVERAGEIFS('Data Combined - all-runs'!$I:$I, 'Data Combined - all-runs'!$A:$A, A187,'Data Combined - all-runs'!$B:$B, B187,'Data Combined - all-runs'!$C:$C, C187, 'Data Combined - all-runs'!$D:$D, D187, 'Data Combined - all-runs'!$E:$E, E187)</f>
        <v>91</v>
      </c>
      <c r="J187" s="5">
        <f>AVERAGEIFS('Data Combined - all-runs'!$J:$J, 'Data Combined - all-runs'!$A:$A, A187,'Data Combined - all-runs'!$B:$B, B187,'Data Combined - all-runs'!$C:$C, C187, 'Data Combined - all-runs'!$D:$D, D187, 'Data Combined - all-runs'!$E:$E, E187)</f>
        <v>185</v>
      </c>
      <c r="K187" s="5">
        <f>AVERAGEIFS('Data Combined - all-runs'!$K:$K, 'Data Combined - all-runs'!$A:$A, A187,'Data Combined - all-runs'!$B:$B, B187,'Data Combined - all-runs'!$C:$C, C187, 'Data Combined - all-runs'!$D:$D, D187, 'Data Combined - all-runs'!$E:$E, E187)</f>
        <v>0.0375</v>
      </c>
      <c r="L187" s="5">
        <f>AVERAGEIFS('Data Combined - all-runs'!$L:$L, 'Data Combined - all-runs'!$A:$A, A187,'Data Combined - all-runs'!$B:$B, B187,'Data Combined - all-runs'!$C:$C, C187, 'Data Combined - all-runs'!$D:$D, D187, 'Data Combined - all-runs'!$E:$E, E187)</f>
        <v>1750.29892</v>
      </c>
      <c r="M187" s="5" t="str">
        <f>AVERAGEIFS('Data Combined - all-runs'!$M:$M, 'Data Combined - all-runs'!$A:$A, A187,'Data Combined - all-runs'!$B:$B, B187,'Data Combined - all-runs'!$C:$C, C187, 'Data Combined - all-runs'!$D:$D, D187, 'Data Combined - all-runs'!$E:$E, E187)</f>
        <v>#DIV/0!</v>
      </c>
      <c r="N187" s="5">
        <f>AVERAGEIFS('Data Combined - all-runs'!$N:$N, 'Data Combined - all-runs'!$A:$A, A187,'Data Combined - all-runs'!$B:$B, B187,'Data Combined - all-runs'!$C:$C, C187, 'Data Combined - all-runs'!$D:$D, D187, 'Data Combined - all-runs'!$E:$E, E187)</f>
        <v>0</v>
      </c>
      <c r="O187" s="5">
        <f>AVERAGEIFS('Data Combined - all-runs'!$O:$O, 'Data Combined - all-runs'!$A:$A, A187,'Data Combined - all-runs'!$B:$B, B187,'Data Combined - all-runs'!$C:$C, C187, 'Data Combined - all-runs'!$D:$D, D187, 'Data Combined - all-runs'!$E:$E, E187)</f>
        <v>500</v>
      </c>
      <c r="P187" s="5">
        <f>AVERAGEIFS('Data Combined - all-runs'!$P:$P, 'Data Combined - all-runs'!$A:$A, A187,'Data Combined - all-runs'!$B:$B, B187,'Data Combined - all-runs'!$C:$C, C187, 'Data Combined - all-runs'!$D:$D, D187, 'Data Combined - all-runs'!$E:$E, E187)</f>
        <v>0</v>
      </c>
      <c r="Q187" s="5">
        <f>AVERAGEIFS('Data Combined - all-runs'!$Q:$Q, 'Data Combined - all-runs'!$A:$A, A187,'Data Combined - all-runs'!$B:$B, B187,'Data Combined - all-runs'!$C:$C, C187, 'Data Combined - all-runs'!$D:$D, D187, 'Data Combined - all-runs'!$E:$E, E187)</f>
        <v>736</v>
      </c>
      <c r="R187" s="5" t="str">
        <f>AVERAGEIFS('Data Combined - all-runs'!$R:$R, 'Data Combined - all-runs'!$A:$A, A187,'Data Combined - all-runs'!$B:$B, B187,'Data Combined - all-runs'!$C:$C, C187, 'Data Combined - all-runs'!$D:$D, D187, 'Data Combined - all-runs'!$E:$E, E187)</f>
        <v>#DIV/0!</v>
      </c>
      <c r="S187" s="5">
        <f>AVERAGEIFS('Data Combined - all-runs'!$S:$S, 'Data Combined - all-runs'!$A:$A, A187,'Data Combined - all-runs'!$B:$B, B187,'Data Combined - all-runs'!$C:$C, C187, 'Data Combined - all-runs'!$D:$D, D187, 'Data Combined - all-runs'!$E:$E, E187)</f>
        <v>0.5027173913</v>
      </c>
      <c r="T187" s="5">
        <f>AVERAGEIFS('Data Combined - all-runs'!$T:$T, 'Data Combined - all-runs'!$A:$A, A187,'Data Combined - all-runs'!$B:$B, B187,'Data Combined - all-runs'!$C:$C, C187, 'Data Combined - all-runs'!$D:$D, D187, 'Data Combined - all-runs'!$E:$E, E187)</f>
        <v>0.2472826087</v>
      </c>
      <c r="U187" s="5" t="b">
        <f t="shared" si="1"/>
        <v>1</v>
      </c>
      <c r="V187" s="5" t="b">
        <f t="shared" si="2"/>
        <v>1</v>
      </c>
      <c r="W187" s="5" t="b">
        <f t="shared" si="3"/>
        <v>0</v>
      </c>
    </row>
    <row r="188">
      <c r="A188" s="2" t="s">
        <v>460</v>
      </c>
      <c r="B188" s="2" t="s">
        <v>22</v>
      </c>
      <c r="C188" s="2" t="s">
        <v>35</v>
      </c>
      <c r="D188" s="2" t="s">
        <v>54</v>
      </c>
      <c r="E188" s="2" t="s">
        <v>25</v>
      </c>
      <c r="H188" s="5">
        <f>AVERAGEIFS('Data Combined - all-runs'!$H:$H, 'Data Combined - all-runs'!$A:$A, A188,'Data Combined - all-runs'!$B:$B, B188,'Data Combined - all-runs'!$C:$C, C188, 'Data Combined - all-runs'!$D:$D, D188, 'Data Combined - all-runs'!$E:$E, E188)</f>
        <v>146</v>
      </c>
      <c r="I188" s="5">
        <f>AVERAGEIFS('Data Combined - all-runs'!$I:$I, 'Data Combined - all-runs'!$A:$A, A188,'Data Combined - all-runs'!$B:$B, B188,'Data Combined - all-runs'!$C:$C, C188, 'Data Combined - all-runs'!$D:$D, D188, 'Data Combined - all-runs'!$E:$E, E188)</f>
        <v>0</v>
      </c>
      <c r="J188" s="5">
        <f>AVERAGEIFS('Data Combined - all-runs'!$J:$J, 'Data Combined - all-runs'!$A:$A, A188,'Data Combined - all-runs'!$B:$B, B188,'Data Combined - all-runs'!$C:$C, C188, 'Data Combined - all-runs'!$D:$D, D188, 'Data Combined - all-runs'!$E:$E, E188)</f>
        <v>0</v>
      </c>
      <c r="K188" s="5">
        <f>AVERAGEIFS('Data Combined - all-runs'!$K:$K, 'Data Combined - all-runs'!$A:$A, A188,'Data Combined - all-runs'!$B:$B, B188,'Data Combined - all-runs'!$C:$C, C188, 'Data Combined - all-runs'!$D:$D, D188, 'Data Combined - all-runs'!$E:$E, E188)</f>
        <v>0.117</v>
      </c>
      <c r="L188" s="5">
        <f>AVERAGEIFS('Data Combined - all-runs'!$L:$L, 'Data Combined - all-runs'!$A:$A, A188,'Data Combined - all-runs'!$B:$B, B188,'Data Combined - all-runs'!$C:$C, C188, 'Data Combined - all-runs'!$D:$D, D188, 'Data Combined - all-runs'!$E:$E, E188)</f>
        <v>663.8401906</v>
      </c>
      <c r="M188" s="5" t="str">
        <f>AVERAGEIFS('Data Combined - all-runs'!$M:$M, 'Data Combined - all-runs'!$A:$A, A188,'Data Combined - all-runs'!$B:$B, B188,'Data Combined - all-runs'!$C:$C, C188, 'Data Combined - all-runs'!$D:$D, D188, 'Data Combined - all-runs'!$E:$E, E188)</f>
        <v>#DIV/0!</v>
      </c>
      <c r="N188" s="5">
        <f>AVERAGEIFS('Data Combined - all-runs'!$N:$N, 'Data Combined - all-runs'!$A:$A, A188,'Data Combined - all-runs'!$B:$B, B188,'Data Combined - all-runs'!$C:$C, C188, 'Data Combined - all-runs'!$D:$D, D188, 'Data Combined - all-runs'!$E:$E, E188)</f>
        <v>0</v>
      </c>
      <c r="O188" s="5">
        <f>AVERAGEIFS('Data Combined - all-runs'!$O:$O, 'Data Combined - all-runs'!$A:$A, A188,'Data Combined - all-runs'!$B:$B, B188,'Data Combined - all-runs'!$C:$C, C188, 'Data Combined - all-runs'!$D:$D, D188, 'Data Combined - all-runs'!$E:$E, E188)</f>
        <v>500</v>
      </c>
      <c r="P188" s="5">
        <f>AVERAGEIFS('Data Combined - all-runs'!$P:$P, 'Data Combined - all-runs'!$A:$A, A188,'Data Combined - all-runs'!$B:$B, B188,'Data Combined - all-runs'!$C:$C, C188, 'Data Combined - all-runs'!$D:$D, D188, 'Data Combined - all-runs'!$E:$E, E188)</f>
        <v>0</v>
      </c>
      <c r="Q188" s="5">
        <f>AVERAGEIFS('Data Combined - all-runs'!$Q:$Q, 'Data Combined - all-runs'!$A:$A, A188,'Data Combined - all-runs'!$B:$B, B188,'Data Combined - all-runs'!$C:$C, C188, 'Data Combined - all-runs'!$D:$D, D188, 'Data Combined - all-runs'!$E:$E, E188)</f>
        <v>292</v>
      </c>
      <c r="R188" s="5" t="str">
        <f>AVERAGEIFS('Data Combined - all-runs'!$R:$R, 'Data Combined - all-runs'!$A:$A, A188,'Data Combined - all-runs'!$B:$B, B188,'Data Combined - all-runs'!$C:$C, C188, 'Data Combined - all-runs'!$D:$D, D188, 'Data Combined - all-runs'!$E:$E, E188)</f>
        <v>#DIV/0!</v>
      </c>
      <c r="S188" s="5">
        <f>AVERAGEIFS('Data Combined - all-runs'!$S:$S, 'Data Combined - all-runs'!$A:$A, A188,'Data Combined - all-runs'!$B:$B, B188,'Data Combined - all-runs'!$C:$C, C188, 'Data Combined - all-runs'!$D:$D, D188, 'Data Combined - all-runs'!$E:$E, E188)</f>
        <v>0</v>
      </c>
      <c r="T188" s="5">
        <f>AVERAGEIFS('Data Combined - all-runs'!$T:$T, 'Data Combined - all-runs'!$A:$A, A188,'Data Combined - all-runs'!$B:$B, B188,'Data Combined - all-runs'!$C:$C, C188, 'Data Combined - all-runs'!$D:$D, D188, 'Data Combined - all-runs'!$E:$E, E188)</f>
        <v>0</v>
      </c>
      <c r="U188" s="5" t="b">
        <f t="shared" si="1"/>
        <v>1</v>
      </c>
      <c r="V188" s="5" t="b">
        <f t="shared" si="2"/>
        <v>1</v>
      </c>
      <c r="W188" s="5" t="b">
        <f t="shared" si="3"/>
        <v>0</v>
      </c>
    </row>
    <row r="189">
      <c r="A189" s="2" t="s">
        <v>460</v>
      </c>
      <c r="B189" s="2" t="s">
        <v>22</v>
      </c>
      <c r="C189" s="2" t="s">
        <v>35</v>
      </c>
      <c r="D189" s="2" t="s">
        <v>54</v>
      </c>
      <c r="E189" s="2" t="s">
        <v>39</v>
      </c>
      <c r="H189" s="5">
        <f>AVERAGEIFS('Data Combined - all-runs'!$H:$H, 'Data Combined - all-runs'!$A:$A, A189,'Data Combined - all-runs'!$B:$B, B189,'Data Combined - all-runs'!$C:$C, C189, 'Data Combined - all-runs'!$D:$D, D189, 'Data Combined - all-runs'!$E:$E, E189)</f>
        <v>349</v>
      </c>
      <c r="I189" s="5">
        <f>AVERAGEIFS('Data Combined - all-runs'!$I:$I, 'Data Combined - all-runs'!$A:$A, A189,'Data Combined - all-runs'!$B:$B, B189,'Data Combined - all-runs'!$C:$C, C189, 'Data Combined - all-runs'!$D:$D, D189, 'Data Combined - all-runs'!$E:$E, E189)</f>
        <v>0</v>
      </c>
      <c r="J189" s="5">
        <f>AVERAGEIFS('Data Combined - all-runs'!$J:$J, 'Data Combined - all-runs'!$A:$A, A189,'Data Combined - all-runs'!$B:$B, B189,'Data Combined - all-runs'!$C:$C, C189, 'Data Combined - all-runs'!$D:$D, D189, 'Data Combined - all-runs'!$E:$E, E189)</f>
        <v>56</v>
      </c>
      <c r="K189" s="5">
        <f>AVERAGEIFS('Data Combined - all-runs'!$K:$K, 'Data Combined - all-runs'!$A:$A, A189,'Data Combined - all-runs'!$B:$B, B189,'Data Combined - all-runs'!$C:$C, C189, 'Data Combined - all-runs'!$D:$D, D189, 'Data Combined - all-runs'!$E:$E, E189)</f>
        <v>0.1235</v>
      </c>
      <c r="L189" s="5">
        <f>AVERAGEIFS('Data Combined - all-runs'!$L:$L, 'Data Combined - all-runs'!$A:$A, A189,'Data Combined - all-runs'!$B:$B, B189,'Data Combined - all-runs'!$C:$C, C189, 'Data Combined - all-runs'!$D:$D, D189, 'Data Combined - all-runs'!$E:$E, E189)</f>
        <v>2160.856733</v>
      </c>
      <c r="M189" s="5" t="str">
        <f>AVERAGEIFS('Data Combined - all-runs'!$M:$M, 'Data Combined - all-runs'!$A:$A, A189,'Data Combined - all-runs'!$B:$B, B189,'Data Combined - all-runs'!$C:$C, C189, 'Data Combined - all-runs'!$D:$D, D189, 'Data Combined - all-runs'!$E:$E, E189)</f>
        <v>#DIV/0!</v>
      </c>
      <c r="N189" s="5">
        <f>AVERAGEIFS('Data Combined - all-runs'!$N:$N, 'Data Combined - all-runs'!$A:$A, A189,'Data Combined - all-runs'!$B:$B, B189,'Data Combined - all-runs'!$C:$C, C189, 'Data Combined - all-runs'!$D:$D, D189, 'Data Combined - all-runs'!$E:$E, E189)</f>
        <v>0</v>
      </c>
      <c r="O189" s="5">
        <f>AVERAGEIFS('Data Combined - all-runs'!$O:$O, 'Data Combined - all-runs'!$A:$A, A189,'Data Combined - all-runs'!$B:$B, B189,'Data Combined - all-runs'!$C:$C, C189, 'Data Combined - all-runs'!$D:$D, D189, 'Data Combined - all-runs'!$E:$E, E189)</f>
        <v>500</v>
      </c>
      <c r="P189" s="5">
        <f>AVERAGEIFS('Data Combined - all-runs'!$P:$P, 'Data Combined - all-runs'!$A:$A, A189,'Data Combined - all-runs'!$B:$B, B189,'Data Combined - all-runs'!$C:$C, C189, 'Data Combined - all-runs'!$D:$D, D189, 'Data Combined - all-runs'!$E:$E, E189)</f>
        <v>0</v>
      </c>
      <c r="Q189" s="5">
        <f>AVERAGEIFS('Data Combined - all-runs'!$Q:$Q, 'Data Combined - all-runs'!$A:$A, A189,'Data Combined - all-runs'!$B:$B, B189,'Data Combined - all-runs'!$C:$C, C189, 'Data Combined - all-runs'!$D:$D, D189, 'Data Combined - all-runs'!$E:$E, E189)</f>
        <v>698</v>
      </c>
      <c r="R189" s="5" t="str">
        <f>AVERAGEIFS('Data Combined - all-runs'!$R:$R, 'Data Combined - all-runs'!$A:$A, A189,'Data Combined - all-runs'!$B:$B, B189,'Data Combined - all-runs'!$C:$C, C189, 'Data Combined - all-runs'!$D:$D, D189, 'Data Combined - all-runs'!$E:$E, E189)</f>
        <v>#DIV/0!</v>
      </c>
      <c r="S189" s="5">
        <f>AVERAGEIFS('Data Combined - all-runs'!$S:$S, 'Data Combined - all-runs'!$A:$A, A189,'Data Combined - all-runs'!$B:$B, B189,'Data Combined - all-runs'!$C:$C, C189, 'Data Combined - all-runs'!$D:$D, D189, 'Data Combined - all-runs'!$E:$E, E189)</f>
        <v>0.1604584527</v>
      </c>
      <c r="T189" s="5">
        <f>AVERAGEIFS('Data Combined - all-runs'!$T:$T, 'Data Combined - all-runs'!$A:$A, A189,'Data Combined - all-runs'!$B:$B, B189,'Data Combined - all-runs'!$C:$C, C189, 'Data Combined - all-runs'!$D:$D, D189, 'Data Combined - all-runs'!$E:$E, E189)</f>
        <v>0</v>
      </c>
      <c r="U189" s="5" t="b">
        <f t="shared" si="1"/>
        <v>1</v>
      </c>
      <c r="V189" s="5" t="b">
        <f t="shared" si="2"/>
        <v>1</v>
      </c>
      <c r="W189" s="5" t="b">
        <f t="shared" si="3"/>
        <v>0</v>
      </c>
    </row>
    <row r="190">
      <c r="A190" s="2" t="s">
        <v>460</v>
      </c>
      <c r="B190" s="2" t="s">
        <v>22</v>
      </c>
      <c r="C190" s="2" t="s">
        <v>35</v>
      </c>
      <c r="D190" s="2" t="s">
        <v>54</v>
      </c>
      <c r="E190" s="2" t="s">
        <v>43</v>
      </c>
      <c r="H190" s="5">
        <f>AVERAGEIFS('Data Combined - all-runs'!$H:$H, 'Data Combined - all-runs'!$A:$A, A190,'Data Combined - all-runs'!$B:$B, B190,'Data Combined - all-runs'!$C:$C, C190, 'Data Combined - all-runs'!$D:$D, D190, 'Data Combined - all-runs'!$E:$E, E190)</f>
        <v>384</v>
      </c>
      <c r="I190" s="5">
        <f>AVERAGEIFS('Data Combined - all-runs'!$I:$I, 'Data Combined - all-runs'!$A:$A, A190,'Data Combined - all-runs'!$B:$B, B190,'Data Combined - all-runs'!$C:$C, C190, 'Data Combined - all-runs'!$D:$D, D190, 'Data Combined - all-runs'!$E:$E, E190)</f>
        <v>2</v>
      </c>
      <c r="J190" s="5">
        <f>AVERAGEIFS('Data Combined - all-runs'!$J:$J, 'Data Combined - all-runs'!$A:$A, A190,'Data Combined - all-runs'!$B:$B, B190,'Data Combined - all-runs'!$C:$C, C190, 'Data Combined - all-runs'!$D:$D, D190, 'Data Combined - all-runs'!$E:$E, E190)</f>
        <v>114</v>
      </c>
      <c r="K190" s="5">
        <f>AVERAGEIFS('Data Combined - all-runs'!$K:$K, 'Data Combined - all-runs'!$A:$A, A190,'Data Combined - all-runs'!$B:$B, B190,'Data Combined - all-runs'!$C:$C, C190, 'Data Combined - all-runs'!$D:$D, D190, 'Data Combined - all-runs'!$E:$E, E190)</f>
        <v>0.1553333333</v>
      </c>
      <c r="L190" s="5">
        <f>AVERAGEIFS('Data Combined - all-runs'!$L:$L, 'Data Combined - all-runs'!$A:$A, A190,'Data Combined - all-runs'!$B:$B, B190,'Data Combined - all-runs'!$C:$C, C190, 'Data Combined - all-runs'!$D:$D, D190, 'Data Combined - all-runs'!$E:$E, E190)</f>
        <v>2813.367172</v>
      </c>
      <c r="M190" s="5" t="str">
        <f>AVERAGEIFS('Data Combined - all-runs'!$M:$M, 'Data Combined - all-runs'!$A:$A, A190,'Data Combined - all-runs'!$B:$B, B190,'Data Combined - all-runs'!$C:$C, C190, 'Data Combined - all-runs'!$D:$D, D190, 'Data Combined - all-runs'!$E:$E, E190)</f>
        <v>#DIV/0!</v>
      </c>
      <c r="N190" s="5">
        <f>AVERAGEIFS('Data Combined - all-runs'!$N:$N, 'Data Combined - all-runs'!$A:$A, A190,'Data Combined - all-runs'!$B:$B, B190,'Data Combined - all-runs'!$C:$C, C190, 'Data Combined - all-runs'!$D:$D, D190, 'Data Combined - all-runs'!$E:$E, E190)</f>
        <v>0</v>
      </c>
      <c r="O190" s="5">
        <f>AVERAGEIFS('Data Combined - all-runs'!$O:$O, 'Data Combined - all-runs'!$A:$A, A190,'Data Combined - all-runs'!$B:$B, B190,'Data Combined - all-runs'!$C:$C, C190, 'Data Combined - all-runs'!$D:$D, D190, 'Data Combined - all-runs'!$E:$E, E190)</f>
        <v>500</v>
      </c>
      <c r="P190" s="5">
        <f>AVERAGEIFS('Data Combined - all-runs'!$P:$P, 'Data Combined - all-runs'!$A:$A, A190,'Data Combined - all-runs'!$B:$B, B190,'Data Combined - all-runs'!$C:$C, C190, 'Data Combined - all-runs'!$D:$D, D190, 'Data Combined - all-runs'!$E:$E, E190)</f>
        <v>0</v>
      </c>
      <c r="Q190" s="5">
        <f>AVERAGEIFS('Data Combined - all-runs'!$Q:$Q, 'Data Combined - all-runs'!$A:$A, A190,'Data Combined - all-runs'!$B:$B, B190,'Data Combined - all-runs'!$C:$C, C190, 'Data Combined - all-runs'!$D:$D, D190, 'Data Combined - all-runs'!$E:$E, E190)</f>
        <v>768</v>
      </c>
      <c r="R190" s="5" t="str">
        <f>AVERAGEIFS('Data Combined - all-runs'!$R:$R, 'Data Combined - all-runs'!$A:$A, A190,'Data Combined - all-runs'!$B:$B, B190,'Data Combined - all-runs'!$C:$C, C190, 'Data Combined - all-runs'!$D:$D, D190, 'Data Combined - all-runs'!$E:$E, E190)</f>
        <v>#DIV/0!</v>
      </c>
      <c r="S190" s="5">
        <f>AVERAGEIFS('Data Combined - all-runs'!$S:$S, 'Data Combined - all-runs'!$A:$A, A190,'Data Combined - all-runs'!$B:$B, B190,'Data Combined - all-runs'!$C:$C, C190, 'Data Combined - all-runs'!$D:$D, D190, 'Data Combined - all-runs'!$E:$E, E190)</f>
        <v>0.296875</v>
      </c>
      <c r="T190" s="5">
        <f>AVERAGEIFS('Data Combined - all-runs'!$T:$T, 'Data Combined - all-runs'!$A:$A, A190,'Data Combined - all-runs'!$B:$B, B190,'Data Combined - all-runs'!$C:$C, C190, 'Data Combined - all-runs'!$D:$D, D190, 'Data Combined - all-runs'!$E:$E, E190)</f>
        <v>0.005208333333</v>
      </c>
      <c r="U190" s="5" t="b">
        <f t="shared" si="1"/>
        <v>1</v>
      </c>
      <c r="V190" s="5" t="b">
        <f t="shared" si="2"/>
        <v>1</v>
      </c>
      <c r="W190" s="5" t="b">
        <f t="shared" si="3"/>
        <v>0</v>
      </c>
    </row>
    <row r="191">
      <c r="A191" s="2" t="s">
        <v>460</v>
      </c>
      <c r="B191" s="2" t="s">
        <v>22</v>
      </c>
      <c r="C191" s="2" t="s">
        <v>35</v>
      </c>
      <c r="D191" s="2" t="s">
        <v>54</v>
      </c>
      <c r="E191" s="2" t="s">
        <v>34</v>
      </c>
      <c r="H191" s="5">
        <f>AVERAGEIFS('Data Combined - all-runs'!$H:$H, 'Data Combined - all-runs'!$A:$A, A191,'Data Combined - all-runs'!$B:$B, B191,'Data Combined - all-runs'!$C:$C, C191, 'Data Combined - all-runs'!$D:$D, D191, 'Data Combined - all-runs'!$E:$E, E191)</f>
        <v>1282</v>
      </c>
      <c r="I191" s="5">
        <f>AVERAGEIFS('Data Combined - all-runs'!$I:$I, 'Data Combined - all-runs'!$A:$A, A191,'Data Combined - all-runs'!$B:$B, B191,'Data Combined - all-runs'!$C:$C, C191, 'Data Combined - all-runs'!$D:$D, D191, 'Data Combined - all-runs'!$E:$E, E191)</f>
        <v>7</v>
      </c>
      <c r="J191" s="5">
        <f>AVERAGEIFS('Data Combined - all-runs'!$J:$J, 'Data Combined - all-runs'!$A:$A, A191,'Data Combined - all-runs'!$B:$B, B191,'Data Combined - all-runs'!$C:$C, C191, 'Data Combined - all-runs'!$D:$D, D191, 'Data Combined - all-runs'!$E:$E, E191)</f>
        <v>505</v>
      </c>
      <c r="K191" s="5">
        <f>AVERAGEIFS('Data Combined - all-runs'!$K:$K, 'Data Combined - all-runs'!$A:$A, A191,'Data Combined - all-runs'!$B:$B, B191,'Data Combined - all-runs'!$C:$C, C191, 'Data Combined - all-runs'!$D:$D, D191, 'Data Combined - all-runs'!$E:$E, E191)</f>
        <v>0.1815555556</v>
      </c>
      <c r="L191" s="5">
        <f>AVERAGEIFS('Data Combined - all-runs'!$L:$L, 'Data Combined - all-runs'!$A:$A, A191,'Data Combined - all-runs'!$B:$B, B191,'Data Combined - all-runs'!$C:$C, C191, 'Data Combined - all-runs'!$D:$D, D191, 'Data Combined - all-runs'!$E:$E, E191)</f>
        <v>10783.77046</v>
      </c>
      <c r="M191" s="5">
        <f>AVERAGEIFS('Data Combined - all-runs'!$M:$M, 'Data Combined - all-runs'!$A:$A, A191,'Data Combined - all-runs'!$B:$B, B191,'Data Combined - all-runs'!$C:$C, C191, 'Data Combined - all-runs'!$D:$D, D191, 'Data Combined - all-runs'!$E:$E, E191)</f>
        <v>161</v>
      </c>
      <c r="N191" s="5">
        <f>AVERAGEIFS('Data Combined - all-runs'!$N:$N, 'Data Combined - all-runs'!$A:$A, A191,'Data Combined - all-runs'!$B:$B, B191,'Data Combined - all-runs'!$C:$C, C191, 'Data Combined - all-runs'!$D:$D, D191, 'Data Combined - all-runs'!$E:$E, E191)</f>
        <v>5</v>
      </c>
      <c r="O191" s="5">
        <f>AVERAGEIFS('Data Combined - all-runs'!$O:$O, 'Data Combined - all-runs'!$A:$A, A191,'Data Combined - all-runs'!$B:$B, B191,'Data Combined - all-runs'!$C:$C, C191, 'Data Combined - all-runs'!$D:$D, D191, 'Data Combined - all-runs'!$E:$E, E191)</f>
        <v>1500</v>
      </c>
      <c r="P191" s="5">
        <f>AVERAGEIFS('Data Combined - all-runs'!$P:$P, 'Data Combined - all-runs'!$A:$A, A191,'Data Combined - all-runs'!$B:$B, B191,'Data Combined - all-runs'!$C:$C, C191, 'Data Combined - all-runs'!$D:$D, D191, 'Data Combined - all-runs'!$E:$E, E191)</f>
        <v>3.333333333</v>
      </c>
      <c r="Q191" s="5">
        <f>AVERAGEIFS('Data Combined - all-runs'!$Q:$Q, 'Data Combined - all-runs'!$A:$A, A191,'Data Combined - all-runs'!$B:$B, B191,'Data Combined - all-runs'!$C:$C, C191, 'Data Combined - all-runs'!$D:$D, D191, 'Data Combined - all-runs'!$E:$E, E191)</f>
        <v>854.6666667</v>
      </c>
      <c r="R191" s="5">
        <f>AVERAGEIFS('Data Combined - all-runs'!$R:$R, 'Data Combined - all-runs'!$A:$A, A191,'Data Combined - all-runs'!$B:$B, B191,'Data Combined - all-runs'!$C:$C, C191, 'Data Combined - all-runs'!$D:$D, D191, 'Data Combined - all-runs'!$E:$E, E191)</f>
        <v>256.4</v>
      </c>
      <c r="S191" s="5">
        <f>AVERAGEIFS('Data Combined - all-runs'!$S:$S, 'Data Combined - all-runs'!$A:$A, A191,'Data Combined - all-runs'!$B:$B, B191,'Data Combined - all-runs'!$C:$C, C191, 'Data Combined - all-runs'!$D:$D, D191, 'Data Combined - all-runs'!$E:$E, E191)</f>
        <v>0.3939157566</v>
      </c>
      <c r="T191" s="5">
        <f>AVERAGEIFS('Data Combined - all-runs'!$T:$T, 'Data Combined - all-runs'!$A:$A, A191,'Data Combined - all-runs'!$B:$B, B191,'Data Combined - all-runs'!$C:$C, C191, 'Data Combined - all-runs'!$D:$D, D191, 'Data Combined - all-runs'!$E:$E, E191)</f>
        <v>0.005460218409</v>
      </c>
      <c r="U191" s="5" t="b">
        <f t="shared" si="1"/>
        <v>1</v>
      </c>
      <c r="V191" s="5" t="b">
        <f t="shared" si="2"/>
        <v>1</v>
      </c>
      <c r="W191" s="5" t="b">
        <f t="shared" si="3"/>
        <v>0</v>
      </c>
    </row>
    <row r="192">
      <c r="A192" s="2" t="s">
        <v>460</v>
      </c>
      <c r="B192" s="2" t="s">
        <v>22</v>
      </c>
      <c r="C192" s="2" t="s">
        <v>35</v>
      </c>
      <c r="D192" s="2" t="s">
        <v>54</v>
      </c>
      <c r="E192" s="2" t="s">
        <v>47</v>
      </c>
      <c r="H192" s="5">
        <f>AVERAGEIFS('Data Combined - all-runs'!$H:$H, 'Data Combined - all-runs'!$A:$A, A192,'Data Combined - all-runs'!$B:$B, B192,'Data Combined - all-runs'!$C:$C, C192, 'Data Combined - all-runs'!$D:$D, D192, 'Data Combined - all-runs'!$E:$E, E192)</f>
        <v>976</v>
      </c>
      <c r="I192" s="5">
        <f>AVERAGEIFS('Data Combined - all-runs'!$I:$I, 'Data Combined - all-runs'!$A:$A, A192,'Data Combined - all-runs'!$B:$B, B192,'Data Combined - all-runs'!$C:$C, C192, 'Data Combined - all-runs'!$D:$D, D192, 'Data Combined - all-runs'!$E:$E, E192)</f>
        <v>7</v>
      </c>
      <c r="J192" s="5">
        <f>AVERAGEIFS('Data Combined - all-runs'!$J:$J, 'Data Combined - all-runs'!$A:$A, A192,'Data Combined - all-runs'!$B:$B, B192,'Data Combined - all-runs'!$C:$C, C192, 'Data Combined - all-runs'!$D:$D, D192, 'Data Combined - all-runs'!$E:$E, E192)</f>
        <v>271</v>
      </c>
      <c r="K192" s="5">
        <f>AVERAGEIFS('Data Combined - all-runs'!$K:$K, 'Data Combined - all-runs'!$A:$A, A192,'Data Combined - all-runs'!$B:$B, B192,'Data Combined - all-runs'!$C:$C, C192, 'Data Combined - all-runs'!$D:$D, D192, 'Data Combined - all-runs'!$E:$E, E192)</f>
        <v>0.1741651206</v>
      </c>
      <c r="L192" s="5">
        <f>AVERAGEIFS('Data Combined - all-runs'!$L:$L, 'Data Combined - all-runs'!$A:$A, A192,'Data Combined - all-runs'!$B:$B, B192,'Data Combined - all-runs'!$C:$C, C192, 'Data Combined - all-runs'!$D:$D, D192, 'Data Combined - all-runs'!$E:$E, E192)</f>
        <v>11447.61141</v>
      </c>
      <c r="M192" s="5">
        <f>AVERAGEIFS('Data Combined - all-runs'!$M:$M, 'Data Combined - all-runs'!$A:$A, A192,'Data Combined - all-runs'!$B:$B, B192,'Data Combined - all-runs'!$C:$C, C192, 'Data Combined - all-runs'!$D:$D, D192, 'Data Combined - all-runs'!$E:$E, E192)</f>
        <v>108</v>
      </c>
      <c r="N192" s="5">
        <f>AVERAGEIFS('Data Combined - all-runs'!$N:$N, 'Data Combined - all-runs'!$A:$A, A192,'Data Combined - all-runs'!$B:$B, B192,'Data Combined - all-runs'!$C:$C, C192, 'Data Combined - all-runs'!$D:$D, D192, 'Data Combined - all-runs'!$E:$E, E192)</f>
        <v>4</v>
      </c>
      <c r="O192" s="5">
        <f>AVERAGEIFS('Data Combined - all-runs'!$O:$O, 'Data Combined - all-runs'!$A:$A, A192,'Data Combined - all-runs'!$B:$B, B192,'Data Combined - all-runs'!$C:$C, C192, 'Data Combined - all-runs'!$D:$D, D192, 'Data Combined - all-runs'!$E:$E, E192)</f>
        <v>1078</v>
      </c>
      <c r="P192" s="5">
        <f>AVERAGEIFS('Data Combined - all-runs'!$P:$P, 'Data Combined - all-runs'!$A:$A, A192,'Data Combined - all-runs'!$B:$B, B192,'Data Combined - all-runs'!$C:$C, C192, 'Data Combined - all-runs'!$D:$D, D192, 'Data Combined - all-runs'!$E:$E, E192)</f>
        <v>3.710575139</v>
      </c>
      <c r="Q192" s="5">
        <f>AVERAGEIFS('Data Combined - all-runs'!$Q:$Q, 'Data Combined - all-runs'!$A:$A, A192,'Data Combined - all-runs'!$B:$B, B192,'Data Combined - all-runs'!$C:$C, C192, 'Data Combined - all-runs'!$D:$D, D192, 'Data Combined - all-runs'!$E:$E, E192)</f>
        <v>905.380334</v>
      </c>
      <c r="R192" s="5">
        <f>AVERAGEIFS('Data Combined - all-runs'!$R:$R, 'Data Combined - all-runs'!$A:$A, A192,'Data Combined - all-runs'!$B:$B, B192,'Data Combined - all-runs'!$C:$C, C192, 'Data Combined - all-runs'!$D:$D, D192, 'Data Combined - all-runs'!$E:$E, E192)</f>
        <v>244</v>
      </c>
      <c r="S192" s="5">
        <f>AVERAGEIFS('Data Combined - all-runs'!$S:$S, 'Data Combined - all-runs'!$A:$A, A192,'Data Combined - all-runs'!$B:$B, B192,'Data Combined - all-runs'!$C:$C, C192, 'Data Combined - all-runs'!$D:$D, D192, 'Data Combined - all-runs'!$E:$E, E192)</f>
        <v>0.2776639344</v>
      </c>
      <c r="T192" s="5">
        <f>AVERAGEIFS('Data Combined - all-runs'!$T:$T, 'Data Combined - all-runs'!$A:$A, A192,'Data Combined - all-runs'!$B:$B, B192,'Data Combined - all-runs'!$C:$C, C192, 'Data Combined - all-runs'!$D:$D, D192, 'Data Combined - all-runs'!$E:$E, E192)</f>
        <v>0.007172131148</v>
      </c>
      <c r="U192" s="5" t="b">
        <f t="shared" si="1"/>
        <v>1</v>
      </c>
      <c r="V192" s="5" t="b">
        <f t="shared" si="2"/>
        <v>1</v>
      </c>
      <c r="W192" s="5" t="b">
        <f t="shared" si="3"/>
        <v>0</v>
      </c>
    </row>
    <row r="193">
      <c r="A193" s="2" t="s">
        <v>460</v>
      </c>
      <c r="B193" s="2" t="s">
        <v>22</v>
      </c>
      <c r="C193" s="2" t="s">
        <v>35</v>
      </c>
      <c r="D193" s="2" t="s">
        <v>54</v>
      </c>
      <c r="E193" s="2" t="s">
        <v>51</v>
      </c>
      <c r="H193" s="5">
        <f>AVERAGEIFS('Data Combined - all-runs'!$H:$H, 'Data Combined - all-runs'!$A:$A, A193,'Data Combined - all-runs'!$B:$B, B193,'Data Combined - all-runs'!$C:$C, C193, 'Data Combined - all-runs'!$D:$D, D193, 'Data Combined - all-runs'!$E:$E, E193)</f>
        <v>616</v>
      </c>
      <c r="I193" s="5">
        <f>AVERAGEIFS('Data Combined - all-runs'!$I:$I, 'Data Combined - all-runs'!$A:$A, A193,'Data Combined - all-runs'!$B:$B, B193,'Data Combined - all-runs'!$C:$C, C193, 'Data Combined - all-runs'!$D:$D, D193, 'Data Combined - all-runs'!$E:$E, E193)</f>
        <v>0</v>
      </c>
      <c r="J193" s="5">
        <f>AVERAGEIFS('Data Combined - all-runs'!$J:$J, 'Data Combined - all-runs'!$A:$A, A193,'Data Combined - all-runs'!$B:$B, B193,'Data Combined - all-runs'!$C:$C, C193, 'Data Combined - all-runs'!$D:$D, D193, 'Data Combined - all-runs'!$E:$E, E193)</f>
        <v>215</v>
      </c>
      <c r="K193" s="5">
        <f>AVERAGEIFS('Data Combined - all-runs'!$K:$K, 'Data Combined - all-runs'!$A:$A, A193,'Data Combined - all-runs'!$B:$B, B193,'Data Combined - all-runs'!$C:$C, C193, 'Data Combined - all-runs'!$D:$D, D193, 'Data Combined - all-runs'!$E:$E, E193)</f>
        <v>0.1608796296</v>
      </c>
      <c r="L193" s="5">
        <f>AVERAGEIFS('Data Combined - all-runs'!$L:$L, 'Data Combined - all-runs'!$A:$A, A193,'Data Combined - all-runs'!$B:$B, B193,'Data Combined - all-runs'!$C:$C, C193, 'Data Combined - all-runs'!$D:$D, D193, 'Data Combined - all-runs'!$E:$E, E193)</f>
        <v>5278.678744</v>
      </c>
      <c r="M193" s="5">
        <f>AVERAGEIFS('Data Combined - all-runs'!$M:$M, 'Data Combined - all-runs'!$A:$A, A193,'Data Combined - all-runs'!$B:$B, B193,'Data Combined - all-runs'!$C:$C, C193, 'Data Combined - all-runs'!$D:$D, D193, 'Data Combined - all-runs'!$E:$E, E193)</f>
        <v>256</v>
      </c>
      <c r="N193" s="5">
        <f>AVERAGEIFS('Data Combined - all-runs'!$N:$N, 'Data Combined - all-runs'!$A:$A, A193,'Data Combined - all-runs'!$B:$B, B193,'Data Combined - all-runs'!$C:$C, C193, 'Data Combined - all-runs'!$D:$D, D193, 'Data Combined - all-runs'!$E:$E, E193)</f>
        <v>1</v>
      </c>
      <c r="O193" s="5">
        <f>AVERAGEIFS('Data Combined - all-runs'!$O:$O, 'Data Combined - all-runs'!$A:$A, A193,'Data Combined - all-runs'!$B:$B, B193,'Data Combined - all-runs'!$C:$C, C193, 'Data Combined - all-runs'!$D:$D, D193, 'Data Combined - all-runs'!$E:$E, E193)</f>
        <v>756</v>
      </c>
      <c r="P193" s="5">
        <f>AVERAGEIFS('Data Combined - all-runs'!$P:$P, 'Data Combined - all-runs'!$A:$A, A193,'Data Combined - all-runs'!$B:$B, B193,'Data Combined - all-runs'!$C:$C, C193, 'Data Combined - all-runs'!$D:$D, D193, 'Data Combined - all-runs'!$E:$E, E193)</f>
        <v>1.322751323</v>
      </c>
      <c r="Q193" s="5">
        <f>AVERAGEIFS('Data Combined - all-runs'!$Q:$Q, 'Data Combined - all-runs'!$A:$A, A193,'Data Combined - all-runs'!$B:$B, B193,'Data Combined - all-runs'!$C:$C, C193, 'Data Combined - all-runs'!$D:$D, D193, 'Data Combined - all-runs'!$E:$E, E193)</f>
        <v>814.8148148</v>
      </c>
      <c r="R193" s="5">
        <f>AVERAGEIFS('Data Combined - all-runs'!$R:$R, 'Data Combined - all-runs'!$A:$A, A193,'Data Combined - all-runs'!$B:$B, B193,'Data Combined - all-runs'!$C:$C, C193, 'Data Combined - all-runs'!$D:$D, D193, 'Data Combined - all-runs'!$E:$E, E193)</f>
        <v>616</v>
      </c>
      <c r="S193" s="5">
        <f>AVERAGEIFS('Data Combined - all-runs'!$S:$S, 'Data Combined - all-runs'!$A:$A, A193,'Data Combined - all-runs'!$B:$B, B193,'Data Combined - all-runs'!$C:$C, C193, 'Data Combined - all-runs'!$D:$D, D193, 'Data Combined - all-runs'!$E:$E, E193)</f>
        <v>0.349025974</v>
      </c>
      <c r="T193" s="5">
        <f>AVERAGEIFS('Data Combined - all-runs'!$T:$T, 'Data Combined - all-runs'!$A:$A, A193,'Data Combined - all-runs'!$B:$B, B193,'Data Combined - all-runs'!$C:$C, C193, 'Data Combined - all-runs'!$D:$D, D193, 'Data Combined - all-runs'!$E:$E, E193)</f>
        <v>0</v>
      </c>
      <c r="U193" s="5" t="b">
        <f t="shared" si="1"/>
        <v>1</v>
      </c>
      <c r="V193" s="5" t="b">
        <f t="shared" si="2"/>
        <v>1</v>
      </c>
      <c r="W193" s="5" t="b">
        <f t="shared" si="3"/>
        <v>0</v>
      </c>
    </row>
    <row r="194">
      <c r="A194" s="2" t="s">
        <v>460</v>
      </c>
      <c r="B194" s="2" t="s">
        <v>22</v>
      </c>
      <c r="C194" s="2" t="s">
        <v>35</v>
      </c>
      <c r="D194" s="2" t="s">
        <v>72</v>
      </c>
      <c r="E194" s="2" t="s">
        <v>25</v>
      </c>
      <c r="H194" s="5">
        <f>AVERAGEIFS('Data Combined - all-runs'!$H:$H, 'Data Combined - all-runs'!$A:$A, A194,'Data Combined - all-runs'!$B:$B, B194,'Data Combined - all-runs'!$C:$C, C194, 'Data Combined - all-runs'!$D:$D, D194, 'Data Combined - all-runs'!$E:$E, E194)</f>
        <v>775</v>
      </c>
      <c r="I194" s="5">
        <f>AVERAGEIFS('Data Combined - all-runs'!$I:$I, 'Data Combined - all-runs'!$A:$A, A194,'Data Combined - all-runs'!$B:$B, B194,'Data Combined - all-runs'!$C:$C, C194, 'Data Combined - all-runs'!$D:$D, D194, 'Data Combined - all-runs'!$E:$E, E194)</f>
        <v>2</v>
      </c>
      <c r="J194" s="5">
        <f>AVERAGEIFS('Data Combined - all-runs'!$J:$J, 'Data Combined - all-runs'!$A:$A, A194,'Data Combined - all-runs'!$B:$B, B194,'Data Combined - all-runs'!$C:$C, C194, 'Data Combined - all-runs'!$D:$D, D194, 'Data Combined - all-runs'!$E:$E, E194)</f>
        <v>1</v>
      </c>
      <c r="K194" s="5">
        <f>AVERAGEIFS('Data Combined - all-runs'!$K:$K, 'Data Combined - all-runs'!$A:$A, A194,'Data Combined - all-runs'!$B:$B, B194,'Data Combined - all-runs'!$C:$C, C194, 'Data Combined - all-runs'!$D:$D, D194, 'Data Combined - all-runs'!$E:$E, E194)</f>
        <v>0.1581196581</v>
      </c>
      <c r="L194" s="5">
        <f>AVERAGEIFS('Data Combined - all-runs'!$L:$L, 'Data Combined - all-runs'!$A:$A, A194,'Data Combined - all-runs'!$B:$B, B194,'Data Combined - all-runs'!$C:$C, C194, 'Data Combined - all-runs'!$D:$D, D194, 'Data Combined - all-runs'!$E:$E, E194)</f>
        <v>2066.148042</v>
      </c>
      <c r="M194" s="5">
        <f>AVERAGEIFS('Data Combined - all-runs'!$M:$M, 'Data Combined - all-runs'!$A:$A, A194,'Data Combined - all-runs'!$B:$B, B194,'Data Combined - all-runs'!$C:$C, C194, 'Data Combined - all-runs'!$D:$D, D194, 'Data Combined - all-runs'!$E:$E, E194)</f>
        <v>54</v>
      </c>
      <c r="N194" s="5">
        <f>AVERAGEIFS('Data Combined - all-runs'!$N:$N, 'Data Combined - all-runs'!$A:$A, A194,'Data Combined - all-runs'!$B:$B, B194,'Data Combined - all-runs'!$C:$C, C194, 'Data Combined - all-runs'!$D:$D, D194, 'Data Combined - all-runs'!$E:$E, E194)</f>
        <v>9</v>
      </c>
      <c r="O194" s="5">
        <f>AVERAGEIFS('Data Combined - all-runs'!$O:$O, 'Data Combined - all-runs'!$A:$A, A194,'Data Combined - all-runs'!$B:$B, B194,'Data Combined - all-runs'!$C:$C, C194, 'Data Combined - all-runs'!$D:$D, D194, 'Data Combined - all-runs'!$E:$E, E194)</f>
        <v>1989</v>
      </c>
      <c r="P194" s="5">
        <f>AVERAGEIFS('Data Combined - all-runs'!$P:$P, 'Data Combined - all-runs'!$A:$A, A194,'Data Combined - all-runs'!$B:$B, B194,'Data Combined - all-runs'!$C:$C, C194, 'Data Combined - all-runs'!$D:$D, D194, 'Data Combined - all-runs'!$E:$E, E194)</f>
        <v>4.524886878</v>
      </c>
      <c r="Q194" s="5">
        <f>AVERAGEIFS('Data Combined - all-runs'!$Q:$Q, 'Data Combined - all-runs'!$A:$A, A194,'Data Combined - all-runs'!$B:$B, B194,'Data Combined - all-runs'!$C:$C, C194, 'Data Combined - all-runs'!$D:$D, D194, 'Data Combined - all-runs'!$E:$E, E194)</f>
        <v>389.6430367</v>
      </c>
      <c r="R194" s="5">
        <f>AVERAGEIFS('Data Combined - all-runs'!$R:$R, 'Data Combined - all-runs'!$A:$A, A194,'Data Combined - all-runs'!$B:$B, B194,'Data Combined - all-runs'!$C:$C, C194, 'Data Combined - all-runs'!$D:$D, D194, 'Data Combined - all-runs'!$E:$E, E194)</f>
        <v>86.11111111</v>
      </c>
      <c r="S194" s="5">
        <f>AVERAGEIFS('Data Combined - all-runs'!$S:$S, 'Data Combined - all-runs'!$A:$A, A194,'Data Combined - all-runs'!$B:$B, B194,'Data Combined - all-runs'!$C:$C, C194, 'Data Combined - all-runs'!$D:$D, D194, 'Data Combined - all-runs'!$E:$E, E194)</f>
        <v>0.001290322581</v>
      </c>
      <c r="T194" s="5">
        <f>AVERAGEIFS('Data Combined - all-runs'!$T:$T, 'Data Combined - all-runs'!$A:$A, A194,'Data Combined - all-runs'!$B:$B, B194,'Data Combined - all-runs'!$C:$C, C194, 'Data Combined - all-runs'!$D:$D, D194, 'Data Combined - all-runs'!$E:$E, E194)</f>
        <v>0.002580645161</v>
      </c>
      <c r="U194" s="5" t="b">
        <f t="shared" si="1"/>
        <v>1</v>
      </c>
      <c r="V194" s="5" t="b">
        <f t="shared" si="2"/>
        <v>1</v>
      </c>
      <c r="W194" s="5" t="b">
        <f t="shared" si="3"/>
        <v>0</v>
      </c>
    </row>
    <row r="195">
      <c r="A195" s="2" t="s">
        <v>460</v>
      </c>
      <c r="B195" s="2" t="s">
        <v>22</v>
      </c>
      <c r="C195" s="2" t="s">
        <v>35</v>
      </c>
      <c r="D195" s="2" t="s">
        <v>72</v>
      </c>
      <c r="E195" s="2" t="s">
        <v>39</v>
      </c>
      <c r="H195" s="5">
        <f>AVERAGEIFS('Data Combined - all-runs'!$H:$H, 'Data Combined - all-runs'!$A:$A, A195,'Data Combined - all-runs'!$B:$B, B195,'Data Combined - all-runs'!$C:$C, C195, 'Data Combined - all-runs'!$D:$D, D195, 'Data Combined - all-runs'!$E:$E, E195)</f>
        <v>172</v>
      </c>
      <c r="I195" s="5">
        <f>AVERAGEIFS('Data Combined - all-runs'!$I:$I, 'Data Combined - all-runs'!$A:$A, A195,'Data Combined - all-runs'!$B:$B, B195,'Data Combined - all-runs'!$C:$C, C195, 'Data Combined - all-runs'!$D:$D, D195, 'Data Combined - all-runs'!$E:$E, E195)</f>
        <v>0</v>
      </c>
      <c r="J195" s="5">
        <f>AVERAGEIFS('Data Combined - all-runs'!$J:$J, 'Data Combined - all-runs'!$A:$A, A195,'Data Combined - all-runs'!$B:$B, B195,'Data Combined - all-runs'!$C:$C, C195, 'Data Combined - all-runs'!$D:$D, D195, 'Data Combined - all-runs'!$E:$E, E195)</f>
        <v>0</v>
      </c>
      <c r="K195" s="5">
        <f>AVERAGEIFS('Data Combined - all-runs'!$K:$K, 'Data Combined - all-runs'!$A:$A, A195,'Data Combined - all-runs'!$B:$B, B195,'Data Combined - all-runs'!$C:$C, C195, 'Data Combined - all-runs'!$D:$D, D195, 'Data Combined - all-runs'!$E:$E, E195)</f>
        <v>0.102</v>
      </c>
      <c r="L195" s="5">
        <f>AVERAGEIFS('Data Combined - all-runs'!$L:$L, 'Data Combined - all-runs'!$A:$A, A195,'Data Combined - all-runs'!$B:$B, B195,'Data Combined - all-runs'!$C:$C, C195, 'Data Combined - all-runs'!$D:$D, D195, 'Data Combined - all-runs'!$E:$E, E195)</f>
        <v>509.6006539</v>
      </c>
      <c r="M195" s="5" t="str">
        <f>AVERAGEIFS('Data Combined - all-runs'!$M:$M, 'Data Combined - all-runs'!$A:$A, A195,'Data Combined - all-runs'!$B:$B, B195,'Data Combined - all-runs'!$C:$C, C195, 'Data Combined - all-runs'!$D:$D, D195, 'Data Combined - all-runs'!$E:$E, E195)</f>
        <v>#DIV/0!</v>
      </c>
      <c r="N195" s="5">
        <f>AVERAGEIFS('Data Combined - all-runs'!$N:$N, 'Data Combined - all-runs'!$A:$A, A195,'Data Combined - all-runs'!$B:$B, B195,'Data Combined - all-runs'!$C:$C, C195, 'Data Combined - all-runs'!$D:$D, D195, 'Data Combined - all-runs'!$E:$E, E195)</f>
        <v>0</v>
      </c>
      <c r="O195" s="5">
        <f>AVERAGEIFS('Data Combined - all-runs'!$O:$O, 'Data Combined - all-runs'!$A:$A, A195,'Data Combined - all-runs'!$B:$B, B195,'Data Combined - all-runs'!$C:$C, C195, 'Data Combined - all-runs'!$D:$D, D195, 'Data Combined - all-runs'!$E:$E, E195)</f>
        <v>500</v>
      </c>
      <c r="P195" s="5">
        <f>AVERAGEIFS('Data Combined - all-runs'!$P:$P, 'Data Combined - all-runs'!$A:$A, A195,'Data Combined - all-runs'!$B:$B, B195,'Data Combined - all-runs'!$C:$C, C195, 'Data Combined - all-runs'!$D:$D, D195, 'Data Combined - all-runs'!$E:$E, E195)</f>
        <v>0</v>
      </c>
      <c r="Q195" s="5">
        <f>AVERAGEIFS('Data Combined - all-runs'!$Q:$Q, 'Data Combined - all-runs'!$A:$A, A195,'Data Combined - all-runs'!$B:$B, B195,'Data Combined - all-runs'!$C:$C, C195, 'Data Combined - all-runs'!$D:$D, D195, 'Data Combined - all-runs'!$E:$E, E195)</f>
        <v>344</v>
      </c>
      <c r="R195" s="5" t="str">
        <f>AVERAGEIFS('Data Combined - all-runs'!$R:$R, 'Data Combined - all-runs'!$A:$A, A195,'Data Combined - all-runs'!$B:$B, B195,'Data Combined - all-runs'!$C:$C, C195, 'Data Combined - all-runs'!$D:$D, D195, 'Data Combined - all-runs'!$E:$E, E195)</f>
        <v>#DIV/0!</v>
      </c>
      <c r="S195" s="5">
        <f>AVERAGEIFS('Data Combined - all-runs'!$S:$S, 'Data Combined - all-runs'!$A:$A, A195,'Data Combined - all-runs'!$B:$B, B195,'Data Combined - all-runs'!$C:$C, C195, 'Data Combined - all-runs'!$D:$D, D195, 'Data Combined - all-runs'!$E:$E, E195)</f>
        <v>0</v>
      </c>
      <c r="T195" s="5">
        <f>AVERAGEIFS('Data Combined - all-runs'!$T:$T, 'Data Combined - all-runs'!$A:$A, A195,'Data Combined - all-runs'!$B:$B, B195,'Data Combined - all-runs'!$C:$C, C195, 'Data Combined - all-runs'!$D:$D, D195, 'Data Combined - all-runs'!$E:$E, E195)</f>
        <v>0</v>
      </c>
      <c r="U195" s="5" t="b">
        <f t="shared" si="1"/>
        <v>1</v>
      </c>
      <c r="V195" s="5" t="b">
        <f t="shared" si="2"/>
        <v>1</v>
      </c>
      <c r="W195" s="5" t="b">
        <f t="shared" si="3"/>
        <v>0</v>
      </c>
    </row>
    <row r="196">
      <c r="A196" s="2" t="s">
        <v>460</v>
      </c>
      <c r="B196" s="2" t="s">
        <v>22</v>
      </c>
      <c r="C196" s="2" t="s">
        <v>35</v>
      </c>
      <c r="D196" s="2" t="s">
        <v>72</v>
      </c>
      <c r="E196" s="2" t="s">
        <v>43</v>
      </c>
      <c r="H196" s="5">
        <f>AVERAGEIFS('Data Combined - all-runs'!$H:$H, 'Data Combined - all-runs'!$A:$A, A196,'Data Combined - all-runs'!$B:$B, B196,'Data Combined - all-runs'!$C:$C, C196, 'Data Combined - all-runs'!$D:$D, D196, 'Data Combined - all-runs'!$E:$E, E196)</f>
        <v>1463</v>
      </c>
      <c r="I196" s="5">
        <f>AVERAGEIFS('Data Combined - all-runs'!$I:$I, 'Data Combined - all-runs'!$A:$A, A196,'Data Combined - all-runs'!$B:$B, B196,'Data Combined - all-runs'!$C:$C, C196, 'Data Combined - all-runs'!$D:$D, D196, 'Data Combined - all-runs'!$E:$E, E196)</f>
        <v>0</v>
      </c>
      <c r="J196" s="5">
        <f>AVERAGEIFS('Data Combined - all-runs'!$J:$J, 'Data Combined - all-runs'!$A:$A, A196,'Data Combined - all-runs'!$B:$B, B196,'Data Combined - all-runs'!$C:$C, C196, 'Data Combined - all-runs'!$D:$D, D196, 'Data Combined - all-runs'!$E:$E, E196)</f>
        <v>5</v>
      </c>
      <c r="K196" s="5">
        <f>AVERAGEIFS('Data Combined - all-runs'!$K:$K, 'Data Combined - all-runs'!$A:$A, A196,'Data Combined - all-runs'!$B:$B, B196,'Data Combined - all-runs'!$C:$C, C196, 'Data Combined - all-runs'!$D:$D, D196, 'Data Combined - all-runs'!$E:$E, E196)</f>
        <v>0.1037414966</v>
      </c>
      <c r="L196" s="5">
        <f>AVERAGEIFS('Data Combined - all-runs'!$L:$L, 'Data Combined - all-runs'!$A:$A, A196,'Data Combined - all-runs'!$B:$B, B196,'Data Combined - all-runs'!$C:$C, C196, 'Data Combined - all-runs'!$D:$D, D196, 'Data Combined - all-runs'!$E:$E, E196)</f>
        <v>5583.533483</v>
      </c>
      <c r="M196" s="5">
        <f>AVERAGEIFS('Data Combined - all-runs'!$M:$M, 'Data Combined - all-runs'!$A:$A, A196,'Data Combined - all-runs'!$B:$B, B196,'Data Combined - all-runs'!$C:$C, C196, 'Data Combined - all-runs'!$D:$D, D196, 'Data Combined - all-runs'!$E:$E, E196)</f>
        <v>38</v>
      </c>
      <c r="N196" s="5">
        <f>AVERAGEIFS('Data Combined - all-runs'!$N:$N, 'Data Combined - all-runs'!$A:$A, A196,'Data Combined - all-runs'!$B:$B, B196,'Data Combined - all-runs'!$C:$C, C196, 'Data Combined - all-runs'!$D:$D, D196, 'Data Combined - all-runs'!$E:$E, E196)</f>
        <v>16</v>
      </c>
      <c r="O196" s="5">
        <f>AVERAGEIFS('Data Combined - all-runs'!$O:$O, 'Data Combined - all-runs'!$A:$A, A196,'Data Combined - all-runs'!$B:$B, B196,'Data Combined - all-runs'!$C:$C, C196, 'Data Combined - all-runs'!$D:$D, D196, 'Data Combined - all-runs'!$E:$E, E196)</f>
        <v>2254</v>
      </c>
      <c r="P196" s="5">
        <f>AVERAGEIFS('Data Combined - all-runs'!$P:$P, 'Data Combined - all-runs'!$A:$A, A196,'Data Combined - all-runs'!$B:$B, B196,'Data Combined - all-runs'!$C:$C, C196, 'Data Combined - all-runs'!$D:$D, D196, 'Data Combined - all-runs'!$E:$E, E196)</f>
        <v>7.098491571</v>
      </c>
      <c r="Q196" s="5">
        <f>AVERAGEIFS('Data Combined - all-runs'!$Q:$Q, 'Data Combined - all-runs'!$A:$A, A196,'Data Combined - all-runs'!$B:$B, B196,'Data Combined - all-runs'!$C:$C, C196, 'Data Combined - all-runs'!$D:$D, D196, 'Data Combined - all-runs'!$E:$E, E196)</f>
        <v>649.068323</v>
      </c>
      <c r="R196" s="5">
        <f>AVERAGEIFS('Data Combined - all-runs'!$R:$R, 'Data Combined - all-runs'!$A:$A, A196,'Data Combined - all-runs'!$B:$B, B196,'Data Combined - all-runs'!$C:$C, C196, 'Data Combined - all-runs'!$D:$D, D196, 'Data Combined - all-runs'!$E:$E, E196)</f>
        <v>91.4375</v>
      </c>
      <c r="S196" s="5">
        <f>AVERAGEIFS('Data Combined - all-runs'!$S:$S, 'Data Combined - all-runs'!$A:$A, A196,'Data Combined - all-runs'!$B:$B, B196,'Data Combined - all-runs'!$C:$C, C196, 'Data Combined - all-runs'!$D:$D, D196, 'Data Combined - all-runs'!$E:$E, E196)</f>
        <v>0.003417634997</v>
      </c>
      <c r="T196" s="5">
        <f>AVERAGEIFS('Data Combined - all-runs'!$T:$T, 'Data Combined - all-runs'!$A:$A, A196,'Data Combined - all-runs'!$B:$B, B196,'Data Combined - all-runs'!$C:$C, C196, 'Data Combined - all-runs'!$D:$D, D196, 'Data Combined - all-runs'!$E:$E, E196)</f>
        <v>0</v>
      </c>
      <c r="U196" s="5" t="b">
        <f t="shared" si="1"/>
        <v>1</v>
      </c>
      <c r="V196" s="5" t="b">
        <f t="shared" si="2"/>
        <v>1</v>
      </c>
      <c r="W196" s="5" t="b">
        <f t="shared" si="3"/>
        <v>0</v>
      </c>
    </row>
    <row r="197">
      <c r="A197" s="2" t="s">
        <v>460</v>
      </c>
      <c r="B197" s="2" t="s">
        <v>22</v>
      </c>
      <c r="C197" s="2" t="s">
        <v>35</v>
      </c>
      <c r="D197" s="2" t="s">
        <v>72</v>
      </c>
      <c r="E197" s="2" t="s">
        <v>34</v>
      </c>
      <c r="H197" s="5">
        <f>AVERAGEIFS('Data Combined - all-runs'!$H:$H, 'Data Combined - all-runs'!$A:$A, A197,'Data Combined - all-runs'!$B:$B, B197,'Data Combined - all-runs'!$C:$C, C197, 'Data Combined - all-runs'!$D:$D, D197, 'Data Combined - all-runs'!$E:$E, E197)</f>
        <v>2585</v>
      </c>
      <c r="I197" s="5">
        <f>AVERAGEIFS('Data Combined - all-runs'!$I:$I, 'Data Combined - all-runs'!$A:$A, A197,'Data Combined - all-runs'!$B:$B, B197,'Data Combined - all-runs'!$C:$C, C197, 'Data Combined - all-runs'!$D:$D, D197, 'Data Combined - all-runs'!$E:$E, E197)</f>
        <v>1</v>
      </c>
      <c r="J197" s="5">
        <f>AVERAGEIFS('Data Combined - all-runs'!$J:$J, 'Data Combined - all-runs'!$A:$A, A197,'Data Combined - all-runs'!$B:$B, B197,'Data Combined - all-runs'!$C:$C, C197, 'Data Combined - all-runs'!$D:$D, D197, 'Data Combined - all-runs'!$E:$E, E197)</f>
        <v>25</v>
      </c>
      <c r="K197" s="5">
        <f>AVERAGEIFS('Data Combined - all-runs'!$K:$K, 'Data Combined - all-runs'!$A:$A, A197,'Data Combined - all-runs'!$B:$B, B197,'Data Combined - all-runs'!$C:$C, C197, 'Data Combined - all-runs'!$D:$D, D197, 'Data Combined - all-runs'!$E:$E, E197)</f>
        <v>0.2052683897</v>
      </c>
      <c r="L197" s="5">
        <f>AVERAGEIFS('Data Combined - all-runs'!$L:$L, 'Data Combined - all-runs'!$A:$A, A197,'Data Combined - all-runs'!$B:$B, B197,'Data Combined - all-runs'!$C:$C, C197, 'Data Combined - all-runs'!$D:$D, D197, 'Data Combined - all-runs'!$E:$E, E197)</f>
        <v>12036.87839</v>
      </c>
      <c r="M197" s="5">
        <f>AVERAGEIFS('Data Combined - all-runs'!$M:$M, 'Data Combined - all-runs'!$A:$A, A197,'Data Combined - all-runs'!$B:$B, B197,'Data Combined - all-runs'!$C:$C, C197, 'Data Combined - all-runs'!$D:$D, D197, 'Data Combined - all-runs'!$E:$E, E197)</f>
        <v>71</v>
      </c>
      <c r="N197" s="5">
        <f>AVERAGEIFS('Data Combined - all-runs'!$N:$N, 'Data Combined - all-runs'!$A:$A, A197,'Data Combined - all-runs'!$B:$B, B197,'Data Combined - all-runs'!$C:$C, C197, 'Data Combined - all-runs'!$D:$D, D197, 'Data Combined - all-runs'!$E:$E, E197)</f>
        <v>15</v>
      </c>
      <c r="O197" s="5">
        <f>AVERAGEIFS('Data Combined - all-runs'!$O:$O, 'Data Combined - all-runs'!$A:$A, A197,'Data Combined - all-runs'!$B:$B, B197,'Data Combined - all-runs'!$C:$C, C197, 'Data Combined - all-runs'!$D:$D, D197, 'Data Combined - all-runs'!$E:$E, E197)</f>
        <v>3018</v>
      </c>
      <c r="P197" s="5">
        <f>AVERAGEIFS('Data Combined - all-runs'!$P:$P, 'Data Combined - all-runs'!$A:$A, A197,'Data Combined - all-runs'!$B:$B, B197,'Data Combined - all-runs'!$C:$C, C197, 'Data Combined - all-runs'!$D:$D, D197, 'Data Combined - all-runs'!$E:$E, E197)</f>
        <v>4.970178926</v>
      </c>
      <c r="Q197" s="5">
        <f>AVERAGEIFS('Data Combined - all-runs'!$Q:$Q, 'Data Combined - all-runs'!$A:$A, A197,'Data Combined - all-runs'!$B:$B, B197,'Data Combined - all-runs'!$C:$C, C197, 'Data Combined - all-runs'!$D:$D, D197, 'Data Combined - all-runs'!$E:$E, E197)</f>
        <v>856.5275017</v>
      </c>
      <c r="R197" s="5">
        <f>AVERAGEIFS('Data Combined - all-runs'!$R:$R, 'Data Combined - all-runs'!$A:$A, A197,'Data Combined - all-runs'!$B:$B, B197,'Data Combined - all-runs'!$C:$C, C197, 'Data Combined - all-runs'!$D:$D, D197, 'Data Combined - all-runs'!$E:$E, E197)</f>
        <v>172.3333333</v>
      </c>
      <c r="S197" s="5">
        <f>AVERAGEIFS('Data Combined - all-runs'!$S:$S, 'Data Combined - all-runs'!$A:$A, A197,'Data Combined - all-runs'!$B:$B, B197,'Data Combined - all-runs'!$C:$C, C197, 'Data Combined - all-runs'!$D:$D, D197, 'Data Combined - all-runs'!$E:$E, E197)</f>
        <v>0.009671179884</v>
      </c>
      <c r="T197" s="5">
        <f>AVERAGEIFS('Data Combined - all-runs'!$T:$T, 'Data Combined - all-runs'!$A:$A, A197,'Data Combined - all-runs'!$B:$B, B197,'Data Combined - all-runs'!$C:$C, C197, 'Data Combined - all-runs'!$D:$D, D197, 'Data Combined - all-runs'!$E:$E, E197)</f>
        <v>0.0003868471954</v>
      </c>
      <c r="U197" s="5" t="b">
        <f t="shared" si="1"/>
        <v>1</v>
      </c>
      <c r="V197" s="5" t="b">
        <f t="shared" si="2"/>
        <v>1</v>
      </c>
      <c r="W197" s="5" t="b">
        <f t="shared" si="3"/>
        <v>0</v>
      </c>
    </row>
    <row r="198">
      <c r="A198" s="2" t="s">
        <v>460</v>
      </c>
      <c r="B198" s="2" t="s">
        <v>22</v>
      </c>
      <c r="C198" s="2" t="s">
        <v>35</v>
      </c>
      <c r="D198" s="2" t="s">
        <v>72</v>
      </c>
      <c r="E198" s="2" t="s">
        <v>47</v>
      </c>
      <c r="H198" s="5">
        <f>AVERAGEIFS('Data Combined - all-runs'!$H:$H, 'Data Combined - all-runs'!$A:$A, A198,'Data Combined - all-runs'!$B:$B, B198,'Data Combined - all-runs'!$C:$C, C198, 'Data Combined - all-runs'!$D:$D, D198, 'Data Combined - all-runs'!$E:$E, E198)</f>
        <v>1295</v>
      </c>
      <c r="I198" s="5">
        <f>AVERAGEIFS('Data Combined - all-runs'!$I:$I, 'Data Combined - all-runs'!$A:$A, A198,'Data Combined - all-runs'!$B:$B, B198,'Data Combined - all-runs'!$C:$C, C198, 'Data Combined - all-runs'!$D:$D, D198, 'Data Combined - all-runs'!$E:$E, E198)</f>
        <v>3</v>
      </c>
      <c r="J198" s="5">
        <f>AVERAGEIFS('Data Combined - all-runs'!$J:$J, 'Data Combined - all-runs'!$A:$A, A198,'Data Combined - all-runs'!$B:$B, B198,'Data Combined - all-runs'!$C:$C, C198, 'Data Combined - all-runs'!$D:$D, D198, 'Data Combined - all-runs'!$E:$E, E198)</f>
        <v>24</v>
      </c>
      <c r="K198" s="5">
        <f>AVERAGEIFS('Data Combined - all-runs'!$K:$K, 'Data Combined - all-runs'!$A:$A, A198,'Data Combined - all-runs'!$B:$B, B198,'Data Combined - all-runs'!$C:$C, C198, 'Data Combined - all-runs'!$D:$D, D198, 'Data Combined - all-runs'!$E:$E, E198)</f>
        <v>0.1643436838</v>
      </c>
      <c r="L198" s="5">
        <f>AVERAGEIFS('Data Combined - all-runs'!$L:$L, 'Data Combined - all-runs'!$A:$A, A198,'Data Combined - all-runs'!$B:$B, B198,'Data Combined - all-runs'!$C:$C, C198, 'Data Combined - all-runs'!$D:$D, D198, 'Data Combined - all-runs'!$E:$E, E198)</f>
        <v>8965.840965</v>
      </c>
      <c r="M198" s="5">
        <f>AVERAGEIFS('Data Combined - all-runs'!$M:$M, 'Data Combined - all-runs'!$A:$A, A198,'Data Combined - all-runs'!$B:$B, B198,'Data Combined - all-runs'!$C:$C, C198, 'Data Combined - all-runs'!$D:$D, D198, 'Data Combined - all-runs'!$E:$E, E198)</f>
        <v>52</v>
      </c>
      <c r="N198" s="5">
        <f>AVERAGEIFS('Data Combined - all-runs'!$N:$N, 'Data Combined - all-runs'!$A:$A, A198,'Data Combined - all-runs'!$B:$B, B198,'Data Combined - all-runs'!$C:$C, C198, 'Data Combined - all-runs'!$D:$D, D198, 'Data Combined - all-runs'!$E:$E, E198)</f>
        <v>8</v>
      </c>
      <c r="O198" s="5">
        <f>AVERAGEIFS('Data Combined - all-runs'!$O:$O, 'Data Combined - all-runs'!$A:$A, A198,'Data Combined - all-runs'!$B:$B, B198,'Data Combined - all-runs'!$C:$C, C198, 'Data Combined - all-runs'!$D:$D, D198, 'Data Combined - all-runs'!$E:$E, E198)</f>
        <v>1417</v>
      </c>
      <c r="P198" s="5">
        <f>AVERAGEIFS('Data Combined - all-runs'!$P:$P, 'Data Combined - all-runs'!$A:$A, A198,'Data Combined - all-runs'!$B:$B, B198,'Data Combined - all-runs'!$C:$C, C198, 'Data Combined - all-runs'!$D:$D, D198, 'Data Combined - all-runs'!$E:$E, E198)</f>
        <v>5.645730416</v>
      </c>
      <c r="Q198" s="5">
        <f>AVERAGEIFS('Data Combined - all-runs'!$Q:$Q, 'Data Combined - all-runs'!$A:$A, A198,'Data Combined - all-runs'!$B:$B, B198,'Data Combined - all-runs'!$C:$C, C198, 'Data Combined - all-runs'!$D:$D, D198, 'Data Combined - all-runs'!$E:$E, E198)</f>
        <v>913.9026112</v>
      </c>
      <c r="R198" s="5">
        <f>AVERAGEIFS('Data Combined - all-runs'!$R:$R, 'Data Combined - all-runs'!$A:$A, A198,'Data Combined - all-runs'!$B:$B, B198,'Data Combined - all-runs'!$C:$C, C198, 'Data Combined - all-runs'!$D:$D, D198, 'Data Combined - all-runs'!$E:$E, E198)</f>
        <v>161.875</v>
      </c>
      <c r="S198" s="5">
        <f>AVERAGEIFS('Data Combined - all-runs'!$S:$S, 'Data Combined - all-runs'!$A:$A, A198,'Data Combined - all-runs'!$B:$B, B198,'Data Combined - all-runs'!$C:$C, C198, 'Data Combined - all-runs'!$D:$D, D198, 'Data Combined - all-runs'!$E:$E, E198)</f>
        <v>0.01853281853</v>
      </c>
      <c r="T198" s="5">
        <f>AVERAGEIFS('Data Combined - all-runs'!$T:$T, 'Data Combined - all-runs'!$A:$A, A198,'Data Combined - all-runs'!$B:$B, B198,'Data Combined - all-runs'!$C:$C, C198, 'Data Combined - all-runs'!$D:$D, D198, 'Data Combined - all-runs'!$E:$E, E198)</f>
        <v>0.002316602317</v>
      </c>
      <c r="U198" s="5" t="b">
        <f t="shared" si="1"/>
        <v>1</v>
      </c>
      <c r="V198" s="5" t="b">
        <f t="shared" si="2"/>
        <v>1</v>
      </c>
      <c r="W198" s="5" t="b">
        <f t="shared" si="3"/>
        <v>0</v>
      </c>
    </row>
    <row r="199">
      <c r="A199" s="2" t="s">
        <v>460</v>
      </c>
      <c r="B199" s="2" t="s">
        <v>22</v>
      </c>
      <c r="C199" s="2" t="s">
        <v>35</v>
      </c>
      <c r="D199" s="2" t="s">
        <v>72</v>
      </c>
      <c r="E199" s="2" t="s">
        <v>51</v>
      </c>
      <c r="H199" s="5">
        <f>AVERAGEIFS('Data Combined - all-runs'!$H:$H, 'Data Combined - all-runs'!$A:$A, A199,'Data Combined - all-runs'!$B:$B, B199,'Data Combined - all-runs'!$C:$C, C199, 'Data Combined - all-runs'!$D:$D, D199, 'Data Combined - all-runs'!$E:$E, E199)</f>
        <v>1758</v>
      </c>
      <c r="I199" s="5">
        <f>AVERAGEIFS('Data Combined - all-runs'!$I:$I, 'Data Combined - all-runs'!$A:$A, A199,'Data Combined - all-runs'!$B:$B, B199,'Data Combined - all-runs'!$C:$C, C199, 'Data Combined - all-runs'!$D:$D, D199, 'Data Combined - all-runs'!$E:$E, E199)</f>
        <v>1</v>
      </c>
      <c r="J199" s="5">
        <f>AVERAGEIFS('Data Combined - all-runs'!$J:$J, 'Data Combined - all-runs'!$A:$A, A199,'Data Combined - all-runs'!$B:$B, B199,'Data Combined - all-runs'!$C:$C, C199, 'Data Combined - all-runs'!$D:$D, D199, 'Data Combined - all-runs'!$E:$E, E199)</f>
        <v>24</v>
      </c>
      <c r="K199" s="5">
        <f>AVERAGEIFS('Data Combined - all-runs'!$K:$K, 'Data Combined - all-runs'!$A:$A, A199,'Data Combined - all-runs'!$B:$B, B199,'Data Combined - all-runs'!$C:$C, C199, 'Data Combined - all-runs'!$D:$D, D199, 'Data Combined - all-runs'!$E:$E, E199)</f>
        <v>0.08533024567</v>
      </c>
      <c r="L199" s="5">
        <f>AVERAGEIFS('Data Combined - all-runs'!$L:$L, 'Data Combined - all-runs'!$A:$A, A199,'Data Combined - all-runs'!$B:$B, B199,'Data Combined - all-runs'!$C:$C, C199, 'Data Combined - all-runs'!$D:$D, D199, 'Data Combined - all-runs'!$E:$E, E199)</f>
        <v>8247.302603</v>
      </c>
      <c r="M199" s="5">
        <f>AVERAGEIFS('Data Combined - all-runs'!$M:$M, 'Data Combined - all-runs'!$A:$A, A199,'Data Combined - all-runs'!$B:$B, B199,'Data Combined - all-runs'!$C:$C, C199, 'Data Combined - all-runs'!$D:$D, D199, 'Data Combined - all-runs'!$E:$E, E199)</f>
        <v>30</v>
      </c>
      <c r="N199" s="5">
        <f>AVERAGEIFS('Data Combined - all-runs'!$N:$N, 'Data Combined - all-runs'!$A:$A, A199,'Data Combined - all-runs'!$B:$B, B199,'Data Combined - all-runs'!$C:$C, C199, 'Data Combined - all-runs'!$D:$D, D199, 'Data Combined - all-runs'!$E:$E, E199)</f>
        <v>14</v>
      </c>
      <c r="O199" s="5">
        <f>AVERAGEIFS('Data Combined - all-runs'!$O:$O, 'Data Combined - all-runs'!$A:$A, A199,'Data Combined - all-runs'!$B:$B, B199,'Data Combined - all-runs'!$C:$C, C199, 'Data Combined - all-runs'!$D:$D, D199, 'Data Combined - all-runs'!$E:$E, E199)</f>
        <v>2483</v>
      </c>
      <c r="P199" s="5">
        <f>AVERAGEIFS('Data Combined - all-runs'!$P:$P, 'Data Combined - all-runs'!$A:$A, A199,'Data Combined - all-runs'!$B:$B, B199,'Data Combined - all-runs'!$C:$C, C199, 'Data Combined - all-runs'!$D:$D, D199, 'Data Combined - all-runs'!$E:$E, E199)</f>
        <v>5.638340717</v>
      </c>
      <c r="Q199" s="5">
        <f>AVERAGEIFS('Data Combined - all-runs'!$Q:$Q, 'Data Combined - all-runs'!$A:$A, A199,'Data Combined - all-runs'!$B:$B, B199,'Data Combined - all-runs'!$C:$C, C199, 'Data Combined - all-runs'!$D:$D, D199, 'Data Combined - all-runs'!$E:$E, E199)</f>
        <v>708.0144986</v>
      </c>
      <c r="R199" s="5">
        <f>AVERAGEIFS('Data Combined - all-runs'!$R:$R, 'Data Combined - all-runs'!$A:$A, A199,'Data Combined - all-runs'!$B:$B, B199,'Data Combined - all-runs'!$C:$C, C199, 'Data Combined - all-runs'!$D:$D, D199, 'Data Combined - all-runs'!$E:$E, E199)</f>
        <v>125.5714286</v>
      </c>
      <c r="S199" s="5">
        <f>AVERAGEIFS('Data Combined - all-runs'!$S:$S, 'Data Combined - all-runs'!$A:$A, A199,'Data Combined - all-runs'!$B:$B, B199,'Data Combined - all-runs'!$C:$C, C199, 'Data Combined - all-runs'!$D:$D, D199, 'Data Combined - all-runs'!$E:$E, E199)</f>
        <v>0.01365187713</v>
      </c>
      <c r="T199" s="5">
        <f>AVERAGEIFS('Data Combined - all-runs'!$T:$T, 'Data Combined - all-runs'!$A:$A, A199,'Data Combined - all-runs'!$B:$B, B199,'Data Combined - all-runs'!$C:$C, C199, 'Data Combined - all-runs'!$D:$D, D199, 'Data Combined - all-runs'!$E:$E, E199)</f>
        <v>0.0005688282139</v>
      </c>
      <c r="U199" s="5" t="b">
        <f t="shared" si="1"/>
        <v>1</v>
      </c>
      <c r="V199" s="5" t="b">
        <f t="shared" si="2"/>
        <v>1</v>
      </c>
      <c r="W199" s="5" t="b">
        <f t="shared" si="3"/>
        <v>0</v>
      </c>
    </row>
    <row r="200">
      <c r="A200" s="2" t="s">
        <v>460</v>
      </c>
      <c r="B200" s="2" t="s">
        <v>22</v>
      </c>
      <c r="C200" s="2" t="s">
        <v>35</v>
      </c>
      <c r="D200" s="2" t="s">
        <v>64</v>
      </c>
      <c r="E200" s="2" t="s">
        <v>25</v>
      </c>
      <c r="H200" s="5">
        <f>AVERAGEIFS('Data Combined - all-runs'!$H:$H, 'Data Combined - all-runs'!$A:$A, A200,'Data Combined - all-runs'!$B:$B, B200,'Data Combined - all-runs'!$C:$C, C200, 'Data Combined - all-runs'!$D:$D, D200, 'Data Combined - all-runs'!$E:$E, E200)</f>
        <v>767</v>
      </c>
      <c r="I200" s="5">
        <f>AVERAGEIFS('Data Combined - all-runs'!$I:$I, 'Data Combined - all-runs'!$A:$A, A200,'Data Combined - all-runs'!$B:$B, B200,'Data Combined - all-runs'!$C:$C, C200, 'Data Combined - all-runs'!$D:$D, D200, 'Data Combined - all-runs'!$E:$E, E200)</f>
        <v>0</v>
      </c>
      <c r="J200" s="5">
        <f>AVERAGEIFS('Data Combined - all-runs'!$J:$J, 'Data Combined - all-runs'!$A:$A, A200,'Data Combined - all-runs'!$B:$B, B200,'Data Combined - all-runs'!$C:$C, C200, 'Data Combined - all-runs'!$D:$D, D200, 'Data Combined - all-runs'!$E:$E, E200)</f>
        <v>0</v>
      </c>
      <c r="K200" s="5">
        <f>AVERAGEIFS('Data Combined - all-runs'!$K:$K, 'Data Combined - all-runs'!$A:$A, A200,'Data Combined - all-runs'!$B:$B, B200,'Data Combined - all-runs'!$C:$C, C200, 'Data Combined - all-runs'!$D:$D, D200, 'Data Combined - all-runs'!$E:$E, E200)</f>
        <v>0.3380116959</v>
      </c>
      <c r="L200" s="5">
        <f>AVERAGEIFS('Data Combined - all-runs'!$L:$L, 'Data Combined - all-runs'!$A:$A, A200,'Data Combined - all-runs'!$B:$B, B200,'Data Combined - all-runs'!$C:$C, C200, 'Data Combined - all-runs'!$D:$D, D200, 'Data Combined - all-runs'!$E:$E, E200)</f>
        <v>3752.519241</v>
      </c>
      <c r="M200" s="5">
        <f>AVERAGEIFS('Data Combined - all-runs'!$M:$M, 'Data Combined - all-runs'!$A:$A, A200,'Data Combined - all-runs'!$B:$B, B200,'Data Combined - all-runs'!$C:$C, C200, 'Data Combined - all-runs'!$D:$D, D200, 'Data Combined - all-runs'!$E:$E, E200)</f>
        <v>59</v>
      </c>
      <c r="N200" s="5">
        <f>AVERAGEIFS('Data Combined - all-runs'!$N:$N, 'Data Combined - all-runs'!$A:$A, A200,'Data Combined - all-runs'!$B:$B, B200,'Data Combined - all-runs'!$C:$C, C200, 'Data Combined - all-runs'!$D:$D, D200, 'Data Combined - all-runs'!$E:$E, E200)</f>
        <v>5</v>
      </c>
      <c r="O200" s="5">
        <f>AVERAGEIFS('Data Combined - all-runs'!$O:$O, 'Data Combined - all-runs'!$A:$A, A200,'Data Combined - all-runs'!$B:$B, B200,'Data Combined - all-runs'!$C:$C, C200, 'Data Combined - all-runs'!$D:$D, D200, 'Data Combined - all-runs'!$E:$E, E200)</f>
        <v>855</v>
      </c>
      <c r="P200" s="5">
        <f>AVERAGEIFS('Data Combined - all-runs'!$P:$P, 'Data Combined - all-runs'!$A:$A, A200,'Data Combined - all-runs'!$B:$B, B200,'Data Combined - all-runs'!$C:$C, C200, 'Data Combined - all-runs'!$D:$D, D200, 'Data Combined - all-runs'!$E:$E, E200)</f>
        <v>5.847953216</v>
      </c>
      <c r="Q200" s="5">
        <f>AVERAGEIFS('Data Combined - all-runs'!$Q:$Q, 'Data Combined - all-runs'!$A:$A, A200,'Data Combined - all-runs'!$B:$B, B200,'Data Combined - all-runs'!$C:$C, C200, 'Data Combined - all-runs'!$D:$D, D200, 'Data Combined - all-runs'!$E:$E, E200)</f>
        <v>897.0760234</v>
      </c>
      <c r="R200" s="5">
        <f>AVERAGEIFS('Data Combined - all-runs'!$R:$R, 'Data Combined - all-runs'!$A:$A, A200,'Data Combined - all-runs'!$B:$B, B200,'Data Combined - all-runs'!$C:$C, C200, 'Data Combined - all-runs'!$D:$D, D200, 'Data Combined - all-runs'!$E:$E, E200)</f>
        <v>153.4</v>
      </c>
      <c r="S200" s="5">
        <f>AVERAGEIFS('Data Combined - all-runs'!$S:$S, 'Data Combined - all-runs'!$A:$A, A200,'Data Combined - all-runs'!$B:$B, B200,'Data Combined - all-runs'!$C:$C, C200, 'Data Combined - all-runs'!$D:$D, D200, 'Data Combined - all-runs'!$E:$E, E200)</f>
        <v>0</v>
      </c>
      <c r="T200" s="5">
        <f>AVERAGEIFS('Data Combined - all-runs'!$T:$T, 'Data Combined - all-runs'!$A:$A, A200,'Data Combined - all-runs'!$B:$B, B200,'Data Combined - all-runs'!$C:$C, C200, 'Data Combined - all-runs'!$D:$D, D200, 'Data Combined - all-runs'!$E:$E, E200)</f>
        <v>0</v>
      </c>
      <c r="U200" s="5" t="b">
        <f t="shared" si="1"/>
        <v>1</v>
      </c>
      <c r="V200" s="5" t="b">
        <f t="shared" si="2"/>
        <v>1</v>
      </c>
      <c r="W200" s="5" t="b">
        <f t="shared" si="3"/>
        <v>0</v>
      </c>
    </row>
    <row r="201">
      <c r="A201" s="2" t="s">
        <v>460</v>
      </c>
      <c r="B201" s="2" t="s">
        <v>22</v>
      </c>
      <c r="C201" s="2" t="s">
        <v>35</v>
      </c>
      <c r="D201" s="2" t="s">
        <v>64</v>
      </c>
      <c r="E201" s="2" t="s">
        <v>39</v>
      </c>
      <c r="H201" s="5">
        <f>AVERAGEIFS('Data Combined - all-runs'!$H:$H, 'Data Combined - all-runs'!$A:$A, A201,'Data Combined - all-runs'!$B:$B, B201,'Data Combined - all-runs'!$C:$C, C201, 'Data Combined - all-runs'!$D:$D, D201, 'Data Combined - all-runs'!$E:$E, E201)</f>
        <v>152</v>
      </c>
      <c r="I201" s="5">
        <f>AVERAGEIFS('Data Combined - all-runs'!$I:$I, 'Data Combined - all-runs'!$A:$A, A201,'Data Combined - all-runs'!$B:$B, B201,'Data Combined - all-runs'!$C:$C, C201, 'Data Combined - all-runs'!$D:$D, D201, 'Data Combined - all-runs'!$E:$E, E201)</f>
        <v>0</v>
      </c>
      <c r="J201" s="5">
        <f>AVERAGEIFS('Data Combined - all-runs'!$J:$J, 'Data Combined - all-runs'!$A:$A, A201,'Data Combined - all-runs'!$B:$B, B201,'Data Combined - all-runs'!$C:$C, C201, 'Data Combined - all-runs'!$D:$D, D201, 'Data Combined - all-runs'!$E:$E, E201)</f>
        <v>0</v>
      </c>
      <c r="K201" s="5">
        <f>AVERAGEIFS('Data Combined - all-runs'!$K:$K, 'Data Combined - all-runs'!$A:$A, A201,'Data Combined - all-runs'!$B:$B, B201,'Data Combined - all-runs'!$C:$C, C201, 'Data Combined - all-runs'!$D:$D, D201, 'Data Combined - all-runs'!$E:$E, E201)</f>
        <v>0.102</v>
      </c>
      <c r="L201" s="5">
        <f>AVERAGEIFS('Data Combined - all-runs'!$L:$L, 'Data Combined - all-runs'!$A:$A, A201,'Data Combined - all-runs'!$B:$B, B201,'Data Combined - all-runs'!$C:$C, C201, 'Data Combined - all-runs'!$D:$D, D201, 'Data Combined - all-runs'!$E:$E, E201)</f>
        <v>974.9903562</v>
      </c>
      <c r="M201" s="5" t="str">
        <f>AVERAGEIFS('Data Combined - all-runs'!$M:$M, 'Data Combined - all-runs'!$A:$A, A201,'Data Combined - all-runs'!$B:$B, B201,'Data Combined - all-runs'!$C:$C, C201, 'Data Combined - all-runs'!$D:$D, D201, 'Data Combined - all-runs'!$E:$E, E201)</f>
        <v>#DIV/0!</v>
      </c>
      <c r="N201" s="5">
        <f>AVERAGEIFS('Data Combined - all-runs'!$N:$N, 'Data Combined - all-runs'!$A:$A, A201,'Data Combined - all-runs'!$B:$B, B201,'Data Combined - all-runs'!$C:$C, C201, 'Data Combined - all-runs'!$D:$D, D201, 'Data Combined - all-runs'!$E:$E, E201)</f>
        <v>0</v>
      </c>
      <c r="O201" s="5">
        <f>AVERAGEIFS('Data Combined - all-runs'!$O:$O, 'Data Combined - all-runs'!$A:$A, A201,'Data Combined - all-runs'!$B:$B, B201,'Data Combined - all-runs'!$C:$C, C201, 'Data Combined - all-runs'!$D:$D, D201, 'Data Combined - all-runs'!$E:$E, E201)</f>
        <v>500</v>
      </c>
      <c r="P201" s="5">
        <f>AVERAGEIFS('Data Combined - all-runs'!$P:$P, 'Data Combined - all-runs'!$A:$A, A201,'Data Combined - all-runs'!$B:$B, B201,'Data Combined - all-runs'!$C:$C, C201, 'Data Combined - all-runs'!$D:$D, D201, 'Data Combined - all-runs'!$E:$E, E201)</f>
        <v>0</v>
      </c>
      <c r="Q201" s="5">
        <f>AVERAGEIFS('Data Combined - all-runs'!$Q:$Q, 'Data Combined - all-runs'!$A:$A, A201,'Data Combined - all-runs'!$B:$B, B201,'Data Combined - all-runs'!$C:$C, C201, 'Data Combined - all-runs'!$D:$D, D201, 'Data Combined - all-runs'!$E:$E, E201)</f>
        <v>304</v>
      </c>
      <c r="R201" s="5" t="str">
        <f>AVERAGEIFS('Data Combined - all-runs'!$R:$R, 'Data Combined - all-runs'!$A:$A, A201,'Data Combined - all-runs'!$B:$B, B201,'Data Combined - all-runs'!$C:$C, C201, 'Data Combined - all-runs'!$D:$D, D201, 'Data Combined - all-runs'!$E:$E, E201)</f>
        <v>#DIV/0!</v>
      </c>
      <c r="S201" s="5">
        <f>AVERAGEIFS('Data Combined - all-runs'!$S:$S, 'Data Combined - all-runs'!$A:$A, A201,'Data Combined - all-runs'!$B:$B, B201,'Data Combined - all-runs'!$C:$C, C201, 'Data Combined - all-runs'!$D:$D, D201, 'Data Combined - all-runs'!$E:$E, E201)</f>
        <v>0</v>
      </c>
      <c r="T201" s="5">
        <f>AVERAGEIFS('Data Combined - all-runs'!$T:$T, 'Data Combined - all-runs'!$A:$A, A201,'Data Combined - all-runs'!$B:$B, B201,'Data Combined - all-runs'!$C:$C, C201, 'Data Combined - all-runs'!$D:$D, D201, 'Data Combined - all-runs'!$E:$E, E201)</f>
        <v>0</v>
      </c>
      <c r="U201" s="5" t="b">
        <f t="shared" si="1"/>
        <v>1</v>
      </c>
      <c r="V201" s="5" t="b">
        <f t="shared" si="2"/>
        <v>1</v>
      </c>
      <c r="W201" s="5" t="b">
        <f t="shared" si="3"/>
        <v>0</v>
      </c>
    </row>
    <row r="202">
      <c r="A202" s="2" t="s">
        <v>460</v>
      </c>
      <c r="B202" s="2" t="s">
        <v>22</v>
      </c>
      <c r="C202" s="2" t="s">
        <v>35</v>
      </c>
      <c r="D202" s="2" t="s">
        <v>64</v>
      </c>
      <c r="E202" s="2" t="s">
        <v>43</v>
      </c>
      <c r="H202" s="5">
        <f>AVERAGEIFS('Data Combined - all-runs'!$H:$H, 'Data Combined - all-runs'!$A:$A, A202,'Data Combined - all-runs'!$B:$B, B202,'Data Combined - all-runs'!$C:$C, C202, 'Data Combined - all-runs'!$D:$D, D202, 'Data Combined - all-runs'!$E:$E, E202)</f>
        <v>832</v>
      </c>
      <c r="I202" s="5">
        <f>AVERAGEIFS('Data Combined - all-runs'!$I:$I, 'Data Combined - all-runs'!$A:$A, A202,'Data Combined - all-runs'!$B:$B, B202,'Data Combined - all-runs'!$C:$C, C202, 'Data Combined - all-runs'!$D:$D, D202, 'Data Combined - all-runs'!$E:$E, E202)</f>
        <v>0</v>
      </c>
      <c r="J202" s="5">
        <f>AVERAGEIFS('Data Combined - all-runs'!$J:$J, 'Data Combined - all-runs'!$A:$A, A202,'Data Combined - all-runs'!$B:$B, B202,'Data Combined - all-runs'!$C:$C, C202, 'Data Combined - all-runs'!$D:$D, D202, 'Data Combined - all-runs'!$E:$E, E202)</f>
        <v>0</v>
      </c>
      <c r="K202" s="5">
        <f>AVERAGEIFS('Data Combined - all-runs'!$K:$K, 'Data Combined - all-runs'!$A:$A, A202,'Data Combined - all-runs'!$B:$B, B202,'Data Combined - all-runs'!$C:$C, C202, 'Data Combined - all-runs'!$D:$D, D202, 'Data Combined - all-runs'!$E:$E, E202)</f>
        <v>0.09969879518</v>
      </c>
      <c r="L202" s="5">
        <f>AVERAGEIFS('Data Combined - all-runs'!$L:$L, 'Data Combined - all-runs'!$A:$A, A202,'Data Combined - all-runs'!$B:$B, B202,'Data Combined - all-runs'!$C:$C, C202, 'Data Combined - all-runs'!$D:$D, D202, 'Data Combined - all-runs'!$E:$E, E202)</f>
        <v>5718.070793</v>
      </c>
      <c r="M202" s="5">
        <f>AVERAGEIFS('Data Combined - all-runs'!$M:$M, 'Data Combined - all-runs'!$A:$A, A202,'Data Combined - all-runs'!$B:$B, B202,'Data Combined - all-runs'!$C:$C, C202, 'Data Combined - all-runs'!$D:$D, D202, 'Data Combined - all-runs'!$E:$E, E202)</f>
        <v>60</v>
      </c>
      <c r="N202" s="5">
        <f>AVERAGEIFS('Data Combined - all-runs'!$N:$N, 'Data Combined - all-runs'!$A:$A, A202,'Data Combined - all-runs'!$B:$B, B202,'Data Combined - all-runs'!$C:$C, C202, 'Data Combined - all-runs'!$D:$D, D202, 'Data Combined - all-runs'!$E:$E, E202)</f>
        <v>9</v>
      </c>
      <c r="O202" s="5">
        <f>AVERAGEIFS('Data Combined - all-runs'!$O:$O, 'Data Combined - all-runs'!$A:$A, A202,'Data Combined - all-runs'!$B:$B, B202,'Data Combined - all-runs'!$C:$C, C202, 'Data Combined - all-runs'!$D:$D, D202, 'Data Combined - all-runs'!$E:$E, E202)</f>
        <v>1660</v>
      </c>
      <c r="P202" s="5">
        <f>AVERAGEIFS('Data Combined - all-runs'!$P:$P, 'Data Combined - all-runs'!$A:$A, A202,'Data Combined - all-runs'!$B:$B, B202,'Data Combined - all-runs'!$C:$C, C202, 'Data Combined - all-runs'!$D:$D, D202, 'Data Combined - all-runs'!$E:$E, E202)</f>
        <v>5.421686747</v>
      </c>
      <c r="Q202" s="5">
        <f>AVERAGEIFS('Data Combined - all-runs'!$Q:$Q, 'Data Combined - all-runs'!$A:$A, A202,'Data Combined - all-runs'!$B:$B, B202,'Data Combined - all-runs'!$C:$C, C202, 'Data Combined - all-runs'!$D:$D, D202, 'Data Combined - all-runs'!$E:$E, E202)</f>
        <v>501.2048193</v>
      </c>
      <c r="R202" s="5">
        <f>AVERAGEIFS('Data Combined - all-runs'!$R:$R, 'Data Combined - all-runs'!$A:$A, A202,'Data Combined - all-runs'!$B:$B, B202,'Data Combined - all-runs'!$C:$C, C202, 'Data Combined - all-runs'!$D:$D, D202, 'Data Combined - all-runs'!$E:$E, E202)</f>
        <v>92.44444444</v>
      </c>
      <c r="S202" s="5">
        <f>AVERAGEIFS('Data Combined - all-runs'!$S:$S, 'Data Combined - all-runs'!$A:$A, A202,'Data Combined - all-runs'!$B:$B, B202,'Data Combined - all-runs'!$C:$C, C202, 'Data Combined - all-runs'!$D:$D, D202, 'Data Combined - all-runs'!$E:$E, E202)</f>
        <v>0</v>
      </c>
      <c r="T202" s="5">
        <f>AVERAGEIFS('Data Combined - all-runs'!$T:$T, 'Data Combined - all-runs'!$A:$A, A202,'Data Combined - all-runs'!$B:$B, B202,'Data Combined - all-runs'!$C:$C, C202, 'Data Combined - all-runs'!$D:$D, D202, 'Data Combined - all-runs'!$E:$E, E202)</f>
        <v>0</v>
      </c>
      <c r="U202" s="5" t="b">
        <f t="shared" si="1"/>
        <v>1</v>
      </c>
      <c r="V202" s="5" t="b">
        <f t="shared" si="2"/>
        <v>1</v>
      </c>
      <c r="W202" s="5" t="b">
        <f t="shared" si="3"/>
        <v>0</v>
      </c>
    </row>
    <row r="203">
      <c r="A203" s="2" t="s">
        <v>460</v>
      </c>
      <c r="B203" s="2" t="s">
        <v>22</v>
      </c>
      <c r="C203" s="2" t="s">
        <v>35</v>
      </c>
      <c r="D203" s="2" t="s">
        <v>64</v>
      </c>
      <c r="E203" s="2" t="s">
        <v>34</v>
      </c>
      <c r="H203" s="5">
        <f>AVERAGEIFS('Data Combined - all-runs'!$H:$H, 'Data Combined - all-runs'!$A:$A, A203,'Data Combined - all-runs'!$B:$B, B203,'Data Combined - all-runs'!$C:$C, C203, 'Data Combined - all-runs'!$D:$D, D203, 'Data Combined - all-runs'!$E:$E, E203)</f>
        <v>638</v>
      </c>
      <c r="I203" s="5">
        <f>AVERAGEIFS('Data Combined - all-runs'!$I:$I, 'Data Combined - all-runs'!$A:$A, A203,'Data Combined - all-runs'!$B:$B, B203,'Data Combined - all-runs'!$C:$C, C203, 'Data Combined - all-runs'!$D:$D, D203, 'Data Combined - all-runs'!$E:$E, E203)</f>
        <v>0</v>
      </c>
      <c r="J203" s="5">
        <f>AVERAGEIFS('Data Combined - all-runs'!$J:$J, 'Data Combined - all-runs'!$A:$A, A203,'Data Combined - all-runs'!$B:$B, B203,'Data Combined - all-runs'!$C:$C, C203, 'Data Combined - all-runs'!$D:$D, D203, 'Data Combined - all-runs'!$E:$E, E203)</f>
        <v>0</v>
      </c>
      <c r="K203" s="5">
        <f>AVERAGEIFS('Data Combined - all-runs'!$K:$K, 'Data Combined - all-runs'!$A:$A, A203,'Data Combined - all-runs'!$B:$B, B203,'Data Combined - all-runs'!$C:$C, C203, 'Data Combined - all-runs'!$D:$D, D203, 'Data Combined - all-runs'!$E:$E, E203)</f>
        <v>0.1505429418</v>
      </c>
      <c r="L203" s="5">
        <f>AVERAGEIFS('Data Combined - all-runs'!$L:$L, 'Data Combined - all-runs'!$A:$A, A203,'Data Combined - all-runs'!$B:$B, B203,'Data Combined - all-runs'!$C:$C, C203, 'Data Combined - all-runs'!$D:$D, D203, 'Data Combined - all-runs'!$E:$E, E203)</f>
        <v>4749.340385</v>
      </c>
      <c r="M203" s="5">
        <f>AVERAGEIFS('Data Combined - all-runs'!$M:$M, 'Data Combined - all-runs'!$A:$A, A203,'Data Combined - all-runs'!$B:$B, B203,'Data Combined - all-runs'!$C:$C, C203, 'Data Combined - all-runs'!$D:$D, D203, 'Data Combined - all-runs'!$E:$E, E203)</f>
        <v>24</v>
      </c>
      <c r="N203" s="5">
        <f>AVERAGEIFS('Data Combined - all-runs'!$N:$N, 'Data Combined - all-runs'!$A:$A, A203,'Data Combined - all-runs'!$B:$B, B203,'Data Combined - all-runs'!$C:$C, C203, 'Data Combined - all-runs'!$D:$D, D203, 'Data Combined - all-runs'!$E:$E, E203)</f>
        <v>3</v>
      </c>
      <c r="O203" s="5">
        <f>AVERAGEIFS('Data Combined - all-runs'!$O:$O, 'Data Combined - all-runs'!$A:$A, A203,'Data Combined - all-runs'!$B:$B, B203,'Data Combined - all-runs'!$C:$C, C203, 'Data Combined - all-runs'!$D:$D, D203, 'Data Combined - all-runs'!$E:$E, E203)</f>
        <v>1013</v>
      </c>
      <c r="P203" s="5">
        <f>AVERAGEIFS('Data Combined - all-runs'!$P:$P, 'Data Combined - all-runs'!$A:$A, A203,'Data Combined - all-runs'!$B:$B, B203,'Data Combined - all-runs'!$C:$C, C203, 'Data Combined - all-runs'!$D:$D, D203, 'Data Combined - all-runs'!$E:$E, E203)</f>
        <v>2.961500494</v>
      </c>
      <c r="Q203" s="5">
        <f>AVERAGEIFS('Data Combined - all-runs'!$Q:$Q, 'Data Combined - all-runs'!$A:$A, A203,'Data Combined - all-runs'!$B:$B, B203,'Data Combined - all-runs'!$C:$C, C203, 'Data Combined - all-runs'!$D:$D, D203, 'Data Combined - all-runs'!$E:$E, E203)</f>
        <v>629.8124383</v>
      </c>
      <c r="R203" s="5">
        <f>AVERAGEIFS('Data Combined - all-runs'!$R:$R, 'Data Combined - all-runs'!$A:$A, A203,'Data Combined - all-runs'!$B:$B, B203,'Data Combined - all-runs'!$C:$C, C203, 'Data Combined - all-runs'!$D:$D, D203, 'Data Combined - all-runs'!$E:$E, E203)</f>
        <v>212.6666667</v>
      </c>
      <c r="S203" s="5">
        <f>AVERAGEIFS('Data Combined - all-runs'!$S:$S, 'Data Combined - all-runs'!$A:$A, A203,'Data Combined - all-runs'!$B:$B, B203,'Data Combined - all-runs'!$C:$C, C203, 'Data Combined - all-runs'!$D:$D, D203, 'Data Combined - all-runs'!$E:$E, E203)</f>
        <v>0</v>
      </c>
      <c r="T203" s="5">
        <f>AVERAGEIFS('Data Combined - all-runs'!$T:$T, 'Data Combined - all-runs'!$A:$A, A203,'Data Combined - all-runs'!$B:$B, B203,'Data Combined - all-runs'!$C:$C, C203, 'Data Combined - all-runs'!$D:$D, D203, 'Data Combined - all-runs'!$E:$E, E203)</f>
        <v>0</v>
      </c>
      <c r="U203" s="5" t="b">
        <f t="shared" si="1"/>
        <v>1</v>
      </c>
      <c r="V203" s="5" t="b">
        <f t="shared" si="2"/>
        <v>1</v>
      </c>
      <c r="W203" s="5" t="b">
        <f t="shared" si="3"/>
        <v>0</v>
      </c>
    </row>
    <row r="204">
      <c r="A204" s="2" t="s">
        <v>460</v>
      </c>
      <c r="B204" s="2" t="s">
        <v>22</v>
      </c>
      <c r="C204" s="2" t="s">
        <v>35</v>
      </c>
      <c r="D204" s="2" t="s">
        <v>64</v>
      </c>
      <c r="E204" s="2" t="s">
        <v>47</v>
      </c>
      <c r="H204" s="5">
        <f>AVERAGEIFS('Data Combined - all-runs'!$H:$H, 'Data Combined - all-runs'!$A:$A, A204,'Data Combined - all-runs'!$B:$B, B204,'Data Combined - all-runs'!$C:$C, C204, 'Data Combined - all-runs'!$D:$D, D204, 'Data Combined - all-runs'!$E:$E, E204)</f>
        <v>734</v>
      </c>
      <c r="I204" s="5">
        <f>AVERAGEIFS('Data Combined - all-runs'!$I:$I, 'Data Combined - all-runs'!$A:$A, A204,'Data Combined - all-runs'!$B:$B, B204,'Data Combined - all-runs'!$C:$C, C204, 'Data Combined - all-runs'!$D:$D, D204, 'Data Combined - all-runs'!$E:$E, E204)</f>
        <v>0</v>
      </c>
      <c r="J204" s="5">
        <f>AVERAGEIFS('Data Combined - all-runs'!$J:$J, 'Data Combined - all-runs'!$A:$A, A204,'Data Combined - all-runs'!$B:$B, B204,'Data Combined - all-runs'!$C:$C, C204, 'Data Combined - all-runs'!$D:$D, D204, 'Data Combined - all-runs'!$E:$E, E204)</f>
        <v>1</v>
      </c>
      <c r="K204" s="5">
        <f>AVERAGEIFS('Data Combined - all-runs'!$K:$K, 'Data Combined - all-runs'!$A:$A, A204,'Data Combined - all-runs'!$B:$B, B204,'Data Combined - all-runs'!$C:$C, C204, 'Data Combined - all-runs'!$D:$D, D204, 'Data Combined - all-runs'!$E:$E, E204)</f>
        <v>0.127334267</v>
      </c>
      <c r="L204" s="5">
        <f>AVERAGEIFS('Data Combined - all-runs'!$L:$L, 'Data Combined - all-runs'!$A:$A, A204,'Data Combined - all-runs'!$B:$B, B204,'Data Combined - all-runs'!$C:$C, C204, 'Data Combined - all-runs'!$D:$D, D204, 'Data Combined - all-runs'!$E:$E, E204)</f>
        <v>7068.109557</v>
      </c>
      <c r="M204" s="5">
        <f>AVERAGEIFS('Data Combined - all-runs'!$M:$M, 'Data Combined - all-runs'!$A:$A, A204,'Data Combined - all-runs'!$B:$B, B204,'Data Combined - all-runs'!$C:$C, C204, 'Data Combined - all-runs'!$D:$D, D204, 'Data Combined - all-runs'!$E:$E, E204)</f>
        <v>51</v>
      </c>
      <c r="N204" s="5">
        <f>AVERAGEIFS('Data Combined - all-runs'!$N:$N, 'Data Combined - all-runs'!$A:$A, A204,'Data Combined - all-runs'!$B:$B, B204,'Data Combined - all-runs'!$C:$C, C204, 'Data Combined - all-runs'!$D:$D, D204, 'Data Combined - all-runs'!$E:$E, E204)</f>
        <v>7</v>
      </c>
      <c r="O204" s="5">
        <f>AVERAGEIFS('Data Combined - all-runs'!$O:$O, 'Data Combined - all-runs'!$A:$A, A204,'Data Combined - all-runs'!$B:$B, B204,'Data Combined - all-runs'!$C:$C, C204, 'Data Combined - all-runs'!$D:$D, D204, 'Data Combined - all-runs'!$E:$E, E204)</f>
        <v>1071</v>
      </c>
      <c r="P204" s="5">
        <f>AVERAGEIFS('Data Combined - all-runs'!$P:$P, 'Data Combined - all-runs'!$A:$A, A204,'Data Combined - all-runs'!$B:$B, B204,'Data Combined - all-runs'!$C:$C, C204, 'Data Combined - all-runs'!$D:$D, D204, 'Data Combined - all-runs'!$E:$E, E204)</f>
        <v>6.535947712</v>
      </c>
      <c r="Q204" s="5">
        <f>AVERAGEIFS('Data Combined - all-runs'!$Q:$Q, 'Data Combined - all-runs'!$A:$A, A204,'Data Combined - all-runs'!$B:$B, B204,'Data Combined - all-runs'!$C:$C, C204, 'Data Combined - all-runs'!$D:$D, D204, 'Data Combined - all-runs'!$E:$E, E204)</f>
        <v>685.340803</v>
      </c>
      <c r="R204" s="5">
        <f>AVERAGEIFS('Data Combined - all-runs'!$R:$R, 'Data Combined - all-runs'!$A:$A, A204,'Data Combined - all-runs'!$B:$B, B204,'Data Combined - all-runs'!$C:$C, C204, 'Data Combined - all-runs'!$D:$D, D204, 'Data Combined - all-runs'!$E:$E, E204)</f>
        <v>104.8571429</v>
      </c>
      <c r="S204" s="5">
        <f>AVERAGEIFS('Data Combined - all-runs'!$S:$S, 'Data Combined - all-runs'!$A:$A, A204,'Data Combined - all-runs'!$B:$B, B204,'Data Combined - all-runs'!$C:$C, C204, 'Data Combined - all-runs'!$D:$D, D204, 'Data Combined - all-runs'!$E:$E, E204)</f>
        <v>0.00136239782</v>
      </c>
      <c r="T204" s="5">
        <f>AVERAGEIFS('Data Combined - all-runs'!$T:$T, 'Data Combined - all-runs'!$A:$A, A204,'Data Combined - all-runs'!$B:$B, B204,'Data Combined - all-runs'!$C:$C, C204, 'Data Combined - all-runs'!$D:$D, D204, 'Data Combined - all-runs'!$E:$E, E204)</f>
        <v>0</v>
      </c>
      <c r="U204" s="5" t="b">
        <f t="shared" si="1"/>
        <v>1</v>
      </c>
      <c r="V204" s="5" t="b">
        <f t="shared" si="2"/>
        <v>1</v>
      </c>
      <c r="W204" s="5" t="b">
        <f t="shared" si="3"/>
        <v>0</v>
      </c>
    </row>
    <row r="205">
      <c r="A205" s="2" t="s">
        <v>460</v>
      </c>
      <c r="B205" s="2" t="s">
        <v>22</v>
      </c>
      <c r="C205" s="2" t="s">
        <v>35</v>
      </c>
      <c r="D205" s="2" t="s">
        <v>64</v>
      </c>
      <c r="E205" s="2" t="s">
        <v>51</v>
      </c>
      <c r="H205" s="5">
        <f>AVERAGEIFS('Data Combined - all-runs'!$H:$H, 'Data Combined - all-runs'!$A:$A, A205,'Data Combined - all-runs'!$B:$B, B205,'Data Combined - all-runs'!$C:$C, C205, 'Data Combined - all-runs'!$D:$D, D205, 'Data Combined - all-runs'!$E:$E, E205)</f>
        <v>308</v>
      </c>
      <c r="I205" s="5">
        <f>AVERAGEIFS('Data Combined - all-runs'!$I:$I, 'Data Combined - all-runs'!$A:$A, A205,'Data Combined - all-runs'!$B:$B, B205,'Data Combined - all-runs'!$C:$C, C205, 'Data Combined - all-runs'!$D:$D, D205, 'Data Combined - all-runs'!$E:$E, E205)</f>
        <v>0</v>
      </c>
      <c r="J205" s="5">
        <f>AVERAGEIFS('Data Combined - all-runs'!$J:$J, 'Data Combined - all-runs'!$A:$A, A205,'Data Combined - all-runs'!$B:$B, B205,'Data Combined - all-runs'!$C:$C, C205, 'Data Combined - all-runs'!$D:$D, D205, 'Data Combined - all-runs'!$E:$E, E205)</f>
        <v>0</v>
      </c>
      <c r="K205" s="5">
        <f>AVERAGEIFS('Data Combined - all-runs'!$K:$K, 'Data Combined - all-runs'!$A:$A, A205,'Data Combined - all-runs'!$B:$B, B205,'Data Combined - all-runs'!$C:$C, C205, 'Data Combined - all-runs'!$D:$D, D205, 'Data Combined - all-runs'!$E:$E, E205)</f>
        <v>0.07255116959</v>
      </c>
      <c r="L205" s="5">
        <f>AVERAGEIFS('Data Combined - all-runs'!$L:$L, 'Data Combined - all-runs'!$A:$A, A205,'Data Combined - all-runs'!$B:$B, B205,'Data Combined - all-runs'!$C:$C, C205, 'Data Combined - all-runs'!$D:$D, D205, 'Data Combined - all-runs'!$E:$E, E205)</f>
        <v>2465.676922</v>
      </c>
      <c r="M205" s="5">
        <f>AVERAGEIFS('Data Combined - all-runs'!$M:$M, 'Data Combined - all-runs'!$A:$A, A205,'Data Combined - all-runs'!$B:$B, B205,'Data Combined - all-runs'!$C:$C, C205, 'Data Combined - all-runs'!$D:$D, D205, 'Data Combined - all-runs'!$E:$E, E205)</f>
        <v>40</v>
      </c>
      <c r="N205" s="5">
        <f>AVERAGEIFS('Data Combined - all-runs'!$N:$N, 'Data Combined - all-runs'!$A:$A, A205,'Data Combined - all-runs'!$B:$B, B205,'Data Combined - all-runs'!$C:$C, C205, 'Data Combined - all-runs'!$D:$D, D205, 'Data Combined - all-runs'!$E:$E, E205)</f>
        <v>4</v>
      </c>
      <c r="O205" s="5">
        <f>AVERAGEIFS('Data Combined - all-runs'!$O:$O, 'Data Combined - all-runs'!$A:$A, A205,'Data Combined - all-runs'!$B:$B, B205,'Data Combined - all-runs'!$C:$C, C205, 'Data Combined - all-runs'!$D:$D, D205, 'Data Combined - all-runs'!$E:$E, E205)</f>
        <v>684</v>
      </c>
      <c r="P205" s="5">
        <f>AVERAGEIFS('Data Combined - all-runs'!$P:$P, 'Data Combined - all-runs'!$A:$A, A205,'Data Combined - all-runs'!$B:$B, B205,'Data Combined - all-runs'!$C:$C, C205, 'Data Combined - all-runs'!$D:$D, D205, 'Data Combined - all-runs'!$E:$E, E205)</f>
        <v>5.847953216</v>
      </c>
      <c r="Q205" s="5">
        <f>AVERAGEIFS('Data Combined - all-runs'!$Q:$Q, 'Data Combined - all-runs'!$A:$A, A205,'Data Combined - all-runs'!$B:$B, B205,'Data Combined - all-runs'!$C:$C, C205, 'Data Combined - all-runs'!$D:$D, D205, 'Data Combined - all-runs'!$E:$E, E205)</f>
        <v>450.2923977</v>
      </c>
      <c r="R205" s="5">
        <f>AVERAGEIFS('Data Combined - all-runs'!$R:$R, 'Data Combined - all-runs'!$A:$A, A205,'Data Combined - all-runs'!$B:$B, B205,'Data Combined - all-runs'!$C:$C, C205, 'Data Combined - all-runs'!$D:$D, D205, 'Data Combined - all-runs'!$E:$E, E205)</f>
        <v>77</v>
      </c>
      <c r="S205" s="5">
        <f>AVERAGEIFS('Data Combined - all-runs'!$S:$S, 'Data Combined - all-runs'!$A:$A, A205,'Data Combined - all-runs'!$B:$B, B205,'Data Combined - all-runs'!$C:$C, C205, 'Data Combined - all-runs'!$D:$D, D205, 'Data Combined - all-runs'!$E:$E, E205)</f>
        <v>0</v>
      </c>
      <c r="T205" s="5">
        <f>AVERAGEIFS('Data Combined - all-runs'!$T:$T, 'Data Combined - all-runs'!$A:$A, A205,'Data Combined - all-runs'!$B:$B, B205,'Data Combined - all-runs'!$C:$C, C205, 'Data Combined - all-runs'!$D:$D, D205, 'Data Combined - all-runs'!$E:$E, E205)</f>
        <v>0</v>
      </c>
      <c r="U205" s="5" t="b">
        <f t="shared" si="1"/>
        <v>1</v>
      </c>
      <c r="V205" s="5" t="b">
        <f t="shared" si="2"/>
        <v>1</v>
      </c>
      <c r="W205" s="5" t="b">
        <f t="shared" si="3"/>
        <v>0</v>
      </c>
    </row>
    <row r="206">
      <c r="A206" s="2" t="s">
        <v>460</v>
      </c>
      <c r="B206" s="2" t="s">
        <v>22</v>
      </c>
      <c r="C206" s="2" t="s">
        <v>35</v>
      </c>
      <c r="D206" s="2" t="s">
        <v>102</v>
      </c>
      <c r="E206" s="2" t="s">
        <v>25</v>
      </c>
      <c r="H206" s="5">
        <f>AVERAGEIFS('Data Combined - all-runs'!$H:$H, 'Data Combined - all-runs'!$A:$A, A206,'Data Combined - all-runs'!$B:$B, B206,'Data Combined - all-runs'!$C:$C, C206, 'Data Combined - all-runs'!$D:$D, D206, 'Data Combined - all-runs'!$E:$E, E206)</f>
        <v>175</v>
      </c>
      <c r="I206" s="5">
        <f>AVERAGEIFS('Data Combined - all-runs'!$I:$I, 'Data Combined - all-runs'!$A:$A, A206,'Data Combined - all-runs'!$B:$B, B206,'Data Combined - all-runs'!$C:$C, C206, 'Data Combined - all-runs'!$D:$D, D206, 'Data Combined - all-runs'!$E:$E, E206)</f>
        <v>0</v>
      </c>
      <c r="J206" s="5">
        <f>AVERAGEIFS('Data Combined - all-runs'!$J:$J, 'Data Combined - all-runs'!$A:$A, A206,'Data Combined - all-runs'!$B:$B, B206,'Data Combined - all-runs'!$C:$C, C206, 'Data Combined - all-runs'!$D:$D, D206, 'Data Combined - all-runs'!$E:$E, E206)</f>
        <v>0</v>
      </c>
      <c r="K206" s="5">
        <f>AVERAGEIFS('Data Combined - all-runs'!$K:$K, 'Data Combined - all-runs'!$A:$A, A206,'Data Combined - all-runs'!$B:$B, B206,'Data Combined - all-runs'!$C:$C, C206, 'Data Combined - all-runs'!$D:$D, D206, 'Data Combined - all-runs'!$E:$E, E206)</f>
        <v>0.09724770642</v>
      </c>
      <c r="L206" s="5">
        <f>AVERAGEIFS('Data Combined - all-runs'!$L:$L, 'Data Combined - all-runs'!$A:$A, A206,'Data Combined - all-runs'!$B:$B, B206,'Data Combined - all-runs'!$C:$C, C206, 'Data Combined - all-runs'!$D:$D, D206, 'Data Combined - all-runs'!$E:$E, E206)</f>
        <v>1252.980132</v>
      </c>
      <c r="M206" s="5">
        <f>AVERAGEIFS('Data Combined - all-runs'!$M:$M, 'Data Combined - all-runs'!$A:$A, A206,'Data Combined - all-runs'!$B:$B, B206,'Data Combined - all-runs'!$C:$C, C206, 'Data Combined - all-runs'!$D:$D, D206, 'Data Combined - all-runs'!$E:$E, E206)</f>
        <v>45</v>
      </c>
      <c r="N206" s="5">
        <f>AVERAGEIFS('Data Combined - all-runs'!$N:$N, 'Data Combined - all-runs'!$A:$A, A206,'Data Combined - all-runs'!$B:$B, B206,'Data Combined - all-runs'!$C:$C, C206, 'Data Combined - all-runs'!$D:$D, D206, 'Data Combined - all-runs'!$E:$E, E206)</f>
        <v>1</v>
      </c>
      <c r="O206" s="5">
        <f>AVERAGEIFS('Data Combined - all-runs'!$O:$O, 'Data Combined - all-runs'!$A:$A, A206,'Data Combined - all-runs'!$B:$B, B206,'Data Combined - all-runs'!$C:$C, C206, 'Data Combined - all-runs'!$D:$D, D206, 'Data Combined - all-runs'!$E:$E, E206)</f>
        <v>545</v>
      </c>
      <c r="P206" s="5">
        <f>AVERAGEIFS('Data Combined - all-runs'!$P:$P, 'Data Combined - all-runs'!$A:$A, A206,'Data Combined - all-runs'!$B:$B, B206,'Data Combined - all-runs'!$C:$C, C206, 'Data Combined - all-runs'!$D:$D, D206, 'Data Combined - all-runs'!$E:$E, E206)</f>
        <v>1.834862385</v>
      </c>
      <c r="Q206" s="5">
        <f>AVERAGEIFS('Data Combined - all-runs'!$Q:$Q, 'Data Combined - all-runs'!$A:$A, A206,'Data Combined - all-runs'!$B:$B, B206,'Data Combined - all-runs'!$C:$C, C206, 'Data Combined - all-runs'!$D:$D, D206, 'Data Combined - all-runs'!$E:$E, E206)</f>
        <v>321.1009174</v>
      </c>
      <c r="R206" s="5">
        <f>AVERAGEIFS('Data Combined - all-runs'!$R:$R, 'Data Combined - all-runs'!$A:$A, A206,'Data Combined - all-runs'!$B:$B, B206,'Data Combined - all-runs'!$C:$C, C206, 'Data Combined - all-runs'!$D:$D, D206, 'Data Combined - all-runs'!$E:$E, E206)</f>
        <v>175</v>
      </c>
      <c r="S206" s="5">
        <f>AVERAGEIFS('Data Combined - all-runs'!$S:$S, 'Data Combined - all-runs'!$A:$A, A206,'Data Combined - all-runs'!$B:$B, B206,'Data Combined - all-runs'!$C:$C, C206, 'Data Combined - all-runs'!$D:$D, D206, 'Data Combined - all-runs'!$E:$E, E206)</f>
        <v>0</v>
      </c>
      <c r="T206" s="5">
        <f>AVERAGEIFS('Data Combined - all-runs'!$T:$T, 'Data Combined - all-runs'!$A:$A, A206,'Data Combined - all-runs'!$B:$B, B206,'Data Combined - all-runs'!$C:$C, C206, 'Data Combined - all-runs'!$D:$D, D206, 'Data Combined - all-runs'!$E:$E, E206)</f>
        <v>0</v>
      </c>
      <c r="U206" s="5" t="b">
        <f t="shared" si="1"/>
        <v>1</v>
      </c>
      <c r="V206" s="5" t="b">
        <f t="shared" si="2"/>
        <v>1</v>
      </c>
      <c r="W206" s="5" t="b">
        <f t="shared" si="3"/>
        <v>0</v>
      </c>
    </row>
    <row r="207">
      <c r="A207" s="2" t="s">
        <v>460</v>
      </c>
      <c r="B207" s="2" t="s">
        <v>22</v>
      </c>
      <c r="C207" s="2" t="s">
        <v>35</v>
      </c>
      <c r="D207" s="2" t="s">
        <v>102</v>
      </c>
      <c r="E207" s="2" t="s">
        <v>39</v>
      </c>
      <c r="H207" s="5">
        <f>AVERAGEIFS('Data Combined - all-runs'!$H:$H, 'Data Combined - all-runs'!$A:$A, A207,'Data Combined - all-runs'!$B:$B, B207,'Data Combined - all-runs'!$C:$C, C207, 'Data Combined - all-runs'!$D:$D, D207, 'Data Combined - all-runs'!$E:$E, E207)</f>
        <v>135</v>
      </c>
      <c r="I207" s="5">
        <f>AVERAGEIFS('Data Combined - all-runs'!$I:$I, 'Data Combined - all-runs'!$A:$A, A207,'Data Combined - all-runs'!$B:$B, B207,'Data Combined - all-runs'!$C:$C, C207, 'Data Combined - all-runs'!$D:$D, D207, 'Data Combined - all-runs'!$E:$E, E207)</f>
        <v>0</v>
      </c>
      <c r="J207" s="5">
        <f>AVERAGEIFS('Data Combined - all-runs'!$J:$J, 'Data Combined - all-runs'!$A:$A, A207,'Data Combined - all-runs'!$B:$B, B207,'Data Combined - all-runs'!$C:$C, C207, 'Data Combined - all-runs'!$D:$D, D207, 'Data Combined - all-runs'!$E:$E, E207)</f>
        <v>0</v>
      </c>
      <c r="K207" s="5">
        <f>AVERAGEIFS('Data Combined - all-runs'!$K:$K, 'Data Combined - all-runs'!$A:$A, A207,'Data Combined - all-runs'!$B:$B, B207,'Data Combined - all-runs'!$C:$C, C207, 'Data Combined - all-runs'!$D:$D, D207, 'Data Combined - all-runs'!$E:$E, E207)</f>
        <v>0.1</v>
      </c>
      <c r="L207" s="5">
        <f>AVERAGEIFS('Data Combined - all-runs'!$L:$L, 'Data Combined - all-runs'!$A:$A, A207,'Data Combined - all-runs'!$B:$B, B207,'Data Combined - all-runs'!$C:$C, C207, 'Data Combined - all-runs'!$D:$D, D207, 'Data Combined - all-runs'!$E:$E, E207)</f>
        <v>1005.034993</v>
      </c>
      <c r="M207" s="5" t="str">
        <f>AVERAGEIFS('Data Combined - all-runs'!$M:$M, 'Data Combined - all-runs'!$A:$A, A207,'Data Combined - all-runs'!$B:$B, B207,'Data Combined - all-runs'!$C:$C, C207, 'Data Combined - all-runs'!$D:$D, D207, 'Data Combined - all-runs'!$E:$E, E207)</f>
        <v>#DIV/0!</v>
      </c>
      <c r="N207" s="5">
        <f>AVERAGEIFS('Data Combined - all-runs'!$N:$N, 'Data Combined - all-runs'!$A:$A, A207,'Data Combined - all-runs'!$B:$B, B207,'Data Combined - all-runs'!$C:$C, C207, 'Data Combined - all-runs'!$D:$D, D207, 'Data Combined - all-runs'!$E:$E, E207)</f>
        <v>0</v>
      </c>
      <c r="O207" s="5">
        <f>AVERAGEIFS('Data Combined - all-runs'!$O:$O, 'Data Combined - all-runs'!$A:$A, A207,'Data Combined - all-runs'!$B:$B, B207,'Data Combined - all-runs'!$C:$C, C207, 'Data Combined - all-runs'!$D:$D, D207, 'Data Combined - all-runs'!$E:$E, E207)</f>
        <v>500</v>
      </c>
      <c r="P207" s="5">
        <f>AVERAGEIFS('Data Combined - all-runs'!$P:$P, 'Data Combined - all-runs'!$A:$A, A207,'Data Combined - all-runs'!$B:$B, B207,'Data Combined - all-runs'!$C:$C, C207, 'Data Combined - all-runs'!$D:$D, D207, 'Data Combined - all-runs'!$E:$E, E207)</f>
        <v>0</v>
      </c>
      <c r="Q207" s="5">
        <f>AVERAGEIFS('Data Combined - all-runs'!$Q:$Q, 'Data Combined - all-runs'!$A:$A, A207,'Data Combined - all-runs'!$B:$B, B207,'Data Combined - all-runs'!$C:$C, C207, 'Data Combined - all-runs'!$D:$D, D207, 'Data Combined - all-runs'!$E:$E, E207)</f>
        <v>270</v>
      </c>
      <c r="R207" s="5" t="str">
        <f>AVERAGEIFS('Data Combined - all-runs'!$R:$R, 'Data Combined - all-runs'!$A:$A, A207,'Data Combined - all-runs'!$B:$B, B207,'Data Combined - all-runs'!$C:$C, C207, 'Data Combined - all-runs'!$D:$D, D207, 'Data Combined - all-runs'!$E:$E, E207)</f>
        <v>#DIV/0!</v>
      </c>
      <c r="S207" s="5">
        <f>AVERAGEIFS('Data Combined - all-runs'!$S:$S, 'Data Combined - all-runs'!$A:$A, A207,'Data Combined - all-runs'!$B:$B, B207,'Data Combined - all-runs'!$C:$C, C207, 'Data Combined - all-runs'!$D:$D, D207, 'Data Combined - all-runs'!$E:$E, E207)</f>
        <v>0</v>
      </c>
      <c r="T207" s="5">
        <f>AVERAGEIFS('Data Combined - all-runs'!$T:$T, 'Data Combined - all-runs'!$A:$A, A207,'Data Combined - all-runs'!$B:$B, B207,'Data Combined - all-runs'!$C:$C, C207, 'Data Combined - all-runs'!$D:$D, D207, 'Data Combined - all-runs'!$E:$E, E207)</f>
        <v>0</v>
      </c>
      <c r="U207" s="5" t="b">
        <f t="shared" si="1"/>
        <v>1</v>
      </c>
      <c r="V207" s="5" t="b">
        <f t="shared" si="2"/>
        <v>1</v>
      </c>
      <c r="W207" s="5" t="b">
        <f t="shared" si="3"/>
        <v>0</v>
      </c>
    </row>
    <row r="208">
      <c r="A208" s="2" t="s">
        <v>460</v>
      </c>
      <c r="B208" s="2" t="s">
        <v>22</v>
      </c>
      <c r="C208" s="2" t="s">
        <v>35</v>
      </c>
      <c r="D208" s="2" t="s">
        <v>102</v>
      </c>
      <c r="E208" s="2" t="s">
        <v>43</v>
      </c>
      <c r="H208" s="5">
        <f>AVERAGEIFS('Data Combined - all-runs'!$H:$H, 'Data Combined - all-runs'!$A:$A, A208,'Data Combined - all-runs'!$B:$B, B208,'Data Combined - all-runs'!$C:$C, C208, 'Data Combined - all-runs'!$D:$D, D208, 'Data Combined - all-runs'!$E:$E, E208)</f>
        <v>1111</v>
      </c>
      <c r="I208" s="5">
        <f>AVERAGEIFS('Data Combined - all-runs'!$I:$I, 'Data Combined - all-runs'!$A:$A, A208,'Data Combined - all-runs'!$B:$B, B208,'Data Combined - all-runs'!$C:$C, C208, 'Data Combined - all-runs'!$D:$D, D208, 'Data Combined - all-runs'!$E:$E, E208)</f>
        <v>0</v>
      </c>
      <c r="J208" s="5">
        <f>AVERAGEIFS('Data Combined - all-runs'!$J:$J, 'Data Combined - all-runs'!$A:$A, A208,'Data Combined - all-runs'!$B:$B, B208,'Data Combined - all-runs'!$C:$C, C208, 'Data Combined - all-runs'!$D:$D, D208, 'Data Combined - all-runs'!$E:$E, E208)</f>
        <v>0</v>
      </c>
      <c r="K208" s="5">
        <f>AVERAGEIFS('Data Combined - all-runs'!$K:$K, 'Data Combined - all-runs'!$A:$A, A208,'Data Combined - all-runs'!$B:$B, B208,'Data Combined - all-runs'!$C:$C, C208, 'Data Combined - all-runs'!$D:$D, D208, 'Data Combined - all-runs'!$E:$E, E208)</f>
        <v>0.08731211317</v>
      </c>
      <c r="L208" s="5">
        <f>AVERAGEIFS('Data Combined - all-runs'!$L:$L, 'Data Combined - all-runs'!$A:$A, A208,'Data Combined - all-runs'!$B:$B, B208,'Data Combined - all-runs'!$C:$C, C208, 'Data Combined - all-runs'!$D:$D, D208, 'Data Combined - all-runs'!$E:$E, E208)</f>
        <v>9700.260384</v>
      </c>
      <c r="M208" s="5">
        <f>AVERAGEIFS('Data Combined - all-runs'!$M:$M, 'Data Combined - all-runs'!$A:$A, A208,'Data Combined - all-runs'!$B:$B, B208,'Data Combined - all-runs'!$C:$C, C208, 'Data Combined - all-runs'!$D:$D, D208, 'Data Combined - all-runs'!$E:$E, E208)</f>
        <v>22</v>
      </c>
      <c r="N208" s="5">
        <f>AVERAGEIFS('Data Combined - all-runs'!$N:$N, 'Data Combined - all-runs'!$A:$A, A208,'Data Combined - all-runs'!$B:$B, B208,'Data Combined - all-runs'!$C:$C, C208, 'Data Combined - all-runs'!$D:$D, D208, 'Data Combined - all-runs'!$E:$E, E208)</f>
        <v>13</v>
      </c>
      <c r="O208" s="5">
        <f>AVERAGEIFS('Data Combined - all-runs'!$O:$O, 'Data Combined - all-runs'!$A:$A, A208,'Data Combined - all-runs'!$B:$B, B208,'Data Combined - all-runs'!$C:$C, C208, 'Data Combined - all-runs'!$D:$D, D208, 'Data Combined - all-runs'!$E:$E, E208)</f>
        <v>2262</v>
      </c>
      <c r="P208" s="5">
        <f>AVERAGEIFS('Data Combined - all-runs'!$P:$P, 'Data Combined - all-runs'!$A:$A, A208,'Data Combined - all-runs'!$B:$B, B208,'Data Combined - all-runs'!$C:$C, C208, 'Data Combined - all-runs'!$D:$D, D208, 'Data Combined - all-runs'!$E:$E, E208)</f>
        <v>5.747126437</v>
      </c>
      <c r="Q208" s="5">
        <f>AVERAGEIFS('Data Combined - all-runs'!$Q:$Q, 'Data Combined - all-runs'!$A:$A, A208,'Data Combined - all-runs'!$B:$B, B208,'Data Combined - all-runs'!$C:$C, C208, 'Data Combined - all-runs'!$D:$D, D208, 'Data Combined - all-runs'!$E:$E, E208)</f>
        <v>491.158267</v>
      </c>
      <c r="R208" s="5">
        <f>AVERAGEIFS('Data Combined - all-runs'!$R:$R, 'Data Combined - all-runs'!$A:$A, A208,'Data Combined - all-runs'!$B:$B, B208,'Data Combined - all-runs'!$C:$C, C208, 'Data Combined - all-runs'!$D:$D, D208, 'Data Combined - all-runs'!$E:$E, E208)</f>
        <v>85.46153846</v>
      </c>
      <c r="S208" s="5">
        <f>AVERAGEIFS('Data Combined - all-runs'!$S:$S, 'Data Combined - all-runs'!$A:$A, A208,'Data Combined - all-runs'!$B:$B, B208,'Data Combined - all-runs'!$C:$C, C208, 'Data Combined - all-runs'!$D:$D, D208, 'Data Combined - all-runs'!$E:$E, E208)</f>
        <v>0</v>
      </c>
      <c r="T208" s="5">
        <f>AVERAGEIFS('Data Combined - all-runs'!$T:$T, 'Data Combined - all-runs'!$A:$A, A208,'Data Combined - all-runs'!$B:$B, B208,'Data Combined - all-runs'!$C:$C, C208, 'Data Combined - all-runs'!$D:$D, D208, 'Data Combined - all-runs'!$E:$E, E208)</f>
        <v>0</v>
      </c>
      <c r="U208" s="5" t="b">
        <f t="shared" si="1"/>
        <v>1</v>
      </c>
      <c r="V208" s="5" t="b">
        <f t="shared" si="2"/>
        <v>1</v>
      </c>
      <c r="W208" s="5" t="b">
        <f t="shared" si="3"/>
        <v>0</v>
      </c>
    </row>
    <row r="209">
      <c r="A209" s="2" t="s">
        <v>460</v>
      </c>
      <c r="B209" s="2" t="s">
        <v>22</v>
      </c>
      <c r="C209" s="2" t="s">
        <v>35</v>
      </c>
      <c r="D209" s="2" t="s">
        <v>102</v>
      </c>
      <c r="E209" s="2" t="s">
        <v>34</v>
      </c>
      <c r="H209" s="5">
        <f>AVERAGEIFS('Data Combined - all-runs'!$H:$H, 'Data Combined - all-runs'!$A:$A, A209,'Data Combined - all-runs'!$B:$B, B209,'Data Combined - all-runs'!$C:$C, C209, 'Data Combined - all-runs'!$D:$D, D209, 'Data Combined - all-runs'!$E:$E, E209)</f>
        <v>1626</v>
      </c>
      <c r="I209" s="5">
        <f>AVERAGEIFS('Data Combined - all-runs'!$I:$I, 'Data Combined - all-runs'!$A:$A, A209,'Data Combined - all-runs'!$B:$B, B209,'Data Combined - all-runs'!$C:$C, C209, 'Data Combined - all-runs'!$D:$D, D209, 'Data Combined - all-runs'!$E:$E, E209)</f>
        <v>1</v>
      </c>
      <c r="J209" s="5">
        <f>AVERAGEIFS('Data Combined - all-runs'!$J:$J, 'Data Combined - all-runs'!$A:$A, A209,'Data Combined - all-runs'!$B:$B, B209,'Data Combined - all-runs'!$C:$C, C209, 'Data Combined - all-runs'!$D:$D, D209, 'Data Combined - all-runs'!$E:$E, E209)</f>
        <v>5</v>
      </c>
      <c r="K209" s="5">
        <f>AVERAGEIFS('Data Combined - all-runs'!$K:$K, 'Data Combined - all-runs'!$A:$A, A209,'Data Combined - all-runs'!$B:$B, B209,'Data Combined - all-runs'!$C:$C, C209, 'Data Combined - all-runs'!$D:$D, D209, 'Data Combined - all-runs'!$E:$E, E209)</f>
        <v>0.161923781</v>
      </c>
      <c r="L209" s="5">
        <f>AVERAGEIFS('Data Combined - all-runs'!$L:$L, 'Data Combined - all-runs'!$A:$A, A209,'Data Combined - all-runs'!$B:$B, B209,'Data Combined - all-runs'!$C:$C, C209, 'Data Combined - all-runs'!$D:$D, D209, 'Data Combined - all-runs'!$E:$E, E209)</f>
        <v>15859.61793</v>
      </c>
      <c r="M209" s="5">
        <f>AVERAGEIFS('Data Combined - all-runs'!$M:$M, 'Data Combined - all-runs'!$A:$A, A209,'Data Combined - all-runs'!$B:$B, B209,'Data Combined - all-runs'!$C:$C, C209, 'Data Combined - all-runs'!$D:$D, D209, 'Data Combined - all-runs'!$E:$E, E209)</f>
        <v>23</v>
      </c>
      <c r="N209" s="5">
        <f>AVERAGEIFS('Data Combined - all-runs'!$N:$N, 'Data Combined - all-runs'!$A:$A, A209,'Data Combined - all-runs'!$B:$B, B209,'Data Combined - all-runs'!$C:$C, C209, 'Data Combined - all-runs'!$D:$D, D209, 'Data Combined - all-runs'!$E:$E, E209)</f>
        <v>20</v>
      </c>
      <c r="O209" s="5">
        <f>AVERAGEIFS('Data Combined - all-runs'!$O:$O, 'Data Combined - all-runs'!$A:$A, A209,'Data Combined - all-runs'!$B:$B, B209,'Data Combined - all-runs'!$C:$C, C209, 'Data Combined - all-runs'!$D:$D, D209, 'Data Combined - all-runs'!$E:$E, E209)</f>
        <v>2003</v>
      </c>
      <c r="P209" s="5">
        <f>AVERAGEIFS('Data Combined - all-runs'!$P:$P, 'Data Combined - all-runs'!$A:$A, A209,'Data Combined - all-runs'!$B:$B, B209,'Data Combined - all-runs'!$C:$C, C209, 'Data Combined - all-runs'!$D:$D, D209, 'Data Combined - all-runs'!$E:$E, E209)</f>
        <v>9.985022466</v>
      </c>
      <c r="Q209" s="5">
        <f>AVERAGEIFS('Data Combined - all-runs'!$Q:$Q, 'Data Combined - all-runs'!$A:$A, A209,'Data Combined - all-runs'!$B:$B, B209,'Data Combined - all-runs'!$C:$C, C209, 'Data Combined - all-runs'!$D:$D, D209, 'Data Combined - all-runs'!$E:$E, E209)</f>
        <v>811.7823265</v>
      </c>
      <c r="R209" s="5">
        <f>AVERAGEIFS('Data Combined - all-runs'!$R:$R, 'Data Combined - all-runs'!$A:$A, A209,'Data Combined - all-runs'!$B:$B, B209,'Data Combined - all-runs'!$C:$C, C209, 'Data Combined - all-runs'!$D:$D, D209, 'Data Combined - all-runs'!$E:$E, E209)</f>
        <v>81.3</v>
      </c>
      <c r="S209" s="5">
        <f>AVERAGEIFS('Data Combined - all-runs'!$S:$S, 'Data Combined - all-runs'!$A:$A, A209,'Data Combined - all-runs'!$B:$B, B209,'Data Combined - all-runs'!$C:$C, C209, 'Data Combined - all-runs'!$D:$D, D209, 'Data Combined - all-runs'!$E:$E, E209)</f>
        <v>0.00307503075</v>
      </c>
      <c r="T209" s="5">
        <f>AVERAGEIFS('Data Combined - all-runs'!$T:$T, 'Data Combined - all-runs'!$A:$A, A209,'Data Combined - all-runs'!$B:$B, B209,'Data Combined - all-runs'!$C:$C, C209, 'Data Combined - all-runs'!$D:$D, D209, 'Data Combined - all-runs'!$E:$E, E209)</f>
        <v>0.0006150061501</v>
      </c>
      <c r="U209" s="5" t="b">
        <f t="shared" si="1"/>
        <v>1</v>
      </c>
      <c r="V209" s="5" t="b">
        <f t="shared" si="2"/>
        <v>1</v>
      </c>
      <c r="W209" s="5" t="b">
        <f t="shared" si="3"/>
        <v>0</v>
      </c>
    </row>
    <row r="210">
      <c r="A210" s="2" t="s">
        <v>460</v>
      </c>
      <c r="B210" s="2" t="s">
        <v>22</v>
      </c>
      <c r="C210" s="2" t="s">
        <v>35</v>
      </c>
      <c r="D210" s="2" t="s">
        <v>102</v>
      </c>
      <c r="E210" s="2" t="s">
        <v>47</v>
      </c>
      <c r="H210" s="5">
        <f>AVERAGEIFS('Data Combined - all-runs'!$H:$H, 'Data Combined - all-runs'!$A:$A, A210,'Data Combined - all-runs'!$B:$B, B210,'Data Combined - all-runs'!$C:$C, C210, 'Data Combined - all-runs'!$D:$D, D210, 'Data Combined - all-runs'!$E:$E, E210)</f>
        <v>1016</v>
      </c>
      <c r="I210" s="5">
        <f>AVERAGEIFS('Data Combined - all-runs'!$I:$I, 'Data Combined - all-runs'!$A:$A, A210,'Data Combined - all-runs'!$B:$B, B210,'Data Combined - all-runs'!$C:$C, C210, 'Data Combined - all-runs'!$D:$D, D210, 'Data Combined - all-runs'!$E:$E, E210)</f>
        <v>0</v>
      </c>
      <c r="J210" s="5">
        <f>AVERAGEIFS('Data Combined - all-runs'!$J:$J, 'Data Combined - all-runs'!$A:$A, A210,'Data Combined - all-runs'!$B:$B, B210,'Data Combined - all-runs'!$C:$C, C210, 'Data Combined - all-runs'!$D:$D, D210, 'Data Combined - all-runs'!$E:$E, E210)</f>
        <v>0</v>
      </c>
      <c r="K210" s="5">
        <f>AVERAGEIFS('Data Combined - all-runs'!$K:$K, 'Data Combined - all-runs'!$A:$A, A210,'Data Combined - all-runs'!$B:$B, B210,'Data Combined - all-runs'!$C:$C, C210, 'Data Combined - all-runs'!$D:$D, D210, 'Data Combined - all-runs'!$E:$E, E210)</f>
        <v>0.1072747415</v>
      </c>
      <c r="L210" s="5">
        <f>AVERAGEIFS('Data Combined - all-runs'!$L:$L, 'Data Combined - all-runs'!$A:$A, A210,'Data Combined - all-runs'!$B:$B, B210,'Data Combined - all-runs'!$C:$C, C210, 'Data Combined - all-runs'!$D:$D, D210, 'Data Combined - all-runs'!$E:$E, E210)</f>
        <v>10998.01498</v>
      </c>
      <c r="M210" s="5">
        <f>AVERAGEIFS('Data Combined - all-runs'!$M:$M, 'Data Combined - all-runs'!$A:$A, A210,'Data Combined - all-runs'!$B:$B, B210,'Data Combined - all-runs'!$C:$C, C210, 'Data Combined - all-runs'!$D:$D, D210, 'Data Combined - all-runs'!$E:$E, E210)</f>
        <v>51</v>
      </c>
      <c r="N210" s="5">
        <f>AVERAGEIFS('Data Combined - all-runs'!$N:$N, 'Data Combined - all-runs'!$A:$A, A210,'Data Combined - all-runs'!$B:$B, B210,'Data Combined - all-runs'!$C:$C, C210, 'Data Combined - all-runs'!$D:$D, D210, 'Data Combined - all-runs'!$E:$E, E210)</f>
        <v>9</v>
      </c>
      <c r="O210" s="5">
        <f>AVERAGEIFS('Data Combined - all-runs'!$O:$O, 'Data Combined - all-runs'!$A:$A, A210,'Data Combined - all-runs'!$B:$B, B210,'Data Combined - all-runs'!$C:$C, C210, 'Data Combined - all-runs'!$D:$D, D210, 'Data Combined - all-runs'!$E:$E, E210)</f>
        <v>1354</v>
      </c>
      <c r="P210" s="5">
        <f>AVERAGEIFS('Data Combined - all-runs'!$P:$P, 'Data Combined - all-runs'!$A:$A, A210,'Data Combined - all-runs'!$B:$B, B210,'Data Combined - all-runs'!$C:$C, C210, 'Data Combined - all-runs'!$D:$D, D210, 'Data Combined - all-runs'!$E:$E, E210)</f>
        <v>6.646971935</v>
      </c>
      <c r="Q210" s="5">
        <f>AVERAGEIFS('Data Combined - all-runs'!$Q:$Q, 'Data Combined - all-runs'!$A:$A, A210,'Data Combined - all-runs'!$B:$B, B210,'Data Combined - all-runs'!$C:$C, C210, 'Data Combined - all-runs'!$D:$D, D210, 'Data Combined - all-runs'!$E:$E, E210)</f>
        <v>750.3692762</v>
      </c>
      <c r="R210" s="5">
        <f>AVERAGEIFS('Data Combined - all-runs'!$R:$R, 'Data Combined - all-runs'!$A:$A, A210,'Data Combined - all-runs'!$B:$B, B210,'Data Combined - all-runs'!$C:$C, C210, 'Data Combined - all-runs'!$D:$D, D210, 'Data Combined - all-runs'!$E:$E, E210)</f>
        <v>112.8888889</v>
      </c>
      <c r="S210" s="5">
        <f>AVERAGEIFS('Data Combined - all-runs'!$S:$S, 'Data Combined - all-runs'!$A:$A, A210,'Data Combined - all-runs'!$B:$B, B210,'Data Combined - all-runs'!$C:$C, C210, 'Data Combined - all-runs'!$D:$D, D210, 'Data Combined - all-runs'!$E:$E, E210)</f>
        <v>0</v>
      </c>
      <c r="T210" s="5">
        <f>AVERAGEIFS('Data Combined - all-runs'!$T:$T, 'Data Combined - all-runs'!$A:$A, A210,'Data Combined - all-runs'!$B:$B, B210,'Data Combined - all-runs'!$C:$C, C210, 'Data Combined - all-runs'!$D:$D, D210, 'Data Combined - all-runs'!$E:$E, E210)</f>
        <v>0</v>
      </c>
      <c r="U210" s="5" t="b">
        <f t="shared" si="1"/>
        <v>1</v>
      </c>
      <c r="V210" s="5" t="b">
        <f t="shared" si="2"/>
        <v>1</v>
      </c>
      <c r="W210" s="5" t="b">
        <f t="shared" si="3"/>
        <v>0</v>
      </c>
    </row>
    <row r="211">
      <c r="A211" s="2" t="s">
        <v>460</v>
      </c>
      <c r="B211" s="2" t="s">
        <v>22</v>
      </c>
      <c r="C211" s="2" t="s">
        <v>35</v>
      </c>
      <c r="D211" s="2" t="s">
        <v>102</v>
      </c>
      <c r="E211" s="2" t="s">
        <v>51</v>
      </c>
      <c r="H211" s="5">
        <f>AVERAGEIFS('Data Combined - all-runs'!$H:$H, 'Data Combined - all-runs'!$A:$A, A211,'Data Combined - all-runs'!$B:$B, B211,'Data Combined - all-runs'!$C:$C, C211, 'Data Combined - all-runs'!$D:$D, D211, 'Data Combined - all-runs'!$E:$E, E211)</f>
        <v>642</v>
      </c>
      <c r="I211" s="5">
        <f>AVERAGEIFS('Data Combined - all-runs'!$I:$I, 'Data Combined - all-runs'!$A:$A, A211,'Data Combined - all-runs'!$B:$B, B211,'Data Combined - all-runs'!$C:$C, C211, 'Data Combined - all-runs'!$D:$D, D211, 'Data Combined - all-runs'!$E:$E, E211)</f>
        <v>0</v>
      </c>
      <c r="J211" s="5">
        <f>AVERAGEIFS('Data Combined - all-runs'!$J:$J, 'Data Combined - all-runs'!$A:$A, A211,'Data Combined - all-runs'!$B:$B, B211,'Data Combined - all-runs'!$C:$C, C211, 'Data Combined - all-runs'!$D:$D, D211, 'Data Combined - all-runs'!$E:$E, E211)</f>
        <v>0</v>
      </c>
      <c r="K211" s="5">
        <f>AVERAGEIFS('Data Combined - all-runs'!$K:$K, 'Data Combined - all-runs'!$A:$A, A211,'Data Combined - all-runs'!$B:$B, B211,'Data Combined - all-runs'!$C:$C, C211, 'Data Combined - all-runs'!$D:$D, D211, 'Data Combined - all-runs'!$E:$E, E211)</f>
        <v>0.06488203267</v>
      </c>
      <c r="L211" s="5">
        <f>AVERAGEIFS('Data Combined - all-runs'!$L:$L, 'Data Combined - all-runs'!$A:$A, A211,'Data Combined - all-runs'!$B:$B, B211,'Data Combined - all-runs'!$C:$C, C211, 'Data Combined - all-runs'!$D:$D, D211, 'Data Combined - all-runs'!$E:$E, E211)</f>
        <v>6501.642131</v>
      </c>
      <c r="M211" s="5">
        <f>AVERAGEIFS('Data Combined - all-runs'!$M:$M, 'Data Combined - all-runs'!$A:$A, A211,'Data Combined - all-runs'!$B:$B, B211,'Data Combined - all-runs'!$C:$C, C211, 'Data Combined - all-runs'!$D:$D, D211, 'Data Combined - all-runs'!$E:$E, E211)</f>
        <v>29</v>
      </c>
      <c r="N211" s="5">
        <f>AVERAGEIFS('Data Combined - all-runs'!$N:$N, 'Data Combined - all-runs'!$A:$A, A211,'Data Combined - all-runs'!$B:$B, B211,'Data Combined - all-runs'!$C:$C, C211, 'Data Combined - all-runs'!$D:$D, D211, 'Data Combined - all-runs'!$E:$E, E211)</f>
        <v>10</v>
      </c>
      <c r="O211" s="5">
        <f>AVERAGEIFS('Data Combined - all-runs'!$O:$O, 'Data Combined - all-runs'!$A:$A, A211,'Data Combined - all-runs'!$B:$B, B211,'Data Combined - all-runs'!$C:$C, C211, 'Data Combined - all-runs'!$D:$D, D211, 'Data Combined - all-runs'!$E:$E, E211)</f>
        <v>1102</v>
      </c>
      <c r="P211" s="5">
        <f>AVERAGEIFS('Data Combined - all-runs'!$P:$P, 'Data Combined - all-runs'!$A:$A, A211,'Data Combined - all-runs'!$B:$B, B211,'Data Combined - all-runs'!$C:$C, C211, 'Data Combined - all-runs'!$D:$D, D211, 'Data Combined - all-runs'!$E:$E, E211)</f>
        <v>9.074410163</v>
      </c>
      <c r="Q211" s="5">
        <f>AVERAGEIFS('Data Combined - all-runs'!$Q:$Q, 'Data Combined - all-runs'!$A:$A, A211,'Data Combined - all-runs'!$B:$B, B211,'Data Combined - all-runs'!$C:$C, C211, 'Data Combined - all-runs'!$D:$D, D211, 'Data Combined - all-runs'!$E:$E, E211)</f>
        <v>582.5771325</v>
      </c>
      <c r="R211" s="5">
        <f>AVERAGEIFS('Data Combined - all-runs'!$R:$R, 'Data Combined - all-runs'!$A:$A, A211,'Data Combined - all-runs'!$B:$B, B211,'Data Combined - all-runs'!$C:$C, C211, 'Data Combined - all-runs'!$D:$D, D211, 'Data Combined - all-runs'!$E:$E, E211)</f>
        <v>64.2</v>
      </c>
      <c r="S211" s="5">
        <f>AVERAGEIFS('Data Combined - all-runs'!$S:$S, 'Data Combined - all-runs'!$A:$A, A211,'Data Combined - all-runs'!$B:$B, B211,'Data Combined - all-runs'!$C:$C, C211, 'Data Combined - all-runs'!$D:$D, D211, 'Data Combined - all-runs'!$E:$E, E211)</f>
        <v>0</v>
      </c>
      <c r="T211" s="5">
        <f>AVERAGEIFS('Data Combined - all-runs'!$T:$T, 'Data Combined - all-runs'!$A:$A, A211,'Data Combined - all-runs'!$B:$B, B211,'Data Combined - all-runs'!$C:$C, C211, 'Data Combined - all-runs'!$D:$D, D211, 'Data Combined - all-runs'!$E:$E, E211)</f>
        <v>0</v>
      </c>
      <c r="U211" s="5" t="b">
        <f t="shared" si="1"/>
        <v>1</v>
      </c>
      <c r="V211" s="5" t="b">
        <f t="shared" si="2"/>
        <v>1</v>
      </c>
      <c r="W211" s="5" t="b">
        <f t="shared" si="3"/>
        <v>0</v>
      </c>
    </row>
    <row r="212">
      <c r="A212" s="2" t="s">
        <v>460</v>
      </c>
      <c r="B212" s="2" t="s">
        <v>22</v>
      </c>
      <c r="C212" s="2" t="s">
        <v>35</v>
      </c>
      <c r="D212" s="2" t="s">
        <v>118</v>
      </c>
      <c r="E212" s="2" t="s">
        <v>25</v>
      </c>
      <c r="H212" s="5">
        <f>AVERAGEIFS('Data Combined - all-runs'!$H:$H, 'Data Combined - all-runs'!$A:$A, A212,'Data Combined - all-runs'!$B:$B, B212,'Data Combined - all-runs'!$C:$C, C212, 'Data Combined - all-runs'!$D:$D, D212, 'Data Combined - all-runs'!$E:$E, E212)</f>
        <v>503</v>
      </c>
      <c r="I212" s="5">
        <f>AVERAGEIFS('Data Combined - all-runs'!$I:$I, 'Data Combined - all-runs'!$A:$A, A212,'Data Combined - all-runs'!$B:$B, B212,'Data Combined - all-runs'!$C:$C, C212, 'Data Combined - all-runs'!$D:$D, D212, 'Data Combined - all-runs'!$E:$E, E212)</f>
        <v>0</v>
      </c>
      <c r="J212" s="5">
        <f>AVERAGEIFS('Data Combined - all-runs'!$J:$J, 'Data Combined - all-runs'!$A:$A, A212,'Data Combined - all-runs'!$B:$B, B212,'Data Combined - all-runs'!$C:$C, C212, 'Data Combined - all-runs'!$D:$D, D212, 'Data Combined - all-runs'!$E:$E, E212)</f>
        <v>27</v>
      </c>
      <c r="K212" s="5">
        <f>AVERAGEIFS('Data Combined - all-runs'!$K:$K, 'Data Combined - all-runs'!$A:$A, A212,'Data Combined - all-runs'!$B:$B, B212,'Data Combined - all-runs'!$C:$C, C212, 'Data Combined - all-runs'!$D:$D, D212, 'Data Combined - all-runs'!$E:$E, E212)</f>
        <v>0.4156193896</v>
      </c>
      <c r="L212" s="5">
        <f>AVERAGEIFS('Data Combined - all-runs'!$L:$L, 'Data Combined - all-runs'!$A:$A, A212,'Data Combined - all-runs'!$B:$B, B212,'Data Combined - all-runs'!$C:$C, C212, 'Data Combined - all-runs'!$D:$D, D212, 'Data Combined - all-runs'!$E:$E, E212)</f>
        <v>2703.522441</v>
      </c>
      <c r="M212" s="5">
        <f>AVERAGEIFS('Data Combined - all-runs'!$M:$M, 'Data Combined - all-runs'!$A:$A, A212,'Data Combined - all-runs'!$B:$B, B212,'Data Combined - all-runs'!$C:$C, C212, 'Data Combined - all-runs'!$D:$D, D212, 'Data Combined - all-runs'!$E:$E, E212)</f>
        <v>57</v>
      </c>
      <c r="N212" s="5">
        <f>AVERAGEIFS('Data Combined - all-runs'!$N:$N, 'Data Combined - all-runs'!$A:$A, A212,'Data Combined - all-runs'!$B:$B, B212,'Data Combined - all-runs'!$C:$C, C212, 'Data Combined - all-runs'!$D:$D, D212, 'Data Combined - all-runs'!$E:$E, E212)</f>
        <v>1</v>
      </c>
      <c r="O212" s="5">
        <f>AVERAGEIFS('Data Combined - all-runs'!$O:$O, 'Data Combined - all-runs'!$A:$A, A212,'Data Combined - all-runs'!$B:$B, B212,'Data Combined - all-runs'!$C:$C, C212, 'Data Combined - all-runs'!$D:$D, D212, 'Data Combined - all-runs'!$E:$E, E212)</f>
        <v>557</v>
      </c>
      <c r="P212" s="5">
        <f>AVERAGEIFS('Data Combined - all-runs'!$P:$P, 'Data Combined - all-runs'!$A:$A, A212,'Data Combined - all-runs'!$B:$B, B212,'Data Combined - all-runs'!$C:$C, C212, 'Data Combined - all-runs'!$D:$D, D212, 'Data Combined - all-runs'!$E:$E, E212)</f>
        <v>1.795332136</v>
      </c>
      <c r="Q212" s="5">
        <f>AVERAGEIFS('Data Combined - all-runs'!$Q:$Q, 'Data Combined - all-runs'!$A:$A, A212,'Data Combined - all-runs'!$B:$B, B212,'Data Combined - all-runs'!$C:$C, C212, 'Data Combined - all-runs'!$D:$D, D212, 'Data Combined - all-runs'!$E:$E, E212)</f>
        <v>903.0520646</v>
      </c>
      <c r="R212" s="5">
        <f>AVERAGEIFS('Data Combined - all-runs'!$R:$R, 'Data Combined - all-runs'!$A:$A, A212,'Data Combined - all-runs'!$B:$B, B212,'Data Combined - all-runs'!$C:$C, C212, 'Data Combined - all-runs'!$D:$D, D212, 'Data Combined - all-runs'!$E:$E, E212)</f>
        <v>503</v>
      </c>
      <c r="S212" s="5">
        <f>AVERAGEIFS('Data Combined - all-runs'!$S:$S, 'Data Combined - all-runs'!$A:$A, A212,'Data Combined - all-runs'!$B:$B, B212,'Data Combined - all-runs'!$C:$C, C212, 'Data Combined - all-runs'!$D:$D, D212, 'Data Combined - all-runs'!$E:$E, E212)</f>
        <v>0.05367793241</v>
      </c>
      <c r="T212" s="5">
        <f>AVERAGEIFS('Data Combined - all-runs'!$T:$T, 'Data Combined - all-runs'!$A:$A, A212,'Data Combined - all-runs'!$B:$B, B212,'Data Combined - all-runs'!$C:$C, C212, 'Data Combined - all-runs'!$D:$D, D212, 'Data Combined - all-runs'!$E:$E, E212)</f>
        <v>0</v>
      </c>
      <c r="U212" s="5" t="b">
        <f t="shared" si="1"/>
        <v>1</v>
      </c>
      <c r="V212" s="5" t="b">
        <f t="shared" si="2"/>
        <v>1</v>
      </c>
      <c r="W212" s="5" t="b">
        <f t="shared" si="3"/>
        <v>0</v>
      </c>
    </row>
    <row r="213">
      <c r="A213" s="2" t="s">
        <v>460</v>
      </c>
      <c r="B213" s="2" t="s">
        <v>22</v>
      </c>
      <c r="C213" s="2" t="s">
        <v>35</v>
      </c>
      <c r="D213" s="2" t="s">
        <v>118</v>
      </c>
      <c r="E213" s="2" t="s">
        <v>39</v>
      </c>
      <c r="H213" s="5">
        <f>AVERAGEIFS('Data Combined - all-runs'!$H:$H, 'Data Combined - all-runs'!$A:$A, A213,'Data Combined - all-runs'!$B:$B, B213,'Data Combined - all-runs'!$C:$C, C213, 'Data Combined - all-runs'!$D:$D, D213, 'Data Combined - all-runs'!$E:$E, E213)</f>
        <v>157</v>
      </c>
      <c r="I213" s="5">
        <f>AVERAGEIFS('Data Combined - all-runs'!$I:$I, 'Data Combined - all-runs'!$A:$A, A213,'Data Combined - all-runs'!$B:$B, B213,'Data Combined - all-runs'!$C:$C, C213, 'Data Combined - all-runs'!$D:$D, D213, 'Data Combined - all-runs'!$E:$E, E213)</f>
        <v>0</v>
      </c>
      <c r="J213" s="5">
        <f>AVERAGEIFS('Data Combined - all-runs'!$J:$J, 'Data Combined - all-runs'!$A:$A, A213,'Data Combined - all-runs'!$B:$B, B213,'Data Combined - all-runs'!$C:$C, C213, 'Data Combined - all-runs'!$D:$D, D213, 'Data Combined - all-runs'!$E:$E, E213)</f>
        <v>0</v>
      </c>
      <c r="K213" s="5">
        <f>AVERAGEIFS('Data Combined - all-runs'!$K:$K, 'Data Combined - all-runs'!$A:$A, A213,'Data Combined - all-runs'!$B:$B, B213,'Data Combined - all-runs'!$C:$C, C213, 'Data Combined - all-runs'!$D:$D, D213, 'Data Combined - all-runs'!$E:$E, E213)</f>
        <v>0.101</v>
      </c>
      <c r="L213" s="5">
        <f>AVERAGEIFS('Data Combined - all-runs'!$L:$L, 'Data Combined - all-runs'!$A:$A, A213,'Data Combined - all-runs'!$B:$B, B213,'Data Combined - all-runs'!$C:$C, C213, 'Data Combined - all-runs'!$D:$D, D213, 'Data Combined - all-runs'!$E:$E, E213)</f>
        <v>1325.990748</v>
      </c>
      <c r="M213" s="5" t="str">
        <f>AVERAGEIFS('Data Combined - all-runs'!$M:$M, 'Data Combined - all-runs'!$A:$A, A213,'Data Combined - all-runs'!$B:$B, B213,'Data Combined - all-runs'!$C:$C, C213, 'Data Combined - all-runs'!$D:$D, D213, 'Data Combined - all-runs'!$E:$E, E213)</f>
        <v>#DIV/0!</v>
      </c>
      <c r="N213" s="5">
        <f>AVERAGEIFS('Data Combined - all-runs'!$N:$N, 'Data Combined - all-runs'!$A:$A, A213,'Data Combined - all-runs'!$B:$B, B213,'Data Combined - all-runs'!$C:$C, C213, 'Data Combined - all-runs'!$D:$D, D213, 'Data Combined - all-runs'!$E:$E, E213)</f>
        <v>0</v>
      </c>
      <c r="O213" s="5">
        <f>AVERAGEIFS('Data Combined - all-runs'!$O:$O, 'Data Combined - all-runs'!$A:$A, A213,'Data Combined - all-runs'!$B:$B, B213,'Data Combined - all-runs'!$C:$C, C213, 'Data Combined - all-runs'!$D:$D, D213, 'Data Combined - all-runs'!$E:$E, E213)</f>
        <v>500</v>
      </c>
      <c r="P213" s="5">
        <f>AVERAGEIFS('Data Combined - all-runs'!$P:$P, 'Data Combined - all-runs'!$A:$A, A213,'Data Combined - all-runs'!$B:$B, B213,'Data Combined - all-runs'!$C:$C, C213, 'Data Combined - all-runs'!$D:$D, D213, 'Data Combined - all-runs'!$E:$E, E213)</f>
        <v>0</v>
      </c>
      <c r="Q213" s="5">
        <f>AVERAGEIFS('Data Combined - all-runs'!$Q:$Q, 'Data Combined - all-runs'!$A:$A, A213,'Data Combined - all-runs'!$B:$B, B213,'Data Combined - all-runs'!$C:$C, C213, 'Data Combined - all-runs'!$D:$D, D213, 'Data Combined - all-runs'!$E:$E, E213)</f>
        <v>314</v>
      </c>
      <c r="R213" s="5" t="str">
        <f>AVERAGEIFS('Data Combined - all-runs'!$R:$R, 'Data Combined - all-runs'!$A:$A, A213,'Data Combined - all-runs'!$B:$B, B213,'Data Combined - all-runs'!$C:$C, C213, 'Data Combined - all-runs'!$D:$D, D213, 'Data Combined - all-runs'!$E:$E, E213)</f>
        <v>#DIV/0!</v>
      </c>
      <c r="S213" s="5">
        <f>AVERAGEIFS('Data Combined - all-runs'!$S:$S, 'Data Combined - all-runs'!$A:$A, A213,'Data Combined - all-runs'!$B:$B, B213,'Data Combined - all-runs'!$C:$C, C213, 'Data Combined - all-runs'!$D:$D, D213, 'Data Combined - all-runs'!$E:$E, E213)</f>
        <v>0</v>
      </c>
      <c r="T213" s="5">
        <f>AVERAGEIFS('Data Combined - all-runs'!$T:$T, 'Data Combined - all-runs'!$A:$A, A213,'Data Combined - all-runs'!$B:$B, B213,'Data Combined - all-runs'!$C:$C, C213, 'Data Combined - all-runs'!$D:$D, D213, 'Data Combined - all-runs'!$E:$E, E213)</f>
        <v>0</v>
      </c>
      <c r="U213" s="5" t="b">
        <f t="shared" si="1"/>
        <v>1</v>
      </c>
      <c r="V213" s="5" t="b">
        <f t="shared" si="2"/>
        <v>1</v>
      </c>
      <c r="W213" s="5" t="b">
        <f t="shared" si="3"/>
        <v>0</v>
      </c>
    </row>
    <row r="214">
      <c r="A214" s="2" t="s">
        <v>460</v>
      </c>
      <c r="B214" s="2" t="s">
        <v>22</v>
      </c>
      <c r="C214" s="2" t="s">
        <v>35</v>
      </c>
      <c r="D214" s="2" t="s">
        <v>118</v>
      </c>
      <c r="E214" s="2" t="s">
        <v>43</v>
      </c>
      <c r="H214" s="5">
        <f>AVERAGEIFS('Data Combined - all-runs'!$H:$H, 'Data Combined - all-runs'!$A:$A, A214,'Data Combined - all-runs'!$B:$B, B214,'Data Combined - all-runs'!$C:$C, C214, 'Data Combined - all-runs'!$D:$D, D214, 'Data Combined - all-runs'!$E:$E, E214)</f>
        <v>660</v>
      </c>
      <c r="I214" s="5">
        <f>AVERAGEIFS('Data Combined - all-runs'!$I:$I, 'Data Combined - all-runs'!$A:$A, A214,'Data Combined - all-runs'!$B:$B, B214,'Data Combined - all-runs'!$C:$C, C214, 'Data Combined - all-runs'!$D:$D, D214, 'Data Combined - all-runs'!$E:$E, E214)</f>
        <v>0</v>
      </c>
      <c r="J214" s="5">
        <f>AVERAGEIFS('Data Combined - all-runs'!$J:$J, 'Data Combined - all-runs'!$A:$A, A214,'Data Combined - all-runs'!$B:$B, B214,'Data Combined - all-runs'!$C:$C, C214, 'Data Combined - all-runs'!$D:$D, D214, 'Data Combined - all-runs'!$E:$E, E214)</f>
        <v>4</v>
      </c>
      <c r="K214" s="5">
        <f>AVERAGEIFS('Data Combined - all-runs'!$K:$K, 'Data Combined - all-runs'!$A:$A, A214,'Data Combined - all-runs'!$B:$B, B214,'Data Combined - all-runs'!$C:$C, C214, 'Data Combined - all-runs'!$D:$D, D214, 'Data Combined - all-runs'!$E:$E, E214)</f>
        <v>0.1108870968</v>
      </c>
      <c r="L214" s="5">
        <f>AVERAGEIFS('Data Combined - all-runs'!$L:$L, 'Data Combined - all-runs'!$A:$A, A214,'Data Combined - all-runs'!$B:$B, B214,'Data Combined - all-runs'!$C:$C, C214, 'Data Combined - all-runs'!$D:$D, D214, 'Data Combined - all-runs'!$E:$E, E214)</f>
        <v>7469.31335</v>
      </c>
      <c r="M214" s="5">
        <f>AVERAGEIFS('Data Combined - all-runs'!$M:$M, 'Data Combined - all-runs'!$A:$A, A214,'Data Combined - all-runs'!$B:$B, B214,'Data Combined - all-runs'!$C:$C, C214, 'Data Combined - all-runs'!$D:$D, D214, 'Data Combined - all-runs'!$E:$E, E214)</f>
        <v>41</v>
      </c>
      <c r="N214" s="5">
        <f>AVERAGEIFS('Data Combined - all-runs'!$N:$N, 'Data Combined - all-runs'!$A:$A, A214,'Data Combined - all-runs'!$B:$B, B214,'Data Combined - all-runs'!$C:$C, C214, 'Data Combined - all-runs'!$D:$D, D214, 'Data Combined - all-runs'!$E:$E, E214)</f>
        <v>10</v>
      </c>
      <c r="O214" s="5">
        <f>AVERAGEIFS('Data Combined - all-runs'!$O:$O, 'Data Combined - all-runs'!$A:$A, A214,'Data Combined - all-runs'!$B:$B, B214,'Data Combined - all-runs'!$C:$C, C214, 'Data Combined - all-runs'!$D:$D, D214, 'Data Combined - all-runs'!$E:$E, E214)</f>
        <v>992</v>
      </c>
      <c r="P214" s="5">
        <f>AVERAGEIFS('Data Combined - all-runs'!$P:$P, 'Data Combined - all-runs'!$A:$A, A214,'Data Combined - all-runs'!$B:$B, B214,'Data Combined - all-runs'!$C:$C, C214, 'Data Combined - all-runs'!$D:$D, D214, 'Data Combined - all-runs'!$E:$E, E214)</f>
        <v>10.08064516</v>
      </c>
      <c r="Q214" s="5">
        <f>AVERAGEIFS('Data Combined - all-runs'!$Q:$Q, 'Data Combined - all-runs'!$A:$A, A214,'Data Combined - all-runs'!$B:$B, B214,'Data Combined - all-runs'!$C:$C, C214, 'Data Combined - all-runs'!$D:$D, D214, 'Data Combined - all-runs'!$E:$E, E214)</f>
        <v>665.3225806</v>
      </c>
      <c r="R214" s="5">
        <f>AVERAGEIFS('Data Combined - all-runs'!$R:$R, 'Data Combined - all-runs'!$A:$A, A214,'Data Combined - all-runs'!$B:$B, B214,'Data Combined - all-runs'!$C:$C, C214, 'Data Combined - all-runs'!$D:$D, D214, 'Data Combined - all-runs'!$E:$E, E214)</f>
        <v>66</v>
      </c>
      <c r="S214" s="5">
        <f>AVERAGEIFS('Data Combined - all-runs'!$S:$S, 'Data Combined - all-runs'!$A:$A, A214,'Data Combined - all-runs'!$B:$B, B214,'Data Combined - all-runs'!$C:$C, C214, 'Data Combined - all-runs'!$D:$D, D214, 'Data Combined - all-runs'!$E:$E, E214)</f>
        <v>0.006060606061</v>
      </c>
      <c r="T214" s="5">
        <f>AVERAGEIFS('Data Combined - all-runs'!$T:$T, 'Data Combined - all-runs'!$A:$A, A214,'Data Combined - all-runs'!$B:$B, B214,'Data Combined - all-runs'!$C:$C, C214, 'Data Combined - all-runs'!$D:$D, D214, 'Data Combined - all-runs'!$E:$E, E214)</f>
        <v>0</v>
      </c>
      <c r="U214" s="5" t="b">
        <f t="shared" si="1"/>
        <v>1</v>
      </c>
      <c r="V214" s="5" t="b">
        <f t="shared" si="2"/>
        <v>1</v>
      </c>
      <c r="W214" s="5" t="b">
        <f t="shared" si="3"/>
        <v>0</v>
      </c>
    </row>
    <row r="215">
      <c r="A215" s="2" t="s">
        <v>460</v>
      </c>
      <c r="B215" s="2" t="s">
        <v>22</v>
      </c>
      <c r="C215" s="2" t="s">
        <v>35</v>
      </c>
      <c r="D215" s="2" t="s">
        <v>118</v>
      </c>
      <c r="E215" s="2" t="s">
        <v>34</v>
      </c>
      <c r="H215" s="5">
        <f>AVERAGEIFS('Data Combined - all-runs'!$H:$H, 'Data Combined - all-runs'!$A:$A, A215,'Data Combined - all-runs'!$B:$B, B215,'Data Combined - all-runs'!$C:$C, C215, 'Data Combined - all-runs'!$D:$D, D215, 'Data Combined - all-runs'!$E:$E, E215)</f>
        <v>698</v>
      </c>
      <c r="I215" s="5">
        <f>AVERAGEIFS('Data Combined - all-runs'!$I:$I, 'Data Combined - all-runs'!$A:$A, A215,'Data Combined - all-runs'!$B:$B, B215,'Data Combined - all-runs'!$C:$C, C215, 'Data Combined - all-runs'!$D:$D, D215, 'Data Combined - all-runs'!$E:$E, E215)</f>
        <v>0</v>
      </c>
      <c r="J215" s="5">
        <f>AVERAGEIFS('Data Combined - all-runs'!$J:$J, 'Data Combined - all-runs'!$A:$A, A215,'Data Combined - all-runs'!$B:$B, B215,'Data Combined - all-runs'!$C:$C, C215, 'Data Combined - all-runs'!$D:$D, D215, 'Data Combined - all-runs'!$E:$E, E215)</f>
        <v>0</v>
      </c>
      <c r="K215" s="5">
        <f>AVERAGEIFS('Data Combined - all-runs'!$K:$K, 'Data Combined - all-runs'!$A:$A, A215,'Data Combined - all-runs'!$B:$B, B215,'Data Combined - all-runs'!$C:$C, C215, 'Data Combined - all-runs'!$D:$D, D215, 'Data Combined - all-runs'!$E:$E, E215)</f>
        <v>0.4533607682</v>
      </c>
      <c r="L215" s="5">
        <f>AVERAGEIFS('Data Combined - all-runs'!$L:$L, 'Data Combined - all-runs'!$A:$A, A215,'Data Combined - all-runs'!$B:$B, B215,'Data Combined - all-runs'!$C:$C, C215, 'Data Combined - all-runs'!$D:$D, D215, 'Data Combined - all-runs'!$E:$E, E215)</f>
        <v>9835.918239</v>
      </c>
      <c r="M215" s="5">
        <f>AVERAGEIFS('Data Combined - all-runs'!$M:$M, 'Data Combined - all-runs'!$A:$A, A215,'Data Combined - all-runs'!$B:$B, B215,'Data Combined - all-runs'!$C:$C, C215, 'Data Combined - all-runs'!$D:$D, D215, 'Data Combined - all-runs'!$E:$E, E215)</f>
        <v>37</v>
      </c>
      <c r="N215" s="5">
        <f>AVERAGEIFS('Data Combined - all-runs'!$N:$N, 'Data Combined - all-runs'!$A:$A, A215,'Data Combined - all-runs'!$B:$B, B215,'Data Combined - all-runs'!$C:$C, C215, 'Data Combined - all-runs'!$D:$D, D215, 'Data Combined - all-runs'!$E:$E, E215)</f>
        <v>3</v>
      </c>
      <c r="O215" s="5">
        <f>AVERAGEIFS('Data Combined - all-runs'!$O:$O, 'Data Combined - all-runs'!$A:$A, A215,'Data Combined - all-runs'!$B:$B, B215,'Data Combined - all-runs'!$C:$C, C215, 'Data Combined - all-runs'!$D:$D, D215, 'Data Combined - all-runs'!$E:$E, E215)</f>
        <v>729</v>
      </c>
      <c r="P215" s="5">
        <f>AVERAGEIFS('Data Combined - all-runs'!$P:$P, 'Data Combined - all-runs'!$A:$A, A215,'Data Combined - all-runs'!$B:$B, B215,'Data Combined - all-runs'!$C:$C, C215, 'Data Combined - all-runs'!$D:$D, D215, 'Data Combined - all-runs'!$E:$E, E215)</f>
        <v>4.115226337</v>
      </c>
      <c r="Q215" s="5">
        <f>AVERAGEIFS('Data Combined - all-runs'!$Q:$Q, 'Data Combined - all-runs'!$A:$A, A215,'Data Combined - all-runs'!$B:$B, B215,'Data Combined - all-runs'!$C:$C, C215, 'Data Combined - all-runs'!$D:$D, D215, 'Data Combined - all-runs'!$E:$E, E215)</f>
        <v>957.4759945</v>
      </c>
      <c r="R215" s="5">
        <f>AVERAGEIFS('Data Combined - all-runs'!$R:$R, 'Data Combined - all-runs'!$A:$A, A215,'Data Combined - all-runs'!$B:$B, B215,'Data Combined - all-runs'!$C:$C, C215, 'Data Combined - all-runs'!$D:$D, D215, 'Data Combined - all-runs'!$E:$E, E215)</f>
        <v>232.6666667</v>
      </c>
      <c r="S215" s="5">
        <f>AVERAGEIFS('Data Combined - all-runs'!$S:$S, 'Data Combined - all-runs'!$A:$A, A215,'Data Combined - all-runs'!$B:$B, B215,'Data Combined - all-runs'!$C:$C, C215, 'Data Combined - all-runs'!$D:$D, D215, 'Data Combined - all-runs'!$E:$E, E215)</f>
        <v>0</v>
      </c>
      <c r="T215" s="5">
        <f>AVERAGEIFS('Data Combined - all-runs'!$T:$T, 'Data Combined - all-runs'!$A:$A, A215,'Data Combined - all-runs'!$B:$B, B215,'Data Combined - all-runs'!$C:$C, C215, 'Data Combined - all-runs'!$D:$D, D215, 'Data Combined - all-runs'!$E:$E, E215)</f>
        <v>0</v>
      </c>
      <c r="U215" s="5" t="b">
        <f t="shared" si="1"/>
        <v>1</v>
      </c>
      <c r="V215" s="5" t="b">
        <f t="shared" si="2"/>
        <v>1</v>
      </c>
      <c r="W215" s="5" t="b">
        <f t="shared" si="3"/>
        <v>0</v>
      </c>
    </row>
    <row r="216">
      <c r="A216" s="2" t="s">
        <v>460</v>
      </c>
      <c r="B216" s="2" t="s">
        <v>22</v>
      </c>
      <c r="C216" s="2" t="s">
        <v>35</v>
      </c>
      <c r="D216" s="2" t="s">
        <v>118</v>
      </c>
      <c r="E216" s="2" t="s">
        <v>47</v>
      </c>
      <c r="H216" s="5">
        <f>AVERAGEIFS('Data Combined - all-runs'!$H:$H, 'Data Combined - all-runs'!$A:$A, A216,'Data Combined - all-runs'!$B:$B, B216,'Data Combined - all-runs'!$C:$C, C216, 'Data Combined - all-runs'!$D:$D, D216, 'Data Combined - all-runs'!$E:$E, E216)</f>
        <v>1679</v>
      </c>
      <c r="I216" s="5">
        <f>AVERAGEIFS('Data Combined - all-runs'!$I:$I, 'Data Combined - all-runs'!$A:$A, A216,'Data Combined - all-runs'!$B:$B, B216,'Data Combined - all-runs'!$C:$C, C216, 'Data Combined - all-runs'!$D:$D, D216, 'Data Combined - all-runs'!$E:$E, E216)</f>
        <v>0</v>
      </c>
      <c r="J216" s="5">
        <f>AVERAGEIFS('Data Combined - all-runs'!$J:$J, 'Data Combined - all-runs'!$A:$A, A216,'Data Combined - all-runs'!$B:$B, B216,'Data Combined - all-runs'!$C:$C, C216, 'Data Combined - all-runs'!$D:$D, D216, 'Data Combined - all-runs'!$E:$E, E216)</f>
        <v>0</v>
      </c>
      <c r="K216" s="5">
        <f>AVERAGEIFS('Data Combined - all-runs'!$K:$K, 'Data Combined - all-runs'!$A:$A, A216,'Data Combined - all-runs'!$B:$B, B216,'Data Combined - all-runs'!$C:$C, C216, 'Data Combined - all-runs'!$D:$D, D216, 'Data Combined - all-runs'!$E:$E, E216)</f>
        <v>0.1061999057</v>
      </c>
      <c r="L216" s="5">
        <f>AVERAGEIFS('Data Combined - all-runs'!$L:$L, 'Data Combined - all-runs'!$A:$A, A216,'Data Combined - all-runs'!$B:$B, B216,'Data Combined - all-runs'!$C:$C, C216, 'Data Combined - all-runs'!$D:$D, D216, 'Data Combined - all-runs'!$E:$E, E216)</f>
        <v>26110.62004</v>
      </c>
      <c r="M216" s="5">
        <f>AVERAGEIFS('Data Combined - all-runs'!$M:$M, 'Data Combined - all-runs'!$A:$A, A216,'Data Combined - all-runs'!$B:$B, B216,'Data Combined - all-runs'!$C:$C, C216, 'Data Combined - all-runs'!$D:$D, D216, 'Data Combined - all-runs'!$E:$E, E216)</f>
        <v>62</v>
      </c>
      <c r="N216" s="5">
        <f>AVERAGEIFS('Data Combined - all-runs'!$N:$N, 'Data Combined - all-runs'!$A:$A, A216,'Data Combined - all-runs'!$B:$B, B216,'Data Combined - all-runs'!$C:$C, C216, 'Data Combined - all-runs'!$D:$D, D216, 'Data Combined - all-runs'!$E:$E, E216)</f>
        <v>11</v>
      </c>
      <c r="O216" s="5">
        <f>AVERAGEIFS('Data Combined - all-runs'!$O:$O, 'Data Combined - all-runs'!$A:$A, A216,'Data Combined - all-runs'!$B:$B, B216,'Data Combined - all-runs'!$C:$C, C216, 'Data Combined - all-runs'!$D:$D, D216, 'Data Combined - all-runs'!$E:$E, E216)</f>
        <v>2121</v>
      </c>
      <c r="P216" s="5">
        <f>AVERAGEIFS('Data Combined - all-runs'!$P:$P, 'Data Combined - all-runs'!$A:$A, A216,'Data Combined - all-runs'!$B:$B, B216,'Data Combined - all-runs'!$C:$C, C216, 'Data Combined - all-runs'!$D:$D, D216, 'Data Combined - all-runs'!$E:$E, E216)</f>
        <v>5.186232909</v>
      </c>
      <c r="Q216" s="5">
        <f>AVERAGEIFS('Data Combined - all-runs'!$Q:$Q, 'Data Combined - all-runs'!$A:$A, A216,'Data Combined - all-runs'!$B:$B, B216,'Data Combined - all-runs'!$C:$C, C216, 'Data Combined - all-runs'!$D:$D, D216, 'Data Combined - all-runs'!$E:$E, E216)</f>
        <v>791.6077322</v>
      </c>
      <c r="R216" s="5">
        <f>AVERAGEIFS('Data Combined - all-runs'!$R:$R, 'Data Combined - all-runs'!$A:$A, A216,'Data Combined - all-runs'!$B:$B, B216,'Data Combined - all-runs'!$C:$C, C216, 'Data Combined - all-runs'!$D:$D, D216, 'Data Combined - all-runs'!$E:$E, E216)</f>
        <v>152.6363636</v>
      </c>
      <c r="S216" s="5">
        <f>AVERAGEIFS('Data Combined - all-runs'!$S:$S, 'Data Combined - all-runs'!$A:$A, A216,'Data Combined - all-runs'!$B:$B, B216,'Data Combined - all-runs'!$C:$C, C216, 'Data Combined - all-runs'!$D:$D, D216, 'Data Combined - all-runs'!$E:$E, E216)</f>
        <v>0</v>
      </c>
      <c r="T216" s="5">
        <f>AVERAGEIFS('Data Combined - all-runs'!$T:$T, 'Data Combined - all-runs'!$A:$A, A216,'Data Combined - all-runs'!$B:$B, B216,'Data Combined - all-runs'!$C:$C, C216, 'Data Combined - all-runs'!$D:$D, D216, 'Data Combined - all-runs'!$E:$E, E216)</f>
        <v>0</v>
      </c>
      <c r="U216" s="5" t="b">
        <f t="shared" si="1"/>
        <v>1</v>
      </c>
      <c r="V216" s="5" t="b">
        <f t="shared" si="2"/>
        <v>1</v>
      </c>
      <c r="W216" s="5" t="b">
        <f t="shared" si="3"/>
        <v>0</v>
      </c>
    </row>
    <row r="217">
      <c r="A217" s="2" t="s">
        <v>460</v>
      </c>
      <c r="B217" s="2" t="s">
        <v>22</v>
      </c>
      <c r="C217" s="2" t="s">
        <v>35</v>
      </c>
      <c r="D217" s="2" t="s">
        <v>118</v>
      </c>
      <c r="E217" s="2" t="s">
        <v>51</v>
      </c>
      <c r="H217" s="5">
        <f>AVERAGEIFS('Data Combined - all-runs'!$H:$H, 'Data Combined - all-runs'!$A:$A, A217,'Data Combined - all-runs'!$B:$B, B217,'Data Combined - all-runs'!$C:$C, C217, 'Data Combined - all-runs'!$D:$D, D217, 'Data Combined - all-runs'!$E:$E, E217)</f>
        <v>391</v>
      </c>
      <c r="I217" s="5">
        <f>AVERAGEIFS('Data Combined - all-runs'!$I:$I, 'Data Combined - all-runs'!$A:$A, A217,'Data Combined - all-runs'!$B:$B, B217,'Data Combined - all-runs'!$C:$C, C217, 'Data Combined - all-runs'!$D:$D, D217, 'Data Combined - all-runs'!$E:$E, E217)</f>
        <v>0</v>
      </c>
      <c r="J217" s="5">
        <f>AVERAGEIFS('Data Combined - all-runs'!$J:$J, 'Data Combined - all-runs'!$A:$A, A217,'Data Combined - all-runs'!$B:$B, B217,'Data Combined - all-runs'!$C:$C, C217, 'Data Combined - all-runs'!$D:$D, D217, 'Data Combined - all-runs'!$E:$E, E217)</f>
        <v>1</v>
      </c>
      <c r="K217" s="5">
        <f>AVERAGEIFS('Data Combined - all-runs'!$K:$K, 'Data Combined - all-runs'!$A:$A, A217,'Data Combined - all-runs'!$B:$B, B217,'Data Combined - all-runs'!$C:$C, C217, 'Data Combined - all-runs'!$D:$D, D217, 'Data Combined - all-runs'!$E:$E, E217)</f>
        <v>0.0563583815</v>
      </c>
      <c r="L217" s="5">
        <f>AVERAGEIFS('Data Combined - all-runs'!$L:$L, 'Data Combined - all-runs'!$A:$A, A217,'Data Combined - all-runs'!$B:$B, B217,'Data Combined - all-runs'!$C:$C, C217, 'Data Combined - all-runs'!$D:$D, D217, 'Data Combined - all-runs'!$E:$E, E217)</f>
        <v>5861.270548</v>
      </c>
      <c r="M217" s="5">
        <f>AVERAGEIFS('Data Combined - all-runs'!$M:$M, 'Data Combined - all-runs'!$A:$A, A217,'Data Combined - all-runs'!$B:$B, B217,'Data Combined - all-runs'!$C:$C, C217, 'Data Combined - all-runs'!$D:$D, D217, 'Data Combined - all-runs'!$E:$E, E217)</f>
        <v>32</v>
      </c>
      <c r="N217" s="5">
        <f>AVERAGEIFS('Data Combined - all-runs'!$N:$N, 'Data Combined - all-runs'!$A:$A, A217,'Data Combined - all-runs'!$B:$B, B217,'Data Combined - all-runs'!$C:$C, C217, 'Data Combined - all-runs'!$D:$D, D217, 'Data Combined - all-runs'!$E:$E, E217)</f>
        <v>7</v>
      </c>
      <c r="O217" s="5">
        <f>AVERAGEIFS('Data Combined - all-runs'!$O:$O, 'Data Combined - all-runs'!$A:$A, A217,'Data Combined - all-runs'!$B:$B, B217,'Data Combined - all-runs'!$C:$C, C217, 'Data Combined - all-runs'!$D:$D, D217, 'Data Combined - all-runs'!$E:$E, E217)</f>
        <v>692</v>
      </c>
      <c r="P217" s="5">
        <f>AVERAGEIFS('Data Combined - all-runs'!$P:$P, 'Data Combined - all-runs'!$A:$A, A217,'Data Combined - all-runs'!$B:$B, B217,'Data Combined - all-runs'!$C:$C, C217, 'Data Combined - all-runs'!$D:$D, D217, 'Data Combined - all-runs'!$E:$E, E217)</f>
        <v>10.11560694</v>
      </c>
      <c r="Q217" s="5">
        <f>AVERAGEIFS('Data Combined - all-runs'!$Q:$Q, 'Data Combined - all-runs'!$A:$A, A217,'Data Combined - all-runs'!$B:$B, B217,'Data Combined - all-runs'!$C:$C, C217, 'Data Combined - all-runs'!$D:$D, D217, 'Data Combined - all-runs'!$E:$E, E217)</f>
        <v>565.0289017</v>
      </c>
      <c r="R217" s="5">
        <f>AVERAGEIFS('Data Combined - all-runs'!$R:$R, 'Data Combined - all-runs'!$A:$A, A217,'Data Combined - all-runs'!$B:$B, B217,'Data Combined - all-runs'!$C:$C, C217, 'Data Combined - all-runs'!$D:$D, D217, 'Data Combined - all-runs'!$E:$E, E217)</f>
        <v>55.85714286</v>
      </c>
      <c r="S217" s="5">
        <f>AVERAGEIFS('Data Combined - all-runs'!$S:$S, 'Data Combined - all-runs'!$A:$A, A217,'Data Combined - all-runs'!$B:$B, B217,'Data Combined - all-runs'!$C:$C, C217, 'Data Combined - all-runs'!$D:$D, D217, 'Data Combined - all-runs'!$E:$E, E217)</f>
        <v>0.002557544757</v>
      </c>
      <c r="T217" s="5">
        <f>AVERAGEIFS('Data Combined - all-runs'!$T:$T, 'Data Combined - all-runs'!$A:$A, A217,'Data Combined - all-runs'!$B:$B, B217,'Data Combined - all-runs'!$C:$C, C217, 'Data Combined - all-runs'!$D:$D, D217, 'Data Combined - all-runs'!$E:$E, E217)</f>
        <v>0</v>
      </c>
      <c r="U217" s="5" t="b">
        <f t="shared" si="1"/>
        <v>1</v>
      </c>
      <c r="V217" s="5" t="b">
        <f t="shared" si="2"/>
        <v>1</v>
      </c>
      <c r="W217" s="5" t="b">
        <f t="shared" si="3"/>
        <v>0</v>
      </c>
    </row>
    <row r="218">
      <c r="A218" s="2" t="s">
        <v>460</v>
      </c>
      <c r="B218" s="2" t="s">
        <v>114</v>
      </c>
      <c r="C218" s="2" t="s">
        <v>23</v>
      </c>
      <c r="D218" s="2" t="s">
        <v>24</v>
      </c>
      <c r="E218" s="2" t="s">
        <v>25</v>
      </c>
      <c r="H218" s="5">
        <f>AVERAGEIFS('Data Combined - all-runs'!$H:$H, 'Data Combined - all-runs'!$A:$A, A218,'Data Combined - all-runs'!$B:$B, B218,'Data Combined - all-runs'!$C:$C, C218, 'Data Combined - all-runs'!$D:$D, D218, 'Data Combined - all-runs'!$E:$E, E218)</f>
        <v>519</v>
      </c>
      <c r="I218" s="5" t="str">
        <f>AVERAGEIFS('Data Combined - all-runs'!$I:$I, 'Data Combined - all-runs'!$A:$A, A218,'Data Combined - all-runs'!$B:$B, B218,'Data Combined - all-runs'!$C:$C, C218, 'Data Combined - all-runs'!$D:$D, D218, 'Data Combined - all-runs'!$E:$E, E218)</f>
        <v>#DIV/0!</v>
      </c>
      <c r="J218" s="5">
        <f>AVERAGEIFS('Data Combined - all-runs'!$J:$J, 'Data Combined - all-runs'!$A:$A, A218,'Data Combined - all-runs'!$B:$B, B218,'Data Combined - all-runs'!$C:$C, C218, 'Data Combined - all-runs'!$D:$D, D218, 'Data Combined - all-runs'!$E:$E, E218)</f>
        <v>0</v>
      </c>
      <c r="K218" s="5">
        <f>AVERAGEIFS('Data Combined - all-runs'!$K:$K, 'Data Combined - all-runs'!$A:$A, A218,'Data Combined - all-runs'!$B:$B, B218,'Data Combined - all-runs'!$C:$C, C218, 'Data Combined - all-runs'!$D:$D, D218, 'Data Combined - all-runs'!$E:$E, E218)</f>
        <v>0.4972375691</v>
      </c>
      <c r="L218" s="5">
        <f>AVERAGEIFS('Data Combined - all-runs'!$L:$L, 'Data Combined - all-runs'!$A:$A, A218,'Data Combined - all-runs'!$B:$B, B218,'Data Combined - all-runs'!$C:$C, C218, 'Data Combined - all-runs'!$D:$D, D218, 'Data Combined - all-runs'!$E:$E, E218)</f>
        <v>203.7077279</v>
      </c>
      <c r="M218" s="5">
        <f>AVERAGEIFS('Data Combined - all-runs'!$M:$M, 'Data Combined - all-runs'!$A:$A, A218,'Data Combined - all-runs'!$B:$B, B218,'Data Combined - all-runs'!$C:$C, C218, 'Data Combined - all-runs'!$D:$D, D218, 'Data Combined - all-runs'!$E:$E, E218)</f>
        <v>61</v>
      </c>
      <c r="N218" s="5">
        <f>AVERAGEIFS('Data Combined - all-runs'!$N:$N, 'Data Combined - all-runs'!$A:$A, A218,'Data Combined - all-runs'!$B:$B, B218,'Data Combined - all-runs'!$C:$C, C218, 'Data Combined - all-runs'!$D:$D, D218, 'Data Combined - all-runs'!$E:$E, E218)</f>
        <v>3</v>
      </c>
      <c r="O218" s="5">
        <f>AVERAGEIFS('Data Combined - all-runs'!$O:$O, 'Data Combined - all-runs'!$A:$A, A218,'Data Combined - all-runs'!$B:$B, B218,'Data Combined - all-runs'!$C:$C, C218, 'Data Combined - all-runs'!$D:$D, D218, 'Data Combined - all-runs'!$E:$E, E218)</f>
        <v>724</v>
      </c>
      <c r="P218" s="5">
        <f>AVERAGEIFS('Data Combined - all-runs'!$P:$P, 'Data Combined - all-runs'!$A:$A, A218,'Data Combined - all-runs'!$B:$B, B218,'Data Combined - all-runs'!$C:$C, C218, 'Data Combined - all-runs'!$D:$D, D218, 'Data Combined - all-runs'!$E:$E, E218)</f>
        <v>4.143646409</v>
      </c>
      <c r="Q218" s="5">
        <f>AVERAGEIFS('Data Combined - all-runs'!$Q:$Q, 'Data Combined - all-runs'!$A:$A, A218,'Data Combined - all-runs'!$B:$B, B218,'Data Combined - all-runs'!$C:$C, C218, 'Data Combined - all-runs'!$D:$D, D218, 'Data Combined - all-runs'!$E:$E, E218)</f>
        <v>716.8508287</v>
      </c>
      <c r="R218" s="5">
        <f>AVERAGEIFS('Data Combined - all-runs'!$R:$R, 'Data Combined - all-runs'!$A:$A, A218,'Data Combined - all-runs'!$B:$B, B218,'Data Combined - all-runs'!$C:$C, C218, 'Data Combined - all-runs'!$D:$D, D218, 'Data Combined - all-runs'!$E:$E, E218)</f>
        <v>173</v>
      </c>
      <c r="S218" s="5">
        <f>AVERAGEIFS('Data Combined - all-runs'!$S:$S, 'Data Combined - all-runs'!$A:$A, A218,'Data Combined - all-runs'!$B:$B, B218,'Data Combined - all-runs'!$C:$C, C218, 'Data Combined - all-runs'!$D:$D, D218, 'Data Combined - all-runs'!$E:$E, E218)</f>
        <v>0</v>
      </c>
      <c r="T218" s="5" t="str">
        <f>AVERAGEIFS('Data Combined - all-runs'!$T:$T, 'Data Combined - all-runs'!$A:$A, A218,'Data Combined - all-runs'!$B:$B, B218,'Data Combined - all-runs'!$C:$C, C218, 'Data Combined - all-runs'!$D:$D, D218, 'Data Combined - all-runs'!$E:$E, E218)</f>
        <v>#DIV/0!</v>
      </c>
      <c r="U218" s="5" t="b">
        <f t="shared" si="1"/>
        <v>1</v>
      </c>
      <c r="V218" s="5" t="b">
        <f t="shared" si="2"/>
        <v>1</v>
      </c>
      <c r="W218" s="5" t="b">
        <f t="shared" si="3"/>
        <v>1</v>
      </c>
    </row>
    <row r="219">
      <c r="A219" s="2" t="s">
        <v>460</v>
      </c>
      <c r="B219" s="2" t="s">
        <v>114</v>
      </c>
      <c r="C219" s="2" t="s">
        <v>23</v>
      </c>
      <c r="D219" s="2" t="s">
        <v>24</v>
      </c>
      <c r="E219" s="2" t="s">
        <v>39</v>
      </c>
      <c r="H219" s="5">
        <f>AVERAGEIFS('Data Combined - all-runs'!$H:$H, 'Data Combined - all-runs'!$A:$A, A219,'Data Combined - all-runs'!$B:$B, B219,'Data Combined - all-runs'!$C:$C, C219, 'Data Combined - all-runs'!$D:$D, D219, 'Data Combined - all-runs'!$E:$E, E219)</f>
        <v>302</v>
      </c>
      <c r="I219" s="5" t="str">
        <f>AVERAGEIFS('Data Combined - all-runs'!$I:$I, 'Data Combined - all-runs'!$A:$A, A219,'Data Combined - all-runs'!$B:$B, B219,'Data Combined - all-runs'!$C:$C, C219, 'Data Combined - all-runs'!$D:$D, D219, 'Data Combined - all-runs'!$E:$E, E219)</f>
        <v>#DIV/0!</v>
      </c>
      <c r="J219" s="5">
        <f>AVERAGEIFS('Data Combined - all-runs'!$J:$J, 'Data Combined - all-runs'!$A:$A, A219,'Data Combined - all-runs'!$B:$B, B219,'Data Combined - all-runs'!$C:$C, C219, 'Data Combined - all-runs'!$D:$D, D219, 'Data Combined - all-runs'!$E:$E, E219)</f>
        <v>0</v>
      </c>
      <c r="K219" s="5">
        <f>AVERAGEIFS('Data Combined - all-runs'!$K:$K, 'Data Combined - all-runs'!$A:$A, A219,'Data Combined - all-runs'!$B:$B, B219,'Data Combined - all-runs'!$C:$C, C219, 'Data Combined - all-runs'!$D:$D, D219, 'Data Combined - all-runs'!$E:$E, E219)</f>
        <v>0.0985</v>
      </c>
      <c r="L219" s="5">
        <f>AVERAGEIFS('Data Combined - all-runs'!$L:$L, 'Data Combined - all-runs'!$A:$A, A219,'Data Combined - all-runs'!$B:$B, B219,'Data Combined - all-runs'!$C:$C, C219, 'Data Combined - all-runs'!$D:$D, D219, 'Data Combined - all-runs'!$E:$E, E219)</f>
        <v>239.0988829</v>
      </c>
      <c r="M219" s="5" t="str">
        <f>AVERAGEIFS('Data Combined - all-runs'!$M:$M, 'Data Combined - all-runs'!$A:$A, A219,'Data Combined - all-runs'!$B:$B, B219,'Data Combined - all-runs'!$C:$C, C219, 'Data Combined - all-runs'!$D:$D, D219, 'Data Combined - all-runs'!$E:$E, E219)</f>
        <v>#DIV/0!</v>
      </c>
      <c r="N219" s="5">
        <f>AVERAGEIFS('Data Combined - all-runs'!$N:$N, 'Data Combined - all-runs'!$A:$A, A219,'Data Combined - all-runs'!$B:$B, B219,'Data Combined - all-runs'!$C:$C, C219, 'Data Combined - all-runs'!$D:$D, D219, 'Data Combined - all-runs'!$E:$E, E219)</f>
        <v>0</v>
      </c>
      <c r="O219" s="5">
        <f>AVERAGEIFS('Data Combined - all-runs'!$O:$O, 'Data Combined - all-runs'!$A:$A, A219,'Data Combined - all-runs'!$B:$B, B219,'Data Combined - all-runs'!$C:$C, C219, 'Data Combined - all-runs'!$D:$D, D219, 'Data Combined - all-runs'!$E:$E, E219)</f>
        <v>500</v>
      </c>
      <c r="P219" s="5">
        <f>AVERAGEIFS('Data Combined - all-runs'!$P:$P, 'Data Combined - all-runs'!$A:$A, A219,'Data Combined - all-runs'!$B:$B, B219,'Data Combined - all-runs'!$C:$C, C219, 'Data Combined - all-runs'!$D:$D, D219, 'Data Combined - all-runs'!$E:$E, E219)</f>
        <v>0</v>
      </c>
      <c r="Q219" s="5">
        <f>AVERAGEIFS('Data Combined - all-runs'!$Q:$Q, 'Data Combined - all-runs'!$A:$A, A219,'Data Combined - all-runs'!$B:$B, B219,'Data Combined - all-runs'!$C:$C, C219, 'Data Combined - all-runs'!$D:$D, D219, 'Data Combined - all-runs'!$E:$E, E219)</f>
        <v>604</v>
      </c>
      <c r="R219" s="5" t="str">
        <f>AVERAGEIFS('Data Combined - all-runs'!$R:$R, 'Data Combined - all-runs'!$A:$A, A219,'Data Combined - all-runs'!$B:$B, B219,'Data Combined - all-runs'!$C:$C, C219, 'Data Combined - all-runs'!$D:$D, D219, 'Data Combined - all-runs'!$E:$E, E219)</f>
        <v>#DIV/0!</v>
      </c>
      <c r="S219" s="5">
        <f>AVERAGEIFS('Data Combined - all-runs'!$S:$S, 'Data Combined - all-runs'!$A:$A, A219,'Data Combined - all-runs'!$B:$B, B219,'Data Combined - all-runs'!$C:$C, C219, 'Data Combined - all-runs'!$D:$D, D219, 'Data Combined - all-runs'!$E:$E, E219)</f>
        <v>0</v>
      </c>
      <c r="T219" s="5" t="str">
        <f>AVERAGEIFS('Data Combined - all-runs'!$T:$T, 'Data Combined - all-runs'!$A:$A, A219,'Data Combined - all-runs'!$B:$B, B219,'Data Combined - all-runs'!$C:$C, C219, 'Data Combined - all-runs'!$D:$D, D219, 'Data Combined - all-runs'!$E:$E, E219)</f>
        <v>#DIV/0!</v>
      </c>
      <c r="U219" s="5" t="b">
        <f t="shared" si="1"/>
        <v>1</v>
      </c>
      <c r="V219" s="5" t="b">
        <f t="shared" si="2"/>
        <v>1</v>
      </c>
      <c r="W219" s="5" t="b">
        <f t="shared" si="3"/>
        <v>1</v>
      </c>
    </row>
    <row r="220">
      <c r="A220" s="2" t="s">
        <v>460</v>
      </c>
      <c r="B220" s="2" t="s">
        <v>114</v>
      </c>
      <c r="C220" s="2" t="s">
        <v>23</v>
      </c>
      <c r="D220" s="2" t="s">
        <v>24</v>
      </c>
      <c r="E220" s="2" t="s">
        <v>43</v>
      </c>
      <c r="H220" s="5">
        <f>AVERAGEIFS('Data Combined - all-runs'!$H:$H, 'Data Combined - all-runs'!$A:$A, A220,'Data Combined - all-runs'!$B:$B, B220,'Data Combined - all-runs'!$C:$C, C220, 'Data Combined - all-runs'!$D:$D, D220, 'Data Combined - all-runs'!$E:$E, E220)</f>
        <v>1193</v>
      </c>
      <c r="I220" s="5" t="str">
        <f>AVERAGEIFS('Data Combined - all-runs'!$I:$I, 'Data Combined - all-runs'!$A:$A, A220,'Data Combined - all-runs'!$B:$B, B220,'Data Combined - all-runs'!$C:$C, C220, 'Data Combined - all-runs'!$D:$D, D220, 'Data Combined - all-runs'!$E:$E, E220)</f>
        <v>#DIV/0!</v>
      </c>
      <c r="J220" s="5">
        <f>AVERAGEIFS('Data Combined - all-runs'!$J:$J, 'Data Combined - all-runs'!$A:$A, A220,'Data Combined - all-runs'!$B:$B, B220,'Data Combined - all-runs'!$C:$C, C220, 'Data Combined - all-runs'!$D:$D, D220, 'Data Combined - all-runs'!$E:$E, E220)</f>
        <v>0</v>
      </c>
      <c r="K220" s="5">
        <f>AVERAGEIFS('Data Combined - all-runs'!$K:$K, 'Data Combined - all-runs'!$A:$A, A220,'Data Combined - all-runs'!$B:$B, B220,'Data Combined - all-runs'!$C:$C, C220, 'Data Combined - all-runs'!$D:$D, D220, 'Data Combined - all-runs'!$E:$E, E220)</f>
        <v>0.1643073812</v>
      </c>
      <c r="L220" s="5">
        <f>AVERAGEIFS('Data Combined - all-runs'!$L:$L, 'Data Combined - all-runs'!$A:$A, A220,'Data Combined - all-runs'!$B:$B, B220,'Data Combined - all-runs'!$C:$C, C220, 'Data Combined - all-runs'!$D:$D, D220, 'Data Combined - all-runs'!$E:$E, E220)</f>
        <v>829.0584919</v>
      </c>
      <c r="M220" s="5">
        <f>AVERAGEIFS('Data Combined - all-runs'!$M:$M, 'Data Combined - all-runs'!$A:$A, A220,'Data Combined - all-runs'!$B:$B, B220,'Data Combined - all-runs'!$C:$C, C220, 'Data Combined - all-runs'!$D:$D, D220, 'Data Combined - all-runs'!$E:$E, E220)</f>
        <v>75</v>
      </c>
      <c r="N220" s="5">
        <f>AVERAGEIFS('Data Combined - all-runs'!$N:$N, 'Data Combined - all-runs'!$A:$A, A220,'Data Combined - all-runs'!$B:$B, B220,'Data Combined - all-runs'!$C:$C, C220, 'Data Combined - all-runs'!$D:$D, D220, 'Data Combined - all-runs'!$E:$E, E220)</f>
        <v>8</v>
      </c>
      <c r="O220" s="5">
        <f>AVERAGEIFS('Data Combined - all-runs'!$O:$O, 'Data Combined - all-runs'!$A:$A, A220,'Data Combined - all-runs'!$B:$B, B220,'Data Combined - all-runs'!$C:$C, C220, 'Data Combined - all-runs'!$D:$D, D220, 'Data Combined - all-runs'!$E:$E, E220)</f>
        <v>989</v>
      </c>
      <c r="P220" s="5">
        <f>AVERAGEIFS('Data Combined - all-runs'!$P:$P, 'Data Combined - all-runs'!$A:$A, A220,'Data Combined - all-runs'!$B:$B, B220,'Data Combined - all-runs'!$C:$C, C220, 'Data Combined - all-runs'!$D:$D, D220, 'Data Combined - all-runs'!$E:$E, E220)</f>
        <v>8.088978766</v>
      </c>
      <c r="Q220" s="5">
        <f>AVERAGEIFS('Data Combined - all-runs'!$Q:$Q, 'Data Combined - all-runs'!$A:$A, A220,'Data Combined - all-runs'!$B:$B, B220,'Data Combined - all-runs'!$C:$C, C220, 'Data Combined - all-runs'!$D:$D, D220, 'Data Combined - all-runs'!$E:$E, E220)</f>
        <v>1206.268959</v>
      </c>
      <c r="R220" s="5">
        <f>AVERAGEIFS('Data Combined - all-runs'!$R:$R, 'Data Combined - all-runs'!$A:$A, A220,'Data Combined - all-runs'!$B:$B, B220,'Data Combined - all-runs'!$C:$C, C220, 'Data Combined - all-runs'!$D:$D, D220, 'Data Combined - all-runs'!$E:$E, E220)</f>
        <v>149.125</v>
      </c>
      <c r="S220" s="5">
        <f>AVERAGEIFS('Data Combined - all-runs'!$S:$S, 'Data Combined - all-runs'!$A:$A, A220,'Data Combined - all-runs'!$B:$B, B220,'Data Combined - all-runs'!$C:$C, C220, 'Data Combined - all-runs'!$D:$D, D220, 'Data Combined - all-runs'!$E:$E, E220)</f>
        <v>0</v>
      </c>
      <c r="T220" s="5" t="str">
        <f>AVERAGEIFS('Data Combined - all-runs'!$T:$T, 'Data Combined - all-runs'!$A:$A, A220,'Data Combined - all-runs'!$B:$B, B220,'Data Combined - all-runs'!$C:$C, C220, 'Data Combined - all-runs'!$D:$D, D220, 'Data Combined - all-runs'!$E:$E, E220)</f>
        <v>#DIV/0!</v>
      </c>
      <c r="U220" s="5" t="b">
        <f t="shared" si="1"/>
        <v>1</v>
      </c>
      <c r="V220" s="5" t="b">
        <f t="shared" si="2"/>
        <v>1</v>
      </c>
      <c r="W220" s="5" t="b">
        <f t="shared" si="3"/>
        <v>1</v>
      </c>
    </row>
    <row r="221">
      <c r="A221" s="2" t="s">
        <v>460</v>
      </c>
      <c r="B221" s="2" t="s">
        <v>114</v>
      </c>
      <c r="C221" s="2" t="s">
        <v>23</v>
      </c>
      <c r="D221" s="2" t="s">
        <v>24</v>
      </c>
      <c r="E221" s="2" t="s">
        <v>34</v>
      </c>
      <c r="H221" s="5">
        <f>AVERAGEIFS('Data Combined - all-runs'!$H:$H, 'Data Combined - all-runs'!$A:$A, A221,'Data Combined - all-runs'!$B:$B, B221,'Data Combined - all-runs'!$C:$C, C221, 'Data Combined - all-runs'!$D:$D, D221, 'Data Combined - all-runs'!$E:$E, E221)</f>
        <v>1501</v>
      </c>
      <c r="I221" s="5" t="str">
        <f>AVERAGEIFS('Data Combined - all-runs'!$I:$I, 'Data Combined - all-runs'!$A:$A, A221,'Data Combined - all-runs'!$B:$B, B221,'Data Combined - all-runs'!$C:$C, C221, 'Data Combined - all-runs'!$D:$D, D221, 'Data Combined - all-runs'!$E:$E, E221)</f>
        <v>#DIV/0!</v>
      </c>
      <c r="J221" s="5">
        <f>AVERAGEIFS('Data Combined - all-runs'!$J:$J, 'Data Combined - all-runs'!$A:$A, A221,'Data Combined - all-runs'!$B:$B, B221,'Data Combined - all-runs'!$C:$C, C221, 'Data Combined - all-runs'!$D:$D, D221, 'Data Combined - all-runs'!$E:$E, E221)</f>
        <v>0</v>
      </c>
      <c r="K221" s="5">
        <f>AVERAGEIFS('Data Combined - all-runs'!$K:$K, 'Data Combined - all-runs'!$A:$A, A221,'Data Combined - all-runs'!$B:$B, B221,'Data Combined - all-runs'!$C:$C, C221, 'Data Combined - all-runs'!$D:$D, D221, 'Data Combined - all-runs'!$E:$E, E221)</f>
        <v>0.5883333333</v>
      </c>
      <c r="L221" s="5">
        <f>AVERAGEIFS('Data Combined - all-runs'!$L:$L, 'Data Combined - all-runs'!$A:$A, A221,'Data Combined - all-runs'!$B:$B, B221,'Data Combined - all-runs'!$C:$C, C221, 'Data Combined - all-runs'!$D:$D, D221, 'Data Combined - all-runs'!$E:$E, E221)</f>
        <v>780.6168296</v>
      </c>
      <c r="M221" s="5">
        <f>AVERAGEIFS('Data Combined - all-runs'!$M:$M, 'Data Combined - all-runs'!$A:$A, A221,'Data Combined - all-runs'!$B:$B, B221,'Data Combined - all-runs'!$C:$C, C221, 'Data Combined - all-runs'!$D:$D, D221, 'Data Combined - all-runs'!$E:$E, E221)</f>
        <v>92</v>
      </c>
      <c r="N221" s="5">
        <f>AVERAGEIFS('Data Combined - all-runs'!$N:$N, 'Data Combined - all-runs'!$A:$A, A221,'Data Combined - all-runs'!$B:$B, B221,'Data Combined - all-runs'!$C:$C, C221, 'Data Combined - all-runs'!$D:$D, D221, 'Data Combined - all-runs'!$E:$E, E221)</f>
        <v>2</v>
      </c>
      <c r="O221" s="5">
        <f>AVERAGEIFS('Data Combined - all-runs'!$O:$O, 'Data Combined - all-runs'!$A:$A, A221,'Data Combined - all-runs'!$B:$B, B221,'Data Combined - all-runs'!$C:$C, C221, 'Data Combined - all-runs'!$D:$D, D221, 'Data Combined - all-runs'!$E:$E, E221)</f>
        <v>600</v>
      </c>
      <c r="P221" s="5">
        <f>AVERAGEIFS('Data Combined - all-runs'!$P:$P, 'Data Combined - all-runs'!$A:$A, A221,'Data Combined - all-runs'!$B:$B, B221,'Data Combined - all-runs'!$C:$C, C221, 'Data Combined - all-runs'!$D:$D, D221, 'Data Combined - all-runs'!$E:$E, E221)</f>
        <v>3.333333333</v>
      </c>
      <c r="Q221" s="5">
        <f>AVERAGEIFS('Data Combined - all-runs'!$Q:$Q, 'Data Combined - all-runs'!$A:$A, A221,'Data Combined - all-runs'!$B:$B, B221,'Data Combined - all-runs'!$C:$C, C221, 'Data Combined - all-runs'!$D:$D, D221, 'Data Combined - all-runs'!$E:$E, E221)</f>
        <v>2501.666667</v>
      </c>
      <c r="R221" s="5">
        <f>AVERAGEIFS('Data Combined - all-runs'!$R:$R, 'Data Combined - all-runs'!$A:$A, A221,'Data Combined - all-runs'!$B:$B, B221,'Data Combined - all-runs'!$C:$C, C221, 'Data Combined - all-runs'!$D:$D, D221, 'Data Combined - all-runs'!$E:$E, E221)</f>
        <v>750.5</v>
      </c>
      <c r="S221" s="5">
        <f>AVERAGEIFS('Data Combined - all-runs'!$S:$S, 'Data Combined - all-runs'!$A:$A, A221,'Data Combined - all-runs'!$B:$B, B221,'Data Combined - all-runs'!$C:$C, C221, 'Data Combined - all-runs'!$D:$D, D221, 'Data Combined - all-runs'!$E:$E, E221)</f>
        <v>0</v>
      </c>
      <c r="T221" s="5" t="str">
        <f>AVERAGEIFS('Data Combined - all-runs'!$T:$T, 'Data Combined - all-runs'!$A:$A, A221,'Data Combined - all-runs'!$B:$B, B221,'Data Combined - all-runs'!$C:$C, C221, 'Data Combined - all-runs'!$D:$D, D221, 'Data Combined - all-runs'!$E:$E, E221)</f>
        <v>#DIV/0!</v>
      </c>
      <c r="U221" s="5" t="b">
        <f t="shared" si="1"/>
        <v>1</v>
      </c>
      <c r="V221" s="5" t="b">
        <f t="shared" si="2"/>
        <v>1</v>
      </c>
      <c r="W221" s="5" t="b">
        <f t="shared" si="3"/>
        <v>1</v>
      </c>
    </row>
    <row r="222">
      <c r="A222" s="2" t="s">
        <v>460</v>
      </c>
      <c r="B222" s="2" t="s">
        <v>114</v>
      </c>
      <c r="C222" s="2" t="s">
        <v>23</v>
      </c>
      <c r="D222" s="2" t="s">
        <v>24</v>
      </c>
      <c r="E222" s="2" t="s">
        <v>47</v>
      </c>
      <c r="H222" s="5">
        <f>AVERAGEIFS('Data Combined - all-runs'!$H:$H, 'Data Combined - all-runs'!$A:$A, A222,'Data Combined - all-runs'!$B:$B, B222,'Data Combined - all-runs'!$C:$C, C222, 'Data Combined - all-runs'!$D:$D, D222, 'Data Combined - all-runs'!$E:$E, E222)</f>
        <v>2183</v>
      </c>
      <c r="I222" s="5" t="str">
        <f>AVERAGEIFS('Data Combined - all-runs'!$I:$I, 'Data Combined - all-runs'!$A:$A, A222,'Data Combined - all-runs'!$B:$B, B222,'Data Combined - all-runs'!$C:$C, C222, 'Data Combined - all-runs'!$D:$D, D222, 'Data Combined - all-runs'!$E:$E, E222)</f>
        <v>#DIV/0!</v>
      </c>
      <c r="J222" s="5">
        <f>AVERAGEIFS('Data Combined - all-runs'!$J:$J, 'Data Combined - all-runs'!$A:$A, A222,'Data Combined - all-runs'!$B:$B, B222,'Data Combined - all-runs'!$C:$C, C222, 'Data Combined - all-runs'!$D:$D, D222, 'Data Combined - all-runs'!$E:$E, E222)</f>
        <v>0</v>
      </c>
      <c r="K222" s="5">
        <f>AVERAGEIFS('Data Combined - all-runs'!$K:$K, 'Data Combined - all-runs'!$A:$A, A222,'Data Combined - all-runs'!$B:$B, B222,'Data Combined - all-runs'!$C:$C, C222, 'Data Combined - all-runs'!$D:$D, D222, 'Data Combined - all-runs'!$E:$E, E222)</f>
        <v>0.01742788462</v>
      </c>
      <c r="L222" s="5">
        <f>AVERAGEIFS('Data Combined - all-runs'!$L:$L, 'Data Combined - all-runs'!$A:$A, A222,'Data Combined - all-runs'!$B:$B, B222,'Data Combined - all-runs'!$C:$C, C222, 'Data Combined - all-runs'!$D:$D, D222, 'Data Combined - all-runs'!$E:$E, E222)</f>
        <v>4342.594775</v>
      </c>
      <c r="M222" s="5">
        <f>AVERAGEIFS('Data Combined - all-runs'!$M:$M, 'Data Combined - all-runs'!$A:$A, A222,'Data Combined - all-runs'!$B:$B, B222,'Data Combined - all-runs'!$C:$C, C222, 'Data Combined - all-runs'!$D:$D, D222, 'Data Combined - all-runs'!$E:$E, E222)</f>
        <v>42</v>
      </c>
      <c r="N222" s="5">
        <f>AVERAGEIFS('Data Combined - all-runs'!$N:$N, 'Data Combined - all-runs'!$A:$A, A222,'Data Combined - all-runs'!$B:$B, B222,'Data Combined - all-runs'!$C:$C, C222, 'Data Combined - all-runs'!$D:$D, D222, 'Data Combined - all-runs'!$E:$E, E222)</f>
        <v>8</v>
      </c>
      <c r="O222" s="5">
        <f>AVERAGEIFS('Data Combined - all-runs'!$O:$O, 'Data Combined - all-runs'!$A:$A, A222,'Data Combined - all-runs'!$B:$B, B222,'Data Combined - all-runs'!$C:$C, C222, 'Data Combined - all-runs'!$D:$D, D222, 'Data Combined - all-runs'!$E:$E, E222)</f>
        <v>832</v>
      </c>
      <c r="P222" s="5">
        <f>AVERAGEIFS('Data Combined - all-runs'!$P:$P, 'Data Combined - all-runs'!$A:$A, A222,'Data Combined - all-runs'!$B:$B, B222,'Data Combined - all-runs'!$C:$C, C222, 'Data Combined - all-runs'!$D:$D, D222, 'Data Combined - all-runs'!$E:$E, E222)</f>
        <v>9.615384615</v>
      </c>
      <c r="Q222" s="5">
        <f>AVERAGEIFS('Data Combined - all-runs'!$Q:$Q, 'Data Combined - all-runs'!$A:$A, A222,'Data Combined - all-runs'!$B:$B, B222,'Data Combined - all-runs'!$C:$C, C222, 'Data Combined - all-runs'!$D:$D, D222, 'Data Combined - all-runs'!$E:$E, E222)</f>
        <v>2623.798077</v>
      </c>
      <c r="R222" s="5">
        <f>AVERAGEIFS('Data Combined - all-runs'!$R:$R, 'Data Combined - all-runs'!$A:$A, A222,'Data Combined - all-runs'!$B:$B, B222,'Data Combined - all-runs'!$C:$C, C222, 'Data Combined - all-runs'!$D:$D, D222, 'Data Combined - all-runs'!$E:$E, E222)</f>
        <v>272.875</v>
      </c>
      <c r="S222" s="5">
        <f>AVERAGEIFS('Data Combined - all-runs'!$S:$S, 'Data Combined - all-runs'!$A:$A, A222,'Data Combined - all-runs'!$B:$B, B222,'Data Combined - all-runs'!$C:$C, C222, 'Data Combined - all-runs'!$D:$D, D222, 'Data Combined - all-runs'!$E:$E, E222)</f>
        <v>0</v>
      </c>
      <c r="T222" s="5" t="str">
        <f>AVERAGEIFS('Data Combined - all-runs'!$T:$T, 'Data Combined - all-runs'!$A:$A, A222,'Data Combined - all-runs'!$B:$B, B222,'Data Combined - all-runs'!$C:$C, C222, 'Data Combined - all-runs'!$D:$D, D222, 'Data Combined - all-runs'!$E:$E, E222)</f>
        <v>#DIV/0!</v>
      </c>
      <c r="U222" s="5" t="b">
        <f t="shared" si="1"/>
        <v>1</v>
      </c>
      <c r="V222" s="5" t="b">
        <f t="shared" si="2"/>
        <v>1</v>
      </c>
      <c r="W222" s="5" t="b">
        <f t="shared" si="3"/>
        <v>1</v>
      </c>
    </row>
    <row r="223">
      <c r="A223" s="2" t="s">
        <v>460</v>
      </c>
      <c r="B223" s="2" t="s">
        <v>114</v>
      </c>
      <c r="C223" s="2" t="s">
        <v>23</v>
      </c>
      <c r="D223" s="2" t="s">
        <v>24</v>
      </c>
      <c r="E223" s="2" t="s">
        <v>51</v>
      </c>
      <c r="H223" s="5">
        <f>AVERAGEIFS('Data Combined - all-runs'!$H:$H, 'Data Combined - all-runs'!$A:$A, A223,'Data Combined - all-runs'!$B:$B, B223,'Data Combined - all-runs'!$C:$C, C223, 'Data Combined - all-runs'!$D:$D, D223, 'Data Combined - all-runs'!$E:$E, E223)</f>
        <v>2724</v>
      </c>
      <c r="I223" s="5" t="str">
        <f>AVERAGEIFS('Data Combined - all-runs'!$I:$I, 'Data Combined - all-runs'!$A:$A, A223,'Data Combined - all-runs'!$B:$B, B223,'Data Combined - all-runs'!$C:$C, C223, 'Data Combined - all-runs'!$D:$D, D223, 'Data Combined - all-runs'!$E:$E, E223)</f>
        <v>#DIV/0!</v>
      </c>
      <c r="J223" s="5">
        <f>AVERAGEIFS('Data Combined - all-runs'!$J:$J, 'Data Combined - all-runs'!$A:$A, A223,'Data Combined - all-runs'!$B:$B, B223,'Data Combined - all-runs'!$C:$C, C223, 'Data Combined - all-runs'!$D:$D, D223, 'Data Combined - all-runs'!$E:$E, E223)</f>
        <v>0</v>
      </c>
      <c r="K223" s="5">
        <f>AVERAGEIFS('Data Combined - all-runs'!$K:$K, 'Data Combined - all-runs'!$A:$A, A223,'Data Combined - all-runs'!$B:$B, B223,'Data Combined - all-runs'!$C:$C, C223, 'Data Combined - all-runs'!$D:$D, D223, 'Data Combined - all-runs'!$E:$E, E223)</f>
        <v>0.2410714286</v>
      </c>
      <c r="L223" s="5">
        <f>AVERAGEIFS('Data Combined - all-runs'!$L:$L, 'Data Combined - all-runs'!$A:$A, A223,'Data Combined - all-runs'!$B:$B, B223,'Data Combined - all-runs'!$C:$C, C223, 'Data Combined - all-runs'!$D:$D, D223, 'Data Combined - all-runs'!$E:$E, E223)</f>
        <v>2852.631385</v>
      </c>
      <c r="M223" s="5">
        <f>AVERAGEIFS('Data Combined - all-runs'!$M:$M, 'Data Combined - all-runs'!$A:$A, A223,'Data Combined - all-runs'!$B:$B, B223,'Data Combined - all-runs'!$C:$C, C223, 'Data Combined - all-runs'!$D:$D, D223, 'Data Combined - all-runs'!$E:$E, E223)</f>
        <v>75</v>
      </c>
      <c r="N223" s="5">
        <f>AVERAGEIFS('Data Combined - all-runs'!$N:$N, 'Data Combined - all-runs'!$A:$A, A223,'Data Combined - all-runs'!$B:$B, B223,'Data Combined - all-runs'!$C:$C, C223, 'Data Combined - all-runs'!$D:$D, D223, 'Data Combined - all-runs'!$E:$E, E223)</f>
        <v>9</v>
      </c>
      <c r="O223" s="5">
        <f>AVERAGEIFS('Data Combined - all-runs'!$O:$O, 'Data Combined - all-runs'!$A:$A, A223,'Data Combined - all-runs'!$B:$B, B223,'Data Combined - all-runs'!$C:$C, C223, 'Data Combined - all-runs'!$D:$D, D223, 'Data Combined - all-runs'!$E:$E, E223)</f>
        <v>910</v>
      </c>
      <c r="P223" s="5">
        <f>AVERAGEIFS('Data Combined - all-runs'!$P:$P, 'Data Combined - all-runs'!$A:$A, A223,'Data Combined - all-runs'!$B:$B, B223,'Data Combined - all-runs'!$C:$C, C223, 'Data Combined - all-runs'!$D:$D, D223, 'Data Combined - all-runs'!$E:$E, E223)</f>
        <v>9.89010989</v>
      </c>
      <c r="Q223" s="5">
        <f>AVERAGEIFS('Data Combined - all-runs'!$Q:$Q, 'Data Combined - all-runs'!$A:$A, A223,'Data Combined - all-runs'!$B:$B, B223,'Data Combined - all-runs'!$C:$C, C223, 'Data Combined - all-runs'!$D:$D, D223, 'Data Combined - all-runs'!$E:$E, E223)</f>
        <v>2993.406593</v>
      </c>
      <c r="R223" s="5">
        <f>AVERAGEIFS('Data Combined - all-runs'!$R:$R, 'Data Combined - all-runs'!$A:$A, A223,'Data Combined - all-runs'!$B:$B, B223,'Data Combined - all-runs'!$C:$C, C223, 'Data Combined - all-runs'!$D:$D, D223, 'Data Combined - all-runs'!$E:$E, E223)</f>
        <v>302.6666667</v>
      </c>
      <c r="S223" s="5">
        <f>AVERAGEIFS('Data Combined - all-runs'!$S:$S, 'Data Combined - all-runs'!$A:$A, A223,'Data Combined - all-runs'!$B:$B, B223,'Data Combined - all-runs'!$C:$C, C223, 'Data Combined - all-runs'!$D:$D, D223, 'Data Combined - all-runs'!$E:$E, E223)</f>
        <v>0</v>
      </c>
      <c r="T223" s="5" t="str">
        <f>AVERAGEIFS('Data Combined - all-runs'!$T:$T, 'Data Combined - all-runs'!$A:$A, A223,'Data Combined - all-runs'!$B:$B, B223,'Data Combined - all-runs'!$C:$C, C223, 'Data Combined - all-runs'!$D:$D, D223, 'Data Combined - all-runs'!$E:$E, E223)</f>
        <v>#DIV/0!</v>
      </c>
      <c r="U223" s="5" t="b">
        <f t="shared" si="1"/>
        <v>1</v>
      </c>
      <c r="V223" s="5" t="b">
        <f t="shared" si="2"/>
        <v>1</v>
      </c>
      <c r="W223" s="5" t="b">
        <f t="shared" si="3"/>
        <v>1</v>
      </c>
    </row>
    <row r="224">
      <c r="A224" s="2" t="s">
        <v>460</v>
      </c>
      <c r="B224" s="2" t="s">
        <v>114</v>
      </c>
      <c r="C224" s="2" t="s">
        <v>23</v>
      </c>
      <c r="D224" s="2" t="s">
        <v>54</v>
      </c>
      <c r="E224" s="2" t="s">
        <v>25</v>
      </c>
      <c r="H224" s="5">
        <f>AVERAGEIFS('Data Combined - all-runs'!$H:$H, 'Data Combined - all-runs'!$A:$A, A224,'Data Combined - all-runs'!$B:$B, B224,'Data Combined - all-runs'!$C:$C, C224, 'Data Combined - all-runs'!$D:$D, D224, 'Data Combined - all-runs'!$E:$E, E224)</f>
        <v>608</v>
      </c>
      <c r="I224" s="5" t="str">
        <f>AVERAGEIFS('Data Combined - all-runs'!$I:$I, 'Data Combined - all-runs'!$A:$A, A224,'Data Combined - all-runs'!$B:$B, B224,'Data Combined - all-runs'!$C:$C, C224, 'Data Combined - all-runs'!$D:$D, D224, 'Data Combined - all-runs'!$E:$E, E224)</f>
        <v>#DIV/0!</v>
      </c>
      <c r="J224" s="5">
        <f>AVERAGEIFS('Data Combined - all-runs'!$J:$J, 'Data Combined - all-runs'!$A:$A, A224,'Data Combined - all-runs'!$B:$B, B224,'Data Combined - all-runs'!$C:$C, C224, 'Data Combined - all-runs'!$D:$D, D224, 'Data Combined - all-runs'!$E:$E, E224)</f>
        <v>0</v>
      </c>
      <c r="K224" s="5">
        <f>AVERAGEIFS('Data Combined - all-runs'!$K:$K, 'Data Combined - all-runs'!$A:$A, A224,'Data Combined - all-runs'!$B:$B, B224,'Data Combined - all-runs'!$C:$C, C224, 'Data Combined - all-runs'!$D:$D, D224, 'Data Combined - all-runs'!$E:$E, E224)</f>
        <v>0.1469194313</v>
      </c>
      <c r="L224" s="5">
        <f>AVERAGEIFS('Data Combined - all-runs'!$L:$L, 'Data Combined - all-runs'!$A:$A, A224,'Data Combined - all-runs'!$B:$B, B224,'Data Combined - all-runs'!$C:$C, C224, 'Data Combined - all-runs'!$D:$D, D224, 'Data Combined - all-runs'!$E:$E, E224)</f>
        <v>949.7546473</v>
      </c>
      <c r="M224" s="5">
        <f>AVERAGEIFS('Data Combined - all-runs'!$M:$M, 'Data Combined - all-runs'!$A:$A, A224,'Data Combined - all-runs'!$B:$B, B224,'Data Combined - all-runs'!$C:$C, C224, 'Data Combined - all-runs'!$D:$D, D224, 'Data Combined - all-runs'!$E:$E, E224)</f>
        <v>37</v>
      </c>
      <c r="N224" s="5">
        <f>AVERAGEIFS('Data Combined - all-runs'!$N:$N, 'Data Combined - all-runs'!$A:$A, A224,'Data Combined - all-runs'!$B:$B, B224,'Data Combined - all-runs'!$C:$C, C224, 'Data Combined - all-runs'!$D:$D, D224, 'Data Combined - all-runs'!$E:$E, E224)</f>
        <v>2</v>
      </c>
      <c r="O224" s="5">
        <f>AVERAGEIFS('Data Combined - all-runs'!$O:$O, 'Data Combined - all-runs'!$A:$A, A224,'Data Combined - all-runs'!$B:$B, B224,'Data Combined - all-runs'!$C:$C, C224, 'Data Combined - all-runs'!$D:$D, D224, 'Data Combined - all-runs'!$E:$E, E224)</f>
        <v>633</v>
      </c>
      <c r="P224" s="5">
        <f>AVERAGEIFS('Data Combined - all-runs'!$P:$P, 'Data Combined - all-runs'!$A:$A, A224,'Data Combined - all-runs'!$B:$B, B224,'Data Combined - all-runs'!$C:$C, C224, 'Data Combined - all-runs'!$D:$D, D224, 'Data Combined - all-runs'!$E:$E, E224)</f>
        <v>3.159557662</v>
      </c>
      <c r="Q224" s="5">
        <f>AVERAGEIFS('Data Combined - all-runs'!$Q:$Q, 'Data Combined - all-runs'!$A:$A, A224,'Data Combined - all-runs'!$B:$B, B224,'Data Combined - all-runs'!$C:$C, C224, 'Data Combined - all-runs'!$D:$D, D224, 'Data Combined - all-runs'!$E:$E, E224)</f>
        <v>960.5055292</v>
      </c>
      <c r="R224" s="5">
        <f>AVERAGEIFS('Data Combined - all-runs'!$R:$R, 'Data Combined - all-runs'!$A:$A, A224,'Data Combined - all-runs'!$B:$B, B224,'Data Combined - all-runs'!$C:$C, C224, 'Data Combined - all-runs'!$D:$D, D224, 'Data Combined - all-runs'!$E:$E, E224)</f>
        <v>304</v>
      </c>
      <c r="S224" s="5">
        <f>AVERAGEIFS('Data Combined - all-runs'!$S:$S, 'Data Combined - all-runs'!$A:$A, A224,'Data Combined - all-runs'!$B:$B, B224,'Data Combined - all-runs'!$C:$C, C224, 'Data Combined - all-runs'!$D:$D, D224, 'Data Combined - all-runs'!$E:$E, E224)</f>
        <v>0</v>
      </c>
      <c r="T224" s="5" t="str">
        <f>AVERAGEIFS('Data Combined - all-runs'!$T:$T, 'Data Combined - all-runs'!$A:$A, A224,'Data Combined - all-runs'!$B:$B, B224,'Data Combined - all-runs'!$C:$C, C224, 'Data Combined - all-runs'!$D:$D, D224, 'Data Combined - all-runs'!$E:$E, E224)</f>
        <v>#DIV/0!</v>
      </c>
      <c r="U224" s="5" t="b">
        <f t="shared" si="1"/>
        <v>1</v>
      </c>
      <c r="V224" s="5" t="b">
        <f t="shared" si="2"/>
        <v>1</v>
      </c>
      <c r="W224" s="5" t="b">
        <f t="shared" si="3"/>
        <v>1</v>
      </c>
    </row>
    <row r="225">
      <c r="A225" s="2" t="s">
        <v>460</v>
      </c>
      <c r="B225" s="2" t="s">
        <v>114</v>
      </c>
      <c r="C225" s="2" t="s">
        <v>23</v>
      </c>
      <c r="D225" s="2" t="s">
        <v>54</v>
      </c>
      <c r="E225" s="2" t="s">
        <v>39</v>
      </c>
      <c r="H225" s="5">
        <f>AVERAGEIFS('Data Combined - all-runs'!$H:$H, 'Data Combined - all-runs'!$A:$A, A225,'Data Combined - all-runs'!$B:$B, B225,'Data Combined - all-runs'!$C:$C, C225, 'Data Combined - all-runs'!$D:$D, D225, 'Data Combined - all-runs'!$E:$E, E225)</f>
        <v>3149</v>
      </c>
      <c r="I225" s="5" t="str">
        <f>AVERAGEIFS('Data Combined - all-runs'!$I:$I, 'Data Combined - all-runs'!$A:$A, A225,'Data Combined - all-runs'!$B:$B, B225,'Data Combined - all-runs'!$C:$C, C225, 'Data Combined - all-runs'!$D:$D, D225, 'Data Combined - all-runs'!$E:$E, E225)</f>
        <v>#DIV/0!</v>
      </c>
      <c r="J225" s="5">
        <f>AVERAGEIFS('Data Combined - all-runs'!$J:$J, 'Data Combined - all-runs'!$A:$A, A225,'Data Combined - all-runs'!$B:$B, B225,'Data Combined - all-runs'!$C:$C, C225, 'Data Combined - all-runs'!$D:$D, D225, 'Data Combined - all-runs'!$E:$E, E225)</f>
        <v>0</v>
      </c>
      <c r="K225" s="5">
        <f>AVERAGEIFS('Data Combined - all-runs'!$K:$K, 'Data Combined - all-runs'!$A:$A, A225,'Data Combined - all-runs'!$B:$B, B225,'Data Combined - all-runs'!$C:$C, C225, 'Data Combined - all-runs'!$D:$D, D225, 'Data Combined - all-runs'!$E:$E, E225)</f>
        <v>0.1831103679</v>
      </c>
      <c r="L225" s="5">
        <f>AVERAGEIFS('Data Combined - all-runs'!$L:$L, 'Data Combined - all-runs'!$A:$A, A225,'Data Combined - all-runs'!$B:$B, B225,'Data Combined - all-runs'!$C:$C, C225, 'Data Combined - all-runs'!$D:$D, D225, 'Data Combined - all-runs'!$E:$E, E225)</f>
        <v>6082.928661</v>
      </c>
      <c r="M225" s="5">
        <f>AVERAGEIFS('Data Combined - all-runs'!$M:$M, 'Data Combined - all-runs'!$A:$A, A225,'Data Combined - all-runs'!$B:$B, B225,'Data Combined - all-runs'!$C:$C, C225, 'Data Combined - all-runs'!$D:$D, D225, 'Data Combined - all-runs'!$E:$E, E225)</f>
        <v>70</v>
      </c>
      <c r="N225" s="5">
        <f>AVERAGEIFS('Data Combined - all-runs'!$N:$N, 'Data Combined - all-runs'!$A:$A, A225,'Data Combined - all-runs'!$B:$B, B225,'Data Combined - all-runs'!$C:$C, C225, 'Data Combined - all-runs'!$D:$D, D225, 'Data Combined - all-runs'!$E:$E, E225)</f>
        <v>18</v>
      </c>
      <c r="O225" s="5">
        <f>AVERAGEIFS('Data Combined - all-runs'!$O:$O, 'Data Combined - all-runs'!$A:$A, A225,'Data Combined - all-runs'!$B:$B, B225,'Data Combined - all-runs'!$C:$C, C225, 'Data Combined - all-runs'!$D:$D, D225, 'Data Combined - all-runs'!$E:$E, E225)</f>
        <v>2691</v>
      </c>
      <c r="P225" s="5">
        <f>AVERAGEIFS('Data Combined - all-runs'!$P:$P, 'Data Combined - all-runs'!$A:$A, A225,'Data Combined - all-runs'!$B:$B, B225,'Data Combined - all-runs'!$C:$C, C225, 'Data Combined - all-runs'!$D:$D, D225, 'Data Combined - all-runs'!$E:$E, E225)</f>
        <v>6.688963211</v>
      </c>
      <c r="Q225" s="5">
        <f>AVERAGEIFS('Data Combined - all-runs'!$Q:$Q, 'Data Combined - all-runs'!$A:$A, A225,'Data Combined - all-runs'!$B:$B, B225,'Data Combined - all-runs'!$C:$C, C225, 'Data Combined - all-runs'!$D:$D, D225, 'Data Combined - all-runs'!$E:$E, E225)</f>
        <v>1170.196953</v>
      </c>
      <c r="R225" s="5">
        <f>AVERAGEIFS('Data Combined - all-runs'!$R:$R, 'Data Combined - all-runs'!$A:$A, A225,'Data Combined - all-runs'!$B:$B, B225,'Data Combined - all-runs'!$C:$C, C225, 'Data Combined - all-runs'!$D:$D, D225, 'Data Combined - all-runs'!$E:$E, E225)</f>
        <v>174.9444444</v>
      </c>
      <c r="S225" s="5">
        <f>AVERAGEIFS('Data Combined - all-runs'!$S:$S, 'Data Combined - all-runs'!$A:$A, A225,'Data Combined - all-runs'!$B:$B, B225,'Data Combined - all-runs'!$C:$C, C225, 'Data Combined - all-runs'!$D:$D, D225, 'Data Combined - all-runs'!$E:$E, E225)</f>
        <v>0</v>
      </c>
      <c r="T225" s="5" t="str">
        <f>AVERAGEIFS('Data Combined - all-runs'!$T:$T, 'Data Combined - all-runs'!$A:$A, A225,'Data Combined - all-runs'!$B:$B, B225,'Data Combined - all-runs'!$C:$C, C225, 'Data Combined - all-runs'!$D:$D, D225, 'Data Combined - all-runs'!$E:$E, E225)</f>
        <v>#DIV/0!</v>
      </c>
      <c r="U225" s="5" t="b">
        <f t="shared" si="1"/>
        <v>1</v>
      </c>
      <c r="V225" s="5" t="b">
        <f t="shared" si="2"/>
        <v>1</v>
      </c>
      <c r="W225" s="5" t="b">
        <f t="shared" si="3"/>
        <v>1</v>
      </c>
    </row>
    <row r="226">
      <c r="A226" s="2" t="s">
        <v>460</v>
      </c>
      <c r="B226" s="2" t="s">
        <v>114</v>
      </c>
      <c r="C226" s="2" t="s">
        <v>23</v>
      </c>
      <c r="D226" s="2" t="s">
        <v>54</v>
      </c>
      <c r="E226" s="2" t="s">
        <v>43</v>
      </c>
      <c r="H226" s="5">
        <f>AVERAGEIFS('Data Combined - all-runs'!$H:$H, 'Data Combined - all-runs'!$A:$A, A226,'Data Combined - all-runs'!$B:$B, B226,'Data Combined - all-runs'!$C:$C, C226, 'Data Combined - all-runs'!$D:$D, D226, 'Data Combined - all-runs'!$E:$E, E226)</f>
        <v>2361</v>
      </c>
      <c r="I226" s="5" t="str">
        <f>AVERAGEIFS('Data Combined - all-runs'!$I:$I, 'Data Combined - all-runs'!$A:$A, A226,'Data Combined - all-runs'!$B:$B, B226,'Data Combined - all-runs'!$C:$C, C226, 'Data Combined - all-runs'!$D:$D, D226, 'Data Combined - all-runs'!$E:$E, E226)</f>
        <v>#DIV/0!</v>
      </c>
      <c r="J226" s="5">
        <f>AVERAGEIFS('Data Combined - all-runs'!$J:$J, 'Data Combined - all-runs'!$A:$A, A226,'Data Combined - all-runs'!$B:$B, B226,'Data Combined - all-runs'!$C:$C, C226, 'Data Combined - all-runs'!$D:$D, D226, 'Data Combined - all-runs'!$E:$E, E226)</f>
        <v>0</v>
      </c>
      <c r="K226" s="5">
        <f>AVERAGEIFS('Data Combined - all-runs'!$K:$K, 'Data Combined - all-runs'!$A:$A, A226,'Data Combined - all-runs'!$B:$B, B226,'Data Combined - all-runs'!$C:$C, C226, 'Data Combined - all-runs'!$D:$D, D226, 'Data Combined - all-runs'!$E:$E, E226)</f>
        <v>0.136778563</v>
      </c>
      <c r="L226" s="5">
        <f>AVERAGEIFS('Data Combined - all-runs'!$L:$L, 'Data Combined - all-runs'!$A:$A, A226,'Data Combined - all-runs'!$B:$B, B226,'Data Combined - all-runs'!$C:$C, C226, 'Data Combined - all-runs'!$D:$D, D226, 'Data Combined - all-runs'!$E:$E, E226)</f>
        <v>5052.746801</v>
      </c>
      <c r="M226" s="5">
        <f>AVERAGEIFS('Data Combined - all-runs'!$M:$M, 'Data Combined - all-runs'!$A:$A, A226,'Data Combined - all-runs'!$B:$B, B226,'Data Combined - all-runs'!$C:$C, C226, 'Data Combined - all-runs'!$D:$D, D226, 'Data Combined - all-runs'!$E:$E, E226)</f>
        <v>31</v>
      </c>
      <c r="N226" s="5">
        <f>AVERAGEIFS('Data Combined - all-runs'!$N:$N, 'Data Combined - all-runs'!$A:$A, A226,'Data Combined - all-runs'!$B:$B, B226,'Data Combined - all-runs'!$C:$C, C226, 'Data Combined - all-runs'!$D:$D, D226, 'Data Combined - all-runs'!$E:$E, E226)</f>
        <v>20</v>
      </c>
      <c r="O226" s="5">
        <f>AVERAGEIFS('Data Combined - all-runs'!$O:$O, 'Data Combined - all-runs'!$A:$A, A226,'Data Combined - all-runs'!$B:$B, B226,'Data Combined - all-runs'!$C:$C, C226, 'Data Combined - all-runs'!$D:$D, D226, 'Data Combined - all-runs'!$E:$E, E226)</f>
        <v>1132</v>
      </c>
      <c r="P226" s="5">
        <f>AVERAGEIFS('Data Combined - all-runs'!$P:$P, 'Data Combined - all-runs'!$A:$A, A226,'Data Combined - all-runs'!$B:$B, B226,'Data Combined - all-runs'!$C:$C, C226, 'Data Combined - all-runs'!$D:$D, D226, 'Data Combined - all-runs'!$E:$E, E226)</f>
        <v>17.66784452</v>
      </c>
      <c r="Q226" s="5">
        <f>AVERAGEIFS('Data Combined - all-runs'!$Q:$Q, 'Data Combined - all-runs'!$A:$A, A226,'Data Combined - all-runs'!$B:$B, B226,'Data Combined - all-runs'!$C:$C, C226, 'Data Combined - all-runs'!$D:$D, D226, 'Data Combined - all-runs'!$E:$E, E226)</f>
        <v>2085.689046</v>
      </c>
      <c r="R226" s="5">
        <f>AVERAGEIFS('Data Combined - all-runs'!$R:$R, 'Data Combined - all-runs'!$A:$A, A226,'Data Combined - all-runs'!$B:$B, B226,'Data Combined - all-runs'!$C:$C, C226, 'Data Combined - all-runs'!$D:$D, D226, 'Data Combined - all-runs'!$E:$E, E226)</f>
        <v>118.05</v>
      </c>
      <c r="S226" s="5">
        <f>AVERAGEIFS('Data Combined - all-runs'!$S:$S, 'Data Combined - all-runs'!$A:$A, A226,'Data Combined - all-runs'!$B:$B, B226,'Data Combined - all-runs'!$C:$C, C226, 'Data Combined - all-runs'!$D:$D, D226, 'Data Combined - all-runs'!$E:$E, E226)</f>
        <v>0</v>
      </c>
      <c r="T226" s="5" t="str">
        <f>AVERAGEIFS('Data Combined - all-runs'!$T:$T, 'Data Combined - all-runs'!$A:$A, A226,'Data Combined - all-runs'!$B:$B, B226,'Data Combined - all-runs'!$C:$C, C226, 'Data Combined - all-runs'!$D:$D, D226, 'Data Combined - all-runs'!$E:$E, E226)</f>
        <v>#DIV/0!</v>
      </c>
      <c r="U226" s="5" t="b">
        <f t="shared" si="1"/>
        <v>1</v>
      </c>
      <c r="V226" s="5" t="b">
        <f t="shared" si="2"/>
        <v>1</v>
      </c>
      <c r="W226" s="5" t="b">
        <f t="shared" si="3"/>
        <v>1</v>
      </c>
    </row>
    <row r="227">
      <c r="A227" s="2" t="s">
        <v>460</v>
      </c>
      <c r="B227" s="2" t="s">
        <v>114</v>
      </c>
      <c r="C227" s="2" t="s">
        <v>23</v>
      </c>
      <c r="D227" s="2" t="s">
        <v>54</v>
      </c>
      <c r="E227" s="2" t="s">
        <v>34</v>
      </c>
      <c r="H227" s="5">
        <f>AVERAGEIFS('Data Combined - all-runs'!$H:$H, 'Data Combined - all-runs'!$A:$A, A227,'Data Combined - all-runs'!$B:$B, B227,'Data Combined - all-runs'!$C:$C, C227, 'Data Combined - all-runs'!$D:$D, D227, 'Data Combined - all-runs'!$E:$E, E227)</f>
        <v>5124</v>
      </c>
      <c r="I227" s="5" t="str">
        <f>AVERAGEIFS('Data Combined - all-runs'!$I:$I, 'Data Combined - all-runs'!$A:$A, A227,'Data Combined - all-runs'!$B:$B, B227,'Data Combined - all-runs'!$C:$C, C227, 'Data Combined - all-runs'!$D:$D, D227, 'Data Combined - all-runs'!$E:$E, E227)</f>
        <v>#DIV/0!</v>
      </c>
      <c r="J227" s="5">
        <f>AVERAGEIFS('Data Combined - all-runs'!$J:$J, 'Data Combined - all-runs'!$A:$A, A227,'Data Combined - all-runs'!$B:$B, B227,'Data Combined - all-runs'!$C:$C, C227, 'Data Combined - all-runs'!$D:$D, D227, 'Data Combined - all-runs'!$E:$E, E227)</f>
        <v>0</v>
      </c>
      <c r="K227" s="5">
        <f>AVERAGEIFS('Data Combined - all-runs'!$K:$K, 'Data Combined - all-runs'!$A:$A, A227,'Data Combined - all-runs'!$B:$B, B227,'Data Combined - all-runs'!$C:$C, C227, 'Data Combined - all-runs'!$D:$D, D227, 'Data Combined - all-runs'!$E:$E, E227)</f>
        <v>0.1560587515</v>
      </c>
      <c r="L227" s="5">
        <f>AVERAGEIFS('Data Combined - all-runs'!$L:$L, 'Data Combined - all-runs'!$A:$A, A227,'Data Combined - all-runs'!$B:$B, B227,'Data Combined - all-runs'!$C:$C, C227, 'Data Combined - all-runs'!$D:$D, D227, 'Data Combined - all-runs'!$E:$E, E227)</f>
        <v>10955.8554</v>
      </c>
      <c r="M227" s="5">
        <f>AVERAGEIFS('Data Combined - all-runs'!$M:$M, 'Data Combined - all-runs'!$A:$A, A227,'Data Combined - all-runs'!$B:$B, B227,'Data Combined - all-runs'!$C:$C, C227, 'Data Combined - all-runs'!$D:$D, D227, 'Data Combined - all-runs'!$E:$E, E227)</f>
        <v>213</v>
      </c>
      <c r="N227" s="5">
        <f>AVERAGEIFS('Data Combined - all-runs'!$N:$N, 'Data Combined - all-runs'!$A:$A, A227,'Data Combined - all-runs'!$B:$B, B227,'Data Combined - all-runs'!$C:$C, C227, 'Data Combined - all-runs'!$D:$D, D227, 'Data Combined - all-runs'!$E:$E, E227)</f>
        <v>18</v>
      </c>
      <c r="O227" s="5">
        <f>AVERAGEIFS('Data Combined - all-runs'!$O:$O, 'Data Combined - all-runs'!$A:$A, A227,'Data Combined - all-runs'!$B:$B, B227,'Data Combined - all-runs'!$C:$C, C227, 'Data Combined - all-runs'!$D:$D, D227, 'Data Combined - all-runs'!$E:$E, E227)</f>
        <v>2451</v>
      </c>
      <c r="P227" s="5">
        <f>AVERAGEIFS('Data Combined - all-runs'!$P:$P, 'Data Combined - all-runs'!$A:$A, A227,'Data Combined - all-runs'!$B:$B, B227,'Data Combined - all-runs'!$C:$C, C227, 'Data Combined - all-runs'!$D:$D, D227, 'Data Combined - all-runs'!$E:$E, E227)</f>
        <v>7.343941248</v>
      </c>
      <c r="Q227" s="5">
        <f>AVERAGEIFS('Data Combined - all-runs'!$Q:$Q, 'Data Combined - all-runs'!$A:$A, A227,'Data Combined - all-runs'!$B:$B, B227,'Data Combined - all-runs'!$C:$C, C227, 'Data Combined - all-runs'!$D:$D, D227, 'Data Combined - all-runs'!$E:$E, E227)</f>
        <v>2090.575275</v>
      </c>
      <c r="R227" s="5">
        <f>AVERAGEIFS('Data Combined - all-runs'!$R:$R, 'Data Combined - all-runs'!$A:$A, A227,'Data Combined - all-runs'!$B:$B, B227,'Data Combined - all-runs'!$C:$C, C227, 'Data Combined - all-runs'!$D:$D, D227, 'Data Combined - all-runs'!$E:$E, E227)</f>
        <v>284.6666667</v>
      </c>
      <c r="S227" s="5">
        <f>AVERAGEIFS('Data Combined - all-runs'!$S:$S, 'Data Combined - all-runs'!$A:$A, A227,'Data Combined - all-runs'!$B:$B, B227,'Data Combined - all-runs'!$C:$C, C227, 'Data Combined - all-runs'!$D:$D, D227, 'Data Combined - all-runs'!$E:$E, E227)</f>
        <v>0</v>
      </c>
      <c r="T227" s="5" t="str">
        <f>AVERAGEIFS('Data Combined - all-runs'!$T:$T, 'Data Combined - all-runs'!$A:$A, A227,'Data Combined - all-runs'!$B:$B, B227,'Data Combined - all-runs'!$C:$C, C227, 'Data Combined - all-runs'!$D:$D, D227, 'Data Combined - all-runs'!$E:$E, E227)</f>
        <v>#DIV/0!</v>
      </c>
      <c r="U227" s="5" t="b">
        <f t="shared" si="1"/>
        <v>1</v>
      </c>
      <c r="V227" s="5" t="b">
        <f t="shared" si="2"/>
        <v>1</v>
      </c>
      <c r="W227" s="5" t="b">
        <f t="shared" si="3"/>
        <v>1</v>
      </c>
    </row>
    <row r="228">
      <c r="A228" s="2" t="s">
        <v>460</v>
      </c>
      <c r="B228" s="2" t="s">
        <v>114</v>
      </c>
      <c r="C228" s="2" t="s">
        <v>23</v>
      </c>
      <c r="D228" s="2" t="s">
        <v>54</v>
      </c>
      <c r="E228" s="2" t="s">
        <v>47</v>
      </c>
      <c r="H228" s="5">
        <f>AVERAGEIFS('Data Combined - all-runs'!$H:$H, 'Data Combined - all-runs'!$A:$A, A228,'Data Combined - all-runs'!$B:$B, B228,'Data Combined - all-runs'!$C:$C, C228, 'Data Combined - all-runs'!$D:$D, D228, 'Data Combined - all-runs'!$E:$E, E228)</f>
        <v>4317</v>
      </c>
      <c r="I228" s="5" t="str">
        <f>AVERAGEIFS('Data Combined - all-runs'!$I:$I, 'Data Combined - all-runs'!$A:$A, A228,'Data Combined - all-runs'!$B:$B, B228,'Data Combined - all-runs'!$C:$C, C228, 'Data Combined - all-runs'!$D:$D, D228, 'Data Combined - all-runs'!$E:$E, E228)</f>
        <v>#DIV/0!</v>
      </c>
      <c r="J228" s="5">
        <f>AVERAGEIFS('Data Combined - all-runs'!$J:$J, 'Data Combined - all-runs'!$A:$A, A228,'Data Combined - all-runs'!$B:$B, B228,'Data Combined - all-runs'!$C:$C, C228, 'Data Combined - all-runs'!$D:$D, D228, 'Data Combined - all-runs'!$E:$E, E228)</f>
        <v>0</v>
      </c>
      <c r="K228" s="5">
        <f>AVERAGEIFS('Data Combined - all-runs'!$K:$K, 'Data Combined - all-runs'!$A:$A, A228,'Data Combined - all-runs'!$B:$B, B228,'Data Combined - all-runs'!$C:$C, C228, 'Data Combined - all-runs'!$D:$D, D228, 'Data Combined - all-runs'!$E:$E, E228)</f>
        <v>0.1444954128</v>
      </c>
      <c r="L228" s="5">
        <f>AVERAGEIFS('Data Combined - all-runs'!$L:$L, 'Data Combined - all-runs'!$A:$A, A228,'Data Combined - all-runs'!$B:$B, B228,'Data Combined - all-runs'!$C:$C, C228, 'Data Combined - all-runs'!$D:$D, D228, 'Data Combined - all-runs'!$E:$E, E228)</f>
        <v>12397.29609</v>
      </c>
      <c r="M228" s="5">
        <f>AVERAGEIFS('Data Combined - all-runs'!$M:$M, 'Data Combined - all-runs'!$A:$A, A228,'Data Combined - all-runs'!$B:$B, B228,'Data Combined - all-runs'!$C:$C, C228, 'Data Combined - all-runs'!$D:$D, D228, 'Data Combined - all-runs'!$E:$E, E228)</f>
        <v>113</v>
      </c>
      <c r="N228" s="5">
        <f>AVERAGEIFS('Data Combined - all-runs'!$N:$N, 'Data Combined - all-runs'!$A:$A, A228,'Data Combined - all-runs'!$B:$B, B228,'Data Combined - all-runs'!$C:$C, C228, 'Data Combined - all-runs'!$D:$D, D228, 'Data Combined - all-runs'!$E:$E, E228)</f>
        <v>20</v>
      </c>
      <c r="O228" s="5">
        <f>AVERAGEIFS('Data Combined - all-runs'!$O:$O, 'Data Combined - all-runs'!$A:$A, A228,'Data Combined - all-runs'!$B:$B, B228,'Data Combined - all-runs'!$C:$C, C228, 'Data Combined - all-runs'!$D:$D, D228, 'Data Combined - all-runs'!$E:$E, E228)</f>
        <v>1526</v>
      </c>
      <c r="P228" s="5">
        <f>AVERAGEIFS('Data Combined - all-runs'!$P:$P, 'Data Combined - all-runs'!$A:$A, A228,'Data Combined - all-runs'!$B:$B, B228,'Data Combined - all-runs'!$C:$C, C228, 'Data Combined - all-runs'!$D:$D, D228, 'Data Combined - all-runs'!$E:$E, E228)</f>
        <v>13.1061599</v>
      </c>
      <c r="Q228" s="5">
        <f>AVERAGEIFS('Data Combined - all-runs'!$Q:$Q, 'Data Combined - all-runs'!$A:$A, A228,'Data Combined - all-runs'!$B:$B, B228,'Data Combined - all-runs'!$C:$C, C228, 'Data Combined - all-runs'!$D:$D, D228, 'Data Combined - all-runs'!$E:$E, E228)</f>
        <v>2828.964613</v>
      </c>
      <c r="R228" s="5">
        <f>AVERAGEIFS('Data Combined - all-runs'!$R:$R, 'Data Combined - all-runs'!$A:$A, A228,'Data Combined - all-runs'!$B:$B, B228,'Data Combined - all-runs'!$C:$C, C228, 'Data Combined - all-runs'!$D:$D, D228, 'Data Combined - all-runs'!$E:$E, E228)</f>
        <v>215.85</v>
      </c>
      <c r="S228" s="5">
        <f>AVERAGEIFS('Data Combined - all-runs'!$S:$S, 'Data Combined - all-runs'!$A:$A, A228,'Data Combined - all-runs'!$B:$B, B228,'Data Combined - all-runs'!$C:$C, C228, 'Data Combined - all-runs'!$D:$D, D228, 'Data Combined - all-runs'!$E:$E, E228)</f>
        <v>0</v>
      </c>
      <c r="T228" s="5" t="str">
        <f>AVERAGEIFS('Data Combined - all-runs'!$T:$T, 'Data Combined - all-runs'!$A:$A, A228,'Data Combined - all-runs'!$B:$B, B228,'Data Combined - all-runs'!$C:$C, C228, 'Data Combined - all-runs'!$D:$D, D228, 'Data Combined - all-runs'!$E:$E, E228)</f>
        <v>#DIV/0!</v>
      </c>
      <c r="U228" s="5" t="b">
        <f t="shared" si="1"/>
        <v>1</v>
      </c>
      <c r="V228" s="5" t="b">
        <f t="shared" si="2"/>
        <v>1</v>
      </c>
      <c r="W228" s="5" t="b">
        <f t="shared" si="3"/>
        <v>1</v>
      </c>
    </row>
    <row r="229">
      <c r="A229" s="2" t="s">
        <v>460</v>
      </c>
      <c r="B229" s="2" t="s">
        <v>114</v>
      </c>
      <c r="C229" s="2" t="s">
        <v>23</v>
      </c>
      <c r="D229" s="2" t="s">
        <v>54</v>
      </c>
      <c r="E229" s="2" t="s">
        <v>51</v>
      </c>
      <c r="H229" s="5">
        <f>AVERAGEIFS('Data Combined - all-runs'!$H:$H, 'Data Combined - all-runs'!$A:$A, A229,'Data Combined - all-runs'!$B:$B, B229,'Data Combined - all-runs'!$C:$C, C229, 'Data Combined - all-runs'!$D:$D, D229, 'Data Combined - all-runs'!$E:$E, E229)</f>
        <v>2767</v>
      </c>
      <c r="I229" s="5" t="str">
        <f>AVERAGEIFS('Data Combined - all-runs'!$I:$I, 'Data Combined - all-runs'!$A:$A, A229,'Data Combined - all-runs'!$B:$B, B229,'Data Combined - all-runs'!$C:$C, C229, 'Data Combined - all-runs'!$D:$D, D229, 'Data Combined - all-runs'!$E:$E, E229)</f>
        <v>#DIV/0!</v>
      </c>
      <c r="J229" s="5">
        <f>AVERAGEIFS('Data Combined - all-runs'!$J:$J, 'Data Combined - all-runs'!$A:$A, A229,'Data Combined - all-runs'!$B:$B, B229,'Data Combined - all-runs'!$C:$C, C229, 'Data Combined - all-runs'!$D:$D, D229, 'Data Combined - all-runs'!$E:$E, E229)</f>
        <v>0</v>
      </c>
      <c r="K229" s="5">
        <f>AVERAGEIFS('Data Combined - all-runs'!$K:$K, 'Data Combined - all-runs'!$A:$A, A229,'Data Combined - all-runs'!$B:$B, B229,'Data Combined - all-runs'!$C:$C, C229, 'Data Combined - all-runs'!$D:$D, D229, 'Data Combined - all-runs'!$E:$E, E229)</f>
        <v>0.09688049209</v>
      </c>
      <c r="L229" s="5">
        <f>AVERAGEIFS('Data Combined - all-runs'!$L:$L, 'Data Combined - all-runs'!$A:$A, A229,'Data Combined - all-runs'!$B:$B, B229,'Data Combined - all-runs'!$C:$C, C229, 'Data Combined - all-runs'!$D:$D, D229, 'Data Combined - all-runs'!$E:$E, E229)</f>
        <v>7524.440546</v>
      </c>
      <c r="M229" s="5">
        <f>AVERAGEIFS('Data Combined - all-runs'!$M:$M, 'Data Combined - all-runs'!$A:$A, A229,'Data Combined - all-runs'!$B:$B, B229,'Data Combined - all-runs'!$C:$C, C229, 'Data Combined - all-runs'!$D:$D, D229, 'Data Combined - all-runs'!$E:$E, E229)</f>
        <v>45</v>
      </c>
      <c r="N229" s="5">
        <f>AVERAGEIFS('Data Combined - all-runs'!$N:$N, 'Data Combined - all-runs'!$A:$A, A229,'Data Combined - all-runs'!$B:$B, B229,'Data Combined - all-runs'!$C:$C, C229, 'Data Combined - all-runs'!$D:$D, D229, 'Data Combined - all-runs'!$E:$E, E229)</f>
        <v>20</v>
      </c>
      <c r="O229" s="5">
        <f>AVERAGEIFS('Data Combined - all-runs'!$O:$O, 'Data Combined - all-runs'!$A:$A, A229,'Data Combined - all-runs'!$B:$B, B229,'Data Combined - all-runs'!$C:$C, C229, 'Data Combined - all-runs'!$D:$D, D229, 'Data Combined - all-runs'!$E:$E, E229)</f>
        <v>1138</v>
      </c>
      <c r="P229" s="5">
        <f>AVERAGEIFS('Data Combined - all-runs'!$P:$P, 'Data Combined - all-runs'!$A:$A, A229,'Data Combined - all-runs'!$B:$B, B229,'Data Combined - all-runs'!$C:$C, C229, 'Data Combined - all-runs'!$D:$D, D229, 'Data Combined - all-runs'!$E:$E, E229)</f>
        <v>17.57469244</v>
      </c>
      <c r="Q229" s="5">
        <f>AVERAGEIFS('Data Combined - all-runs'!$Q:$Q, 'Data Combined - all-runs'!$A:$A, A229,'Data Combined - all-runs'!$B:$B, B229,'Data Combined - all-runs'!$C:$C, C229, 'Data Combined - all-runs'!$D:$D, D229, 'Data Combined - all-runs'!$E:$E, E229)</f>
        <v>2431.458699</v>
      </c>
      <c r="R229" s="5">
        <f>AVERAGEIFS('Data Combined - all-runs'!$R:$R, 'Data Combined - all-runs'!$A:$A, A229,'Data Combined - all-runs'!$B:$B, B229,'Data Combined - all-runs'!$C:$C, C229, 'Data Combined - all-runs'!$D:$D, D229, 'Data Combined - all-runs'!$E:$E, E229)</f>
        <v>138.35</v>
      </c>
      <c r="S229" s="5">
        <f>AVERAGEIFS('Data Combined - all-runs'!$S:$S, 'Data Combined - all-runs'!$A:$A, A229,'Data Combined - all-runs'!$B:$B, B229,'Data Combined - all-runs'!$C:$C, C229, 'Data Combined - all-runs'!$D:$D, D229, 'Data Combined - all-runs'!$E:$E, E229)</f>
        <v>0</v>
      </c>
      <c r="T229" s="5" t="str">
        <f>AVERAGEIFS('Data Combined - all-runs'!$T:$T, 'Data Combined - all-runs'!$A:$A, A229,'Data Combined - all-runs'!$B:$B, B229,'Data Combined - all-runs'!$C:$C, C229, 'Data Combined - all-runs'!$D:$D, D229, 'Data Combined - all-runs'!$E:$E, E229)</f>
        <v>#DIV/0!</v>
      </c>
      <c r="U229" s="5" t="b">
        <f t="shared" si="1"/>
        <v>1</v>
      </c>
      <c r="V229" s="5" t="b">
        <f t="shared" si="2"/>
        <v>1</v>
      </c>
      <c r="W229" s="5" t="b">
        <f t="shared" si="3"/>
        <v>1</v>
      </c>
    </row>
    <row r="230">
      <c r="A230" s="2" t="s">
        <v>460</v>
      </c>
      <c r="B230" s="2" t="s">
        <v>114</v>
      </c>
      <c r="C230" s="2" t="s">
        <v>23</v>
      </c>
      <c r="D230" s="2" t="s">
        <v>72</v>
      </c>
      <c r="E230" s="2" t="s">
        <v>25</v>
      </c>
      <c r="H230" s="5">
        <f>AVERAGEIFS('Data Combined - all-runs'!$H:$H, 'Data Combined - all-runs'!$A:$A, A230,'Data Combined - all-runs'!$B:$B, B230,'Data Combined - all-runs'!$C:$C, C230, 'Data Combined - all-runs'!$D:$D, D230, 'Data Combined - all-runs'!$E:$E, E230)</f>
        <v>795</v>
      </c>
      <c r="I230" s="5" t="str">
        <f>AVERAGEIFS('Data Combined - all-runs'!$I:$I, 'Data Combined - all-runs'!$A:$A, A230,'Data Combined - all-runs'!$B:$B, B230,'Data Combined - all-runs'!$C:$C, C230, 'Data Combined - all-runs'!$D:$D, D230, 'Data Combined - all-runs'!$E:$E, E230)</f>
        <v>#DIV/0!</v>
      </c>
      <c r="J230" s="5">
        <f>AVERAGEIFS('Data Combined - all-runs'!$J:$J, 'Data Combined - all-runs'!$A:$A, A230,'Data Combined - all-runs'!$B:$B, B230,'Data Combined - all-runs'!$C:$C, C230, 'Data Combined - all-runs'!$D:$D, D230, 'Data Combined - all-runs'!$E:$E, E230)</f>
        <v>349</v>
      </c>
      <c r="K230" s="5">
        <f>AVERAGEIFS('Data Combined - all-runs'!$K:$K, 'Data Combined - all-runs'!$A:$A, A230,'Data Combined - all-runs'!$B:$B, B230,'Data Combined - all-runs'!$C:$C, C230, 'Data Combined - all-runs'!$D:$D, D230, 'Data Combined - all-runs'!$E:$E, E230)</f>
        <v>0.3553546592</v>
      </c>
      <c r="L230" s="5">
        <f>AVERAGEIFS('Data Combined - all-runs'!$L:$L, 'Data Combined - all-runs'!$A:$A, A230,'Data Combined - all-runs'!$B:$B, B230,'Data Combined - all-runs'!$C:$C, C230, 'Data Combined - all-runs'!$D:$D, D230, 'Data Combined - all-runs'!$E:$E, E230)</f>
        <v>27629.12422</v>
      </c>
      <c r="M230" s="5">
        <f>AVERAGEIFS('Data Combined - all-runs'!$M:$M, 'Data Combined - all-runs'!$A:$A, A230,'Data Combined - all-runs'!$B:$B, B230,'Data Combined - all-runs'!$C:$C, C230, 'Data Combined - all-runs'!$D:$D, D230, 'Data Combined - all-runs'!$E:$E, E230)</f>
        <v>40</v>
      </c>
      <c r="N230" s="5">
        <f>AVERAGEIFS('Data Combined - all-runs'!$N:$N, 'Data Combined - all-runs'!$A:$A, A230,'Data Combined - all-runs'!$B:$B, B230,'Data Combined - all-runs'!$C:$C, C230, 'Data Combined - all-runs'!$D:$D, D230, 'Data Combined - all-runs'!$E:$E, E230)</f>
        <v>3</v>
      </c>
      <c r="O230" s="5">
        <f>AVERAGEIFS('Data Combined - all-runs'!$O:$O, 'Data Combined - all-runs'!$A:$A, A230,'Data Combined - all-runs'!$B:$B, B230,'Data Combined - all-runs'!$C:$C, C230, 'Data Combined - all-runs'!$D:$D, D230, 'Data Combined - all-runs'!$E:$E, E230)</f>
        <v>719</v>
      </c>
      <c r="P230" s="5">
        <f>AVERAGEIFS('Data Combined - all-runs'!$P:$P, 'Data Combined - all-runs'!$A:$A, A230,'Data Combined - all-runs'!$B:$B, B230,'Data Combined - all-runs'!$C:$C, C230, 'Data Combined - all-runs'!$D:$D, D230, 'Data Combined - all-runs'!$E:$E, E230)</f>
        <v>4.172461752</v>
      </c>
      <c r="Q230" s="5">
        <f>AVERAGEIFS('Data Combined - all-runs'!$Q:$Q, 'Data Combined - all-runs'!$A:$A, A230,'Data Combined - all-runs'!$B:$B, B230,'Data Combined - all-runs'!$C:$C, C230, 'Data Combined - all-runs'!$D:$D, D230, 'Data Combined - all-runs'!$E:$E, E230)</f>
        <v>1105.702364</v>
      </c>
      <c r="R230" s="5">
        <f>AVERAGEIFS('Data Combined - all-runs'!$R:$R, 'Data Combined - all-runs'!$A:$A, A230,'Data Combined - all-runs'!$B:$B, B230,'Data Combined - all-runs'!$C:$C, C230, 'Data Combined - all-runs'!$D:$D, D230, 'Data Combined - all-runs'!$E:$E, E230)</f>
        <v>265</v>
      </c>
      <c r="S230" s="5">
        <f>AVERAGEIFS('Data Combined - all-runs'!$S:$S, 'Data Combined - all-runs'!$A:$A, A230,'Data Combined - all-runs'!$B:$B, B230,'Data Combined - all-runs'!$C:$C, C230, 'Data Combined - all-runs'!$D:$D, D230, 'Data Combined - all-runs'!$E:$E, E230)</f>
        <v>0.4389937107</v>
      </c>
      <c r="T230" s="5" t="str">
        <f>AVERAGEIFS('Data Combined - all-runs'!$T:$T, 'Data Combined - all-runs'!$A:$A, A230,'Data Combined - all-runs'!$B:$B, B230,'Data Combined - all-runs'!$C:$C, C230, 'Data Combined - all-runs'!$D:$D, D230, 'Data Combined - all-runs'!$E:$E, E230)</f>
        <v>#DIV/0!</v>
      </c>
      <c r="U230" s="5" t="b">
        <f t="shared" si="1"/>
        <v>1</v>
      </c>
      <c r="V230" s="5" t="b">
        <f t="shared" si="2"/>
        <v>1</v>
      </c>
      <c r="W230" s="5" t="b">
        <f t="shared" si="3"/>
        <v>1</v>
      </c>
    </row>
    <row r="231">
      <c r="A231" s="2" t="s">
        <v>460</v>
      </c>
      <c r="B231" s="2" t="s">
        <v>114</v>
      </c>
      <c r="C231" s="2" t="s">
        <v>23</v>
      </c>
      <c r="D231" s="2" t="s">
        <v>72</v>
      </c>
      <c r="E231" s="2" t="s">
        <v>39</v>
      </c>
      <c r="H231" s="5">
        <f>AVERAGEIFS('Data Combined - all-runs'!$H:$H, 'Data Combined - all-runs'!$A:$A, A231,'Data Combined - all-runs'!$B:$B, B231,'Data Combined - all-runs'!$C:$C, C231, 'Data Combined - all-runs'!$D:$D, D231, 'Data Combined - all-runs'!$E:$E, E231)</f>
        <v>1207</v>
      </c>
      <c r="I231" s="5" t="str">
        <f>AVERAGEIFS('Data Combined - all-runs'!$I:$I, 'Data Combined - all-runs'!$A:$A, A231,'Data Combined - all-runs'!$B:$B, B231,'Data Combined - all-runs'!$C:$C, C231, 'Data Combined - all-runs'!$D:$D, D231, 'Data Combined - all-runs'!$E:$E, E231)</f>
        <v>#DIV/0!</v>
      </c>
      <c r="J231" s="5">
        <f>AVERAGEIFS('Data Combined - all-runs'!$J:$J, 'Data Combined - all-runs'!$A:$A, A231,'Data Combined - all-runs'!$B:$B, B231,'Data Combined - all-runs'!$C:$C, C231, 'Data Combined - all-runs'!$D:$D, D231, 'Data Combined - all-runs'!$E:$E, E231)</f>
        <v>0</v>
      </c>
      <c r="K231" s="5">
        <f>AVERAGEIFS('Data Combined - all-runs'!$K:$K, 'Data Combined - all-runs'!$A:$A, A231,'Data Combined - all-runs'!$B:$B, B231,'Data Combined - all-runs'!$C:$C, C231, 'Data Combined - all-runs'!$D:$D, D231, 'Data Combined - all-runs'!$E:$E, E231)</f>
        <v>0.2142307692</v>
      </c>
      <c r="L231" s="5">
        <f>AVERAGEIFS('Data Combined - all-runs'!$L:$L, 'Data Combined - all-runs'!$A:$A, A231,'Data Combined - all-runs'!$B:$B, B231,'Data Combined - all-runs'!$C:$C, C231, 'Data Combined - all-runs'!$D:$D, D231, 'Data Combined - all-runs'!$E:$E, E231)</f>
        <v>1723.261642</v>
      </c>
      <c r="M231" s="5">
        <f>AVERAGEIFS('Data Combined - all-runs'!$M:$M, 'Data Combined - all-runs'!$A:$A, A231,'Data Combined - all-runs'!$B:$B, B231,'Data Combined - all-runs'!$C:$C, C231, 'Data Combined - all-runs'!$D:$D, D231, 'Data Combined - all-runs'!$E:$E, E231)</f>
        <v>39</v>
      </c>
      <c r="N231" s="5">
        <f>AVERAGEIFS('Data Combined - all-runs'!$N:$N, 'Data Combined - all-runs'!$A:$A, A231,'Data Combined - all-runs'!$B:$B, B231,'Data Combined - all-runs'!$C:$C, C231, 'Data Combined - all-runs'!$D:$D, D231, 'Data Combined - all-runs'!$E:$E, E231)</f>
        <v>3</v>
      </c>
      <c r="O231" s="5">
        <f>AVERAGEIFS('Data Combined - all-runs'!$O:$O, 'Data Combined - all-runs'!$A:$A, A231,'Data Combined - all-runs'!$B:$B, B231,'Data Combined - all-runs'!$C:$C, C231, 'Data Combined - all-runs'!$D:$D, D231, 'Data Combined - all-runs'!$E:$E, E231)</f>
        <v>650</v>
      </c>
      <c r="P231" s="5">
        <f>AVERAGEIFS('Data Combined - all-runs'!$P:$P, 'Data Combined - all-runs'!$A:$A, A231,'Data Combined - all-runs'!$B:$B, B231,'Data Combined - all-runs'!$C:$C, C231, 'Data Combined - all-runs'!$D:$D, D231, 'Data Combined - all-runs'!$E:$E, E231)</f>
        <v>4.615384615</v>
      </c>
      <c r="Q231" s="5">
        <f>AVERAGEIFS('Data Combined - all-runs'!$Q:$Q, 'Data Combined - all-runs'!$A:$A, A231,'Data Combined - all-runs'!$B:$B, B231,'Data Combined - all-runs'!$C:$C, C231, 'Data Combined - all-runs'!$D:$D, D231, 'Data Combined - all-runs'!$E:$E, E231)</f>
        <v>1856.923077</v>
      </c>
      <c r="R231" s="5">
        <f>AVERAGEIFS('Data Combined - all-runs'!$R:$R, 'Data Combined - all-runs'!$A:$A, A231,'Data Combined - all-runs'!$B:$B, B231,'Data Combined - all-runs'!$C:$C, C231, 'Data Combined - all-runs'!$D:$D, D231, 'Data Combined - all-runs'!$E:$E, E231)</f>
        <v>402.3333333</v>
      </c>
      <c r="S231" s="5">
        <f>AVERAGEIFS('Data Combined - all-runs'!$S:$S, 'Data Combined - all-runs'!$A:$A, A231,'Data Combined - all-runs'!$B:$B, B231,'Data Combined - all-runs'!$C:$C, C231, 'Data Combined - all-runs'!$D:$D, D231, 'Data Combined - all-runs'!$E:$E, E231)</f>
        <v>0</v>
      </c>
      <c r="T231" s="5" t="str">
        <f>AVERAGEIFS('Data Combined - all-runs'!$T:$T, 'Data Combined - all-runs'!$A:$A, A231,'Data Combined - all-runs'!$B:$B, B231,'Data Combined - all-runs'!$C:$C, C231, 'Data Combined - all-runs'!$D:$D, D231, 'Data Combined - all-runs'!$E:$E, E231)</f>
        <v>#DIV/0!</v>
      </c>
      <c r="U231" s="5" t="b">
        <f t="shared" si="1"/>
        <v>1</v>
      </c>
      <c r="V231" s="5" t="b">
        <f t="shared" si="2"/>
        <v>1</v>
      </c>
      <c r="W231" s="5" t="b">
        <f t="shared" si="3"/>
        <v>1</v>
      </c>
    </row>
    <row r="232">
      <c r="A232" s="2" t="s">
        <v>460</v>
      </c>
      <c r="B232" s="2" t="s">
        <v>114</v>
      </c>
      <c r="C232" s="2" t="s">
        <v>23</v>
      </c>
      <c r="D232" s="2" t="s">
        <v>72</v>
      </c>
      <c r="E232" s="2" t="s">
        <v>43</v>
      </c>
      <c r="H232" s="5">
        <f>AVERAGEIFS('Data Combined - all-runs'!$H:$H, 'Data Combined - all-runs'!$A:$A, A232,'Data Combined - all-runs'!$B:$B, B232,'Data Combined - all-runs'!$C:$C, C232, 'Data Combined - all-runs'!$D:$D, D232, 'Data Combined - all-runs'!$E:$E, E232)</f>
        <v>3185</v>
      </c>
      <c r="I232" s="5" t="str">
        <f>AVERAGEIFS('Data Combined - all-runs'!$I:$I, 'Data Combined - all-runs'!$A:$A, A232,'Data Combined - all-runs'!$B:$B, B232,'Data Combined - all-runs'!$C:$C, C232, 'Data Combined - all-runs'!$D:$D, D232, 'Data Combined - all-runs'!$E:$E, E232)</f>
        <v>#DIV/0!</v>
      </c>
      <c r="J232" s="5">
        <f>AVERAGEIFS('Data Combined - all-runs'!$J:$J, 'Data Combined - all-runs'!$A:$A, A232,'Data Combined - all-runs'!$B:$B, B232,'Data Combined - all-runs'!$C:$C, C232, 'Data Combined - all-runs'!$D:$D, D232, 'Data Combined - all-runs'!$E:$E, E232)</f>
        <v>0</v>
      </c>
      <c r="K232" s="5">
        <f>AVERAGEIFS('Data Combined - all-runs'!$K:$K, 'Data Combined - all-runs'!$A:$A, A232,'Data Combined - all-runs'!$B:$B, B232,'Data Combined - all-runs'!$C:$C, C232, 'Data Combined - all-runs'!$D:$D, D232, 'Data Combined - all-runs'!$E:$E, E232)</f>
        <v>0.1686655245</v>
      </c>
      <c r="L232" s="5">
        <f>AVERAGEIFS('Data Combined - all-runs'!$L:$L, 'Data Combined - all-runs'!$A:$A, A232,'Data Combined - all-runs'!$B:$B, B232,'Data Combined - all-runs'!$C:$C, C232, 'Data Combined - all-runs'!$D:$D, D232, 'Data Combined - all-runs'!$E:$E, E232)</f>
        <v>5622.814742</v>
      </c>
      <c r="M232" s="5">
        <f>AVERAGEIFS('Data Combined - all-runs'!$M:$M, 'Data Combined - all-runs'!$A:$A, A232,'Data Combined - all-runs'!$B:$B, B232,'Data Combined - all-runs'!$C:$C, C232, 'Data Combined - all-runs'!$D:$D, D232, 'Data Combined - all-runs'!$E:$E, E232)</f>
        <v>41</v>
      </c>
      <c r="N232" s="5">
        <f>AVERAGEIFS('Data Combined - all-runs'!$N:$N, 'Data Combined - all-runs'!$A:$A, A232,'Data Combined - all-runs'!$B:$B, B232,'Data Combined - all-runs'!$C:$C, C232, 'Data Combined - all-runs'!$D:$D, D232, 'Data Combined - all-runs'!$E:$E, E232)</f>
        <v>19</v>
      </c>
      <c r="O232" s="5">
        <f>AVERAGEIFS('Data Combined - all-runs'!$O:$O, 'Data Combined - all-runs'!$A:$A, A232,'Data Combined - all-runs'!$B:$B, B232,'Data Combined - all-runs'!$C:$C, C232, 'Data Combined - all-runs'!$D:$D, D232, 'Data Combined - all-runs'!$E:$E, E232)</f>
        <v>1751</v>
      </c>
      <c r="P232" s="5">
        <f>AVERAGEIFS('Data Combined - all-runs'!$P:$P, 'Data Combined - all-runs'!$A:$A, A232,'Data Combined - all-runs'!$B:$B, B232,'Data Combined - all-runs'!$C:$C, C232, 'Data Combined - all-runs'!$D:$D, D232, 'Data Combined - all-runs'!$E:$E, E232)</f>
        <v>10.85094232</v>
      </c>
      <c r="Q232" s="5">
        <f>AVERAGEIFS('Data Combined - all-runs'!$Q:$Q, 'Data Combined - all-runs'!$A:$A, A232,'Data Combined - all-runs'!$B:$B, B232,'Data Combined - all-runs'!$C:$C, C232, 'Data Combined - all-runs'!$D:$D, D232, 'Data Combined - all-runs'!$E:$E, E232)</f>
        <v>1818.960594</v>
      </c>
      <c r="R232" s="5">
        <f>AVERAGEIFS('Data Combined - all-runs'!$R:$R, 'Data Combined - all-runs'!$A:$A, A232,'Data Combined - all-runs'!$B:$B, B232,'Data Combined - all-runs'!$C:$C, C232, 'Data Combined - all-runs'!$D:$D, D232, 'Data Combined - all-runs'!$E:$E, E232)</f>
        <v>167.6315789</v>
      </c>
      <c r="S232" s="5">
        <f>AVERAGEIFS('Data Combined - all-runs'!$S:$S, 'Data Combined - all-runs'!$A:$A, A232,'Data Combined - all-runs'!$B:$B, B232,'Data Combined - all-runs'!$C:$C, C232, 'Data Combined - all-runs'!$D:$D, D232, 'Data Combined - all-runs'!$E:$E, E232)</f>
        <v>0</v>
      </c>
      <c r="T232" s="5" t="str">
        <f>AVERAGEIFS('Data Combined - all-runs'!$T:$T, 'Data Combined - all-runs'!$A:$A, A232,'Data Combined - all-runs'!$B:$B, B232,'Data Combined - all-runs'!$C:$C, C232, 'Data Combined - all-runs'!$D:$D, D232, 'Data Combined - all-runs'!$E:$E, E232)</f>
        <v>#DIV/0!</v>
      </c>
      <c r="U232" s="5" t="b">
        <f t="shared" si="1"/>
        <v>1</v>
      </c>
      <c r="V232" s="5" t="b">
        <f t="shared" si="2"/>
        <v>1</v>
      </c>
      <c r="W232" s="5" t="b">
        <f t="shared" si="3"/>
        <v>1</v>
      </c>
    </row>
    <row r="233">
      <c r="A233" s="2" t="s">
        <v>460</v>
      </c>
      <c r="B233" s="2" t="s">
        <v>114</v>
      </c>
      <c r="C233" s="2" t="s">
        <v>23</v>
      </c>
      <c r="D233" s="2" t="s">
        <v>72</v>
      </c>
      <c r="E233" s="2" t="s">
        <v>34</v>
      </c>
      <c r="H233" s="5">
        <f>AVERAGEIFS('Data Combined - all-runs'!$H:$H, 'Data Combined - all-runs'!$A:$A, A233,'Data Combined - all-runs'!$B:$B, B233,'Data Combined - all-runs'!$C:$C, C233, 'Data Combined - all-runs'!$D:$D, D233, 'Data Combined - all-runs'!$E:$E, E233)</f>
        <v>3070</v>
      </c>
      <c r="I233" s="5" t="str">
        <f>AVERAGEIFS('Data Combined - all-runs'!$I:$I, 'Data Combined - all-runs'!$A:$A, A233,'Data Combined - all-runs'!$B:$B, B233,'Data Combined - all-runs'!$C:$C, C233, 'Data Combined - all-runs'!$D:$D, D233, 'Data Combined - all-runs'!$E:$E, E233)</f>
        <v>#DIV/0!</v>
      </c>
      <c r="J233" s="5">
        <f>AVERAGEIFS('Data Combined - all-runs'!$J:$J, 'Data Combined - all-runs'!$A:$A, A233,'Data Combined - all-runs'!$B:$B, B233,'Data Combined - all-runs'!$C:$C, C233, 'Data Combined - all-runs'!$D:$D, D233, 'Data Combined - all-runs'!$E:$E, E233)</f>
        <v>0</v>
      </c>
      <c r="K233" s="5">
        <f>AVERAGEIFS('Data Combined - all-runs'!$K:$K, 'Data Combined - all-runs'!$A:$A, A233,'Data Combined - all-runs'!$B:$B, B233,'Data Combined - all-runs'!$C:$C, C233, 'Data Combined - all-runs'!$D:$D, D233, 'Data Combined - all-runs'!$E:$E, E233)</f>
        <v>0.04028520499</v>
      </c>
      <c r="L233" s="5">
        <f>AVERAGEIFS('Data Combined - all-runs'!$L:$L, 'Data Combined - all-runs'!$A:$A, A233,'Data Combined - all-runs'!$B:$B, B233,'Data Combined - all-runs'!$C:$C, C233, 'Data Combined - all-runs'!$D:$D, D233, 'Data Combined - all-runs'!$E:$E, E233)</f>
        <v>6773.561353</v>
      </c>
      <c r="M233" s="5">
        <f>AVERAGEIFS('Data Combined - all-runs'!$M:$M, 'Data Combined - all-runs'!$A:$A, A233,'Data Combined - all-runs'!$B:$B, B233,'Data Combined - all-runs'!$C:$C, C233, 'Data Combined - all-runs'!$D:$D, D233, 'Data Combined - all-runs'!$E:$E, E233)</f>
        <v>24</v>
      </c>
      <c r="N233" s="5">
        <f>AVERAGEIFS('Data Combined - all-runs'!$N:$N, 'Data Combined - all-runs'!$A:$A, A233,'Data Combined - all-runs'!$B:$B, B233,'Data Combined - all-runs'!$C:$C, C233, 'Data Combined - all-runs'!$D:$D, D233, 'Data Combined - all-runs'!$E:$E, E233)</f>
        <v>8</v>
      </c>
      <c r="O233" s="5">
        <f>AVERAGEIFS('Data Combined - all-runs'!$O:$O, 'Data Combined - all-runs'!$A:$A, A233,'Data Combined - all-runs'!$B:$B, B233,'Data Combined - all-runs'!$C:$C, C233, 'Data Combined - all-runs'!$D:$D, D233, 'Data Combined - all-runs'!$E:$E, E233)</f>
        <v>935</v>
      </c>
      <c r="P233" s="5">
        <f>AVERAGEIFS('Data Combined - all-runs'!$P:$P, 'Data Combined - all-runs'!$A:$A, A233,'Data Combined - all-runs'!$B:$B, B233,'Data Combined - all-runs'!$C:$C, C233, 'Data Combined - all-runs'!$D:$D, D233, 'Data Combined - all-runs'!$E:$E, E233)</f>
        <v>8.556149733</v>
      </c>
      <c r="Q233" s="5">
        <f>AVERAGEIFS('Data Combined - all-runs'!$Q:$Q, 'Data Combined - all-runs'!$A:$A, A233,'Data Combined - all-runs'!$B:$B, B233,'Data Combined - all-runs'!$C:$C, C233, 'Data Combined - all-runs'!$D:$D, D233, 'Data Combined - all-runs'!$E:$E, E233)</f>
        <v>3283.42246</v>
      </c>
      <c r="R233" s="5">
        <f>AVERAGEIFS('Data Combined - all-runs'!$R:$R, 'Data Combined - all-runs'!$A:$A, A233,'Data Combined - all-runs'!$B:$B, B233,'Data Combined - all-runs'!$C:$C, C233, 'Data Combined - all-runs'!$D:$D, D233, 'Data Combined - all-runs'!$E:$E, E233)</f>
        <v>383.75</v>
      </c>
      <c r="S233" s="5">
        <f>AVERAGEIFS('Data Combined - all-runs'!$S:$S, 'Data Combined - all-runs'!$A:$A, A233,'Data Combined - all-runs'!$B:$B, B233,'Data Combined - all-runs'!$C:$C, C233, 'Data Combined - all-runs'!$D:$D, D233, 'Data Combined - all-runs'!$E:$E, E233)</f>
        <v>0</v>
      </c>
      <c r="T233" s="5" t="str">
        <f>AVERAGEIFS('Data Combined - all-runs'!$T:$T, 'Data Combined - all-runs'!$A:$A, A233,'Data Combined - all-runs'!$B:$B, B233,'Data Combined - all-runs'!$C:$C, C233, 'Data Combined - all-runs'!$D:$D, D233, 'Data Combined - all-runs'!$E:$E, E233)</f>
        <v>#DIV/0!</v>
      </c>
      <c r="U233" s="5" t="b">
        <f t="shared" si="1"/>
        <v>1</v>
      </c>
      <c r="V233" s="5" t="b">
        <f t="shared" si="2"/>
        <v>1</v>
      </c>
      <c r="W233" s="5" t="b">
        <f t="shared" si="3"/>
        <v>1</v>
      </c>
    </row>
    <row r="234">
      <c r="A234" s="2" t="s">
        <v>460</v>
      </c>
      <c r="B234" s="2" t="s">
        <v>114</v>
      </c>
      <c r="C234" s="2" t="s">
        <v>23</v>
      </c>
      <c r="D234" s="2" t="s">
        <v>72</v>
      </c>
      <c r="E234" s="2" t="s">
        <v>47</v>
      </c>
      <c r="H234" s="5">
        <f>AVERAGEIFS('Data Combined - all-runs'!$H:$H, 'Data Combined - all-runs'!$A:$A, A234,'Data Combined - all-runs'!$B:$B, B234,'Data Combined - all-runs'!$C:$C, C234, 'Data Combined - all-runs'!$D:$D, D234, 'Data Combined - all-runs'!$E:$E, E234)</f>
        <v>919</v>
      </c>
      <c r="I234" s="5" t="str">
        <f>AVERAGEIFS('Data Combined - all-runs'!$I:$I, 'Data Combined - all-runs'!$A:$A, A234,'Data Combined - all-runs'!$B:$B, B234,'Data Combined - all-runs'!$C:$C, C234, 'Data Combined - all-runs'!$D:$D, D234, 'Data Combined - all-runs'!$E:$E, E234)</f>
        <v>#DIV/0!</v>
      </c>
      <c r="J234" s="5">
        <f>AVERAGEIFS('Data Combined - all-runs'!$J:$J, 'Data Combined - all-runs'!$A:$A, A234,'Data Combined - all-runs'!$B:$B, B234,'Data Combined - all-runs'!$C:$C, C234, 'Data Combined - all-runs'!$D:$D, D234, 'Data Combined - all-runs'!$E:$E, E234)</f>
        <v>0</v>
      </c>
      <c r="K234" s="5">
        <f>AVERAGEIFS('Data Combined - all-runs'!$K:$K, 'Data Combined - all-runs'!$A:$A, A234,'Data Combined - all-runs'!$B:$B, B234,'Data Combined - all-runs'!$C:$C, C234, 'Data Combined - all-runs'!$D:$D, D234, 'Data Combined - all-runs'!$E:$E, E234)</f>
        <v>0.01700819672</v>
      </c>
      <c r="L234" s="5">
        <f>AVERAGEIFS('Data Combined - all-runs'!$L:$L, 'Data Combined - all-runs'!$A:$A, A234,'Data Combined - all-runs'!$B:$B, B234,'Data Combined - all-runs'!$C:$C, C234, 'Data Combined - all-runs'!$D:$D, D234, 'Data Combined - all-runs'!$E:$E, E234)</f>
        <v>3125.239847</v>
      </c>
      <c r="M234" s="5">
        <f>AVERAGEIFS('Data Combined - all-runs'!$M:$M, 'Data Combined - all-runs'!$A:$A, A234,'Data Combined - all-runs'!$B:$B, B234,'Data Combined - all-runs'!$C:$C, C234, 'Data Combined - all-runs'!$D:$D, D234, 'Data Combined - all-runs'!$E:$E, E234)</f>
        <v>46</v>
      </c>
      <c r="N234" s="5">
        <f>AVERAGEIFS('Data Combined - all-runs'!$N:$N, 'Data Combined - all-runs'!$A:$A, A234,'Data Combined - all-runs'!$B:$B, B234,'Data Combined - all-runs'!$C:$C, C234, 'Data Combined - all-runs'!$D:$D, D234, 'Data Combined - all-runs'!$E:$E, E234)</f>
        <v>4</v>
      </c>
      <c r="O234" s="5">
        <f>AVERAGEIFS('Data Combined - all-runs'!$O:$O, 'Data Combined - all-runs'!$A:$A, A234,'Data Combined - all-runs'!$B:$B, B234,'Data Combined - all-runs'!$C:$C, C234, 'Data Combined - all-runs'!$D:$D, D234, 'Data Combined - all-runs'!$E:$E, E234)</f>
        <v>610</v>
      </c>
      <c r="P234" s="5">
        <f>AVERAGEIFS('Data Combined - all-runs'!$P:$P, 'Data Combined - all-runs'!$A:$A, A234,'Data Combined - all-runs'!$B:$B, B234,'Data Combined - all-runs'!$C:$C, C234, 'Data Combined - all-runs'!$D:$D, D234, 'Data Combined - all-runs'!$E:$E, E234)</f>
        <v>6.557377049</v>
      </c>
      <c r="Q234" s="5">
        <f>AVERAGEIFS('Data Combined - all-runs'!$Q:$Q, 'Data Combined - all-runs'!$A:$A, A234,'Data Combined - all-runs'!$B:$B, B234,'Data Combined - all-runs'!$C:$C, C234, 'Data Combined - all-runs'!$D:$D, D234, 'Data Combined - all-runs'!$E:$E, E234)</f>
        <v>1506.557377</v>
      </c>
      <c r="R234" s="5">
        <f>AVERAGEIFS('Data Combined - all-runs'!$R:$R, 'Data Combined - all-runs'!$A:$A, A234,'Data Combined - all-runs'!$B:$B, B234,'Data Combined - all-runs'!$C:$C, C234, 'Data Combined - all-runs'!$D:$D, D234, 'Data Combined - all-runs'!$E:$E, E234)</f>
        <v>229.75</v>
      </c>
      <c r="S234" s="5">
        <f>AVERAGEIFS('Data Combined - all-runs'!$S:$S, 'Data Combined - all-runs'!$A:$A, A234,'Data Combined - all-runs'!$B:$B, B234,'Data Combined - all-runs'!$C:$C, C234, 'Data Combined - all-runs'!$D:$D, D234, 'Data Combined - all-runs'!$E:$E, E234)</f>
        <v>0</v>
      </c>
      <c r="T234" s="5" t="str">
        <f>AVERAGEIFS('Data Combined - all-runs'!$T:$T, 'Data Combined - all-runs'!$A:$A, A234,'Data Combined - all-runs'!$B:$B, B234,'Data Combined - all-runs'!$C:$C, C234, 'Data Combined - all-runs'!$D:$D, D234, 'Data Combined - all-runs'!$E:$E, E234)</f>
        <v>#DIV/0!</v>
      </c>
      <c r="U234" s="5" t="b">
        <f t="shared" si="1"/>
        <v>1</v>
      </c>
      <c r="V234" s="5" t="b">
        <f t="shared" si="2"/>
        <v>1</v>
      </c>
      <c r="W234" s="5" t="b">
        <f t="shared" si="3"/>
        <v>1</v>
      </c>
    </row>
    <row r="235">
      <c r="A235" s="2" t="s">
        <v>460</v>
      </c>
      <c r="B235" s="2" t="s">
        <v>114</v>
      </c>
      <c r="C235" s="2" t="s">
        <v>23</v>
      </c>
      <c r="D235" s="2" t="s">
        <v>72</v>
      </c>
      <c r="E235" s="2" t="s">
        <v>51</v>
      </c>
      <c r="H235" s="5">
        <f>AVERAGEIFS('Data Combined - all-runs'!$H:$H, 'Data Combined - all-runs'!$A:$A, A235,'Data Combined - all-runs'!$B:$B, B235,'Data Combined - all-runs'!$C:$C, C235, 'Data Combined - all-runs'!$D:$D, D235, 'Data Combined - all-runs'!$E:$E, E235)</f>
        <v>3259</v>
      </c>
      <c r="I235" s="5" t="str">
        <f>AVERAGEIFS('Data Combined - all-runs'!$I:$I, 'Data Combined - all-runs'!$A:$A, A235,'Data Combined - all-runs'!$B:$B, B235,'Data Combined - all-runs'!$C:$C, C235, 'Data Combined - all-runs'!$D:$D, D235, 'Data Combined - all-runs'!$E:$E, E235)</f>
        <v>#DIV/0!</v>
      </c>
      <c r="J235" s="5">
        <f>AVERAGEIFS('Data Combined - all-runs'!$J:$J, 'Data Combined - all-runs'!$A:$A, A235,'Data Combined - all-runs'!$B:$B, B235,'Data Combined - all-runs'!$C:$C, C235, 'Data Combined - all-runs'!$D:$D, D235, 'Data Combined - all-runs'!$E:$E, E235)</f>
        <v>16</v>
      </c>
      <c r="K235" s="5">
        <f>AVERAGEIFS('Data Combined - all-runs'!$K:$K, 'Data Combined - all-runs'!$A:$A, A235,'Data Combined - all-runs'!$B:$B, B235,'Data Combined - all-runs'!$C:$C, C235, 'Data Combined - all-runs'!$D:$D, D235, 'Data Combined - all-runs'!$E:$E, E235)</f>
        <v>0.1951193521</v>
      </c>
      <c r="L235" s="5">
        <f>AVERAGEIFS('Data Combined - all-runs'!$L:$L, 'Data Combined - all-runs'!$A:$A, A235,'Data Combined - all-runs'!$B:$B, B235,'Data Combined - all-runs'!$C:$C, C235, 'Data Combined - all-runs'!$D:$D, D235, 'Data Combined - all-runs'!$E:$E, E235)</f>
        <v>7145.010687</v>
      </c>
      <c r="M235" s="5">
        <f>AVERAGEIFS('Data Combined - all-runs'!$M:$M, 'Data Combined - all-runs'!$A:$A, A235,'Data Combined - all-runs'!$B:$B, B235,'Data Combined - all-runs'!$C:$C, C235, 'Data Combined - all-runs'!$D:$D, D235, 'Data Combined - all-runs'!$E:$E, E235)</f>
        <v>40</v>
      </c>
      <c r="N235" s="5">
        <f>AVERAGEIFS('Data Combined - all-runs'!$N:$N, 'Data Combined - all-runs'!$A:$A, A235,'Data Combined - all-runs'!$B:$B, B235,'Data Combined - all-runs'!$C:$C, C235, 'Data Combined - all-runs'!$D:$D, D235, 'Data Combined - all-runs'!$E:$E, E235)</f>
        <v>19</v>
      </c>
      <c r="O235" s="5">
        <f>AVERAGEIFS('Data Combined - all-runs'!$O:$O, 'Data Combined - all-runs'!$A:$A, A235,'Data Combined - all-runs'!$B:$B, B235,'Data Combined - all-runs'!$C:$C, C235, 'Data Combined - all-runs'!$D:$D, D235, 'Data Combined - all-runs'!$E:$E, E235)</f>
        <v>1173</v>
      </c>
      <c r="P235" s="5">
        <f>AVERAGEIFS('Data Combined - all-runs'!$P:$P, 'Data Combined - all-runs'!$A:$A, A235,'Data Combined - all-runs'!$B:$B, B235,'Data Combined - all-runs'!$C:$C, C235, 'Data Combined - all-runs'!$D:$D, D235, 'Data Combined - all-runs'!$E:$E, E235)</f>
        <v>16.19778346</v>
      </c>
      <c r="Q235" s="5">
        <f>AVERAGEIFS('Data Combined - all-runs'!$Q:$Q, 'Data Combined - all-runs'!$A:$A, A235,'Data Combined - all-runs'!$B:$B, B235,'Data Combined - all-runs'!$C:$C, C235, 'Data Combined - all-runs'!$D:$D, D235, 'Data Combined - all-runs'!$E:$E, E235)</f>
        <v>2778.346121</v>
      </c>
      <c r="R235" s="5">
        <f>AVERAGEIFS('Data Combined - all-runs'!$R:$R, 'Data Combined - all-runs'!$A:$A, A235,'Data Combined - all-runs'!$B:$B, B235,'Data Combined - all-runs'!$C:$C, C235, 'Data Combined - all-runs'!$D:$D, D235, 'Data Combined - all-runs'!$E:$E, E235)</f>
        <v>171.5263158</v>
      </c>
      <c r="S235" s="5">
        <f>AVERAGEIFS('Data Combined - all-runs'!$S:$S, 'Data Combined - all-runs'!$A:$A, A235,'Data Combined - all-runs'!$B:$B, B235,'Data Combined - all-runs'!$C:$C, C235, 'Data Combined - all-runs'!$D:$D, D235, 'Data Combined - all-runs'!$E:$E, E235)</f>
        <v>0.004909481436</v>
      </c>
      <c r="T235" s="5" t="str">
        <f>AVERAGEIFS('Data Combined - all-runs'!$T:$T, 'Data Combined - all-runs'!$A:$A, A235,'Data Combined - all-runs'!$B:$B, B235,'Data Combined - all-runs'!$C:$C, C235, 'Data Combined - all-runs'!$D:$D, D235, 'Data Combined - all-runs'!$E:$E, E235)</f>
        <v>#DIV/0!</v>
      </c>
      <c r="U235" s="5" t="b">
        <f t="shared" si="1"/>
        <v>1</v>
      </c>
      <c r="V235" s="5" t="b">
        <f t="shared" si="2"/>
        <v>1</v>
      </c>
      <c r="W235" s="5" t="b">
        <f t="shared" si="3"/>
        <v>1</v>
      </c>
    </row>
    <row r="236">
      <c r="A236" s="2" t="s">
        <v>460</v>
      </c>
      <c r="B236" s="2" t="s">
        <v>114</v>
      </c>
      <c r="C236" s="2" t="s">
        <v>23</v>
      </c>
      <c r="D236" s="2" t="s">
        <v>64</v>
      </c>
      <c r="E236" s="2" t="s">
        <v>25</v>
      </c>
      <c r="H236" s="5">
        <f>AVERAGEIFS('Data Combined - all-runs'!$H:$H, 'Data Combined - all-runs'!$A:$A, A236,'Data Combined - all-runs'!$B:$B, B236,'Data Combined - all-runs'!$C:$C, C236, 'Data Combined - all-runs'!$D:$D, D236, 'Data Combined - all-runs'!$E:$E, E236)</f>
        <v>1199</v>
      </c>
      <c r="I236" s="5">
        <f>AVERAGEIFS('Data Combined - all-runs'!$I:$I, 'Data Combined - all-runs'!$A:$A, A236,'Data Combined - all-runs'!$B:$B, B236,'Data Combined - all-runs'!$C:$C, C236, 'Data Combined - all-runs'!$D:$D, D236, 'Data Combined - all-runs'!$E:$E, E236)</f>
        <v>0</v>
      </c>
      <c r="J236" s="5">
        <f>AVERAGEIFS('Data Combined - all-runs'!$J:$J, 'Data Combined - all-runs'!$A:$A, A236,'Data Combined - all-runs'!$B:$B, B236,'Data Combined - all-runs'!$C:$C, C236, 'Data Combined - all-runs'!$D:$D, D236, 'Data Combined - all-runs'!$E:$E, E236)</f>
        <v>0</v>
      </c>
      <c r="K236" s="5">
        <f>AVERAGEIFS('Data Combined - all-runs'!$K:$K, 'Data Combined - all-runs'!$A:$A, A236,'Data Combined - all-runs'!$B:$B, B236,'Data Combined - all-runs'!$C:$C, C236, 'Data Combined - all-runs'!$D:$D, D236, 'Data Combined - all-runs'!$E:$E, E236)</f>
        <v>0.1179529283</v>
      </c>
      <c r="L236" s="5">
        <f>AVERAGEIFS('Data Combined - all-runs'!$L:$L, 'Data Combined - all-runs'!$A:$A, A236,'Data Combined - all-runs'!$B:$B, B236,'Data Combined - all-runs'!$C:$C, C236, 'Data Combined - all-runs'!$D:$D, D236, 'Data Combined - all-runs'!$E:$E, E236)</f>
        <v>2914.145465</v>
      </c>
      <c r="M236" s="5">
        <f>AVERAGEIFS('Data Combined - all-runs'!$M:$M, 'Data Combined - all-runs'!$A:$A, A236,'Data Combined - all-runs'!$B:$B, B236,'Data Combined - all-runs'!$C:$C, C236, 'Data Combined - all-runs'!$D:$D, D236, 'Data Combined - all-runs'!$E:$E, E236)</f>
        <v>35</v>
      </c>
      <c r="N236" s="5">
        <f>AVERAGEIFS('Data Combined - all-runs'!$N:$N, 'Data Combined - all-runs'!$A:$A, A236,'Data Combined - all-runs'!$B:$B, B236,'Data Combined - all-runs'!$C:$C, C236, 'Data Combined - all-runs'!$D:$D, D236, 'Data Combined - all-runs'!$E:$E, E236)</f>
        <v>15</v>
      </c>
      <c r="O236" s="5">
        <f>AVERAGEIFS('Data Combined - all-runs'!$O:$O, 'Data Combined - all-runs'!$A:$A, A236,'Data Combined - all-runs'!$B:$B, B236,'Data Combined - all-runs'!$C:$C, C236, 'Data Combined - all-runs'!$D:$D, D236, 'Data Combined - all-runs'!$E:$E, E236)</f>
        <v>1827</v>
      </c>
      <c r="P236" s="5">
        <f>AVERAGEIFS('Data Combined - all-runs'!$P:$P, 'Data Combined - all-runs'!$A:$A, A236,'Data Combined - all-runs'!$B:$B, B236,'Data Combined - all-runs'!$C:$C, C236, 'Data Combined - all-runs'!$D:$D, D236, 'Data Combined - all-runs'!$E:$E, E236)</f>
        <v>8.210180624</v>
      </c>
      <c r="Q236" s="5">
        <f>AVERAGEIFS('Data Combined - all-runs'!$Q:$Q, 'Data Combined - all-runs'!$A:$A, A236,'Data Combined - all-runs'!$B:$B, B236,'Data Combined - all-runs'!$C:$C, C236, 'Data Combined - all-runs'!$D:$D, D236, 'Data Combined - all-runs'!$E:$E, E236)</f>
        <v>656.2671045</v>
      </c>
      <c r="R236" s="5">
        <f>AVERAGEIFS('Data Combined - all-runs'!$R:$R, 'Data Combined - all-runs'!$A:$A, A236,'Data Combined - all-runs'!$B:$B, B236,'Data Combined - all-runs'!$C:$C, C236, 'Data Combined - all-runs'!$D:$D, D236, 'Data Combined - all-runs'!$E:$E, E236)</f>
        <v>79.93333333</v>
      </c>
      <c r="S236" s="5">
        <f>AVERAGEIFS('Data Combined - all-runs'!$S:$S, 'Data Combined - all-runs'!$A:$A, A236,'Data Combined - all-runs'!$B:$B, B236,'Data Combined - all-runs'!$C:$C, C236, 'Data Combined - all-runs'!$D:$D, D236, 'Data Combined - all-runs'!$E:$E, E236)</f>
        <v>0</v>
      </c>
      <c r="T236" s="5">
        <f>AVERAGEIFS('Data Combined - all-runs'!$T:$T, 'Data Combined - all-runs'!$A:$A, A236,'Data Combined - all-runs'!$B:$B, B236,'Data Combined - all-runs'!$C:$C, C236, 'Data Combined - all-runs'!$D:$D, D236, 'Data Combined - all-runs'!$E:$E, E236)</f>
        <v>0</v>
      </c>
      <c r="U236" s="5" t="b">
        <f t="shared" si="1"/>
        <v>1</v>
      </c>
      <c r="V236" s="5" t="b">
        <f t="shared" si="2"/>
        <v>1</v>
      </c>
      <c r="W236" s="5" t="b">
        <f t="shared" si="3"/>
        <v>1</v>
      </c>
    </row>
    <row r="237">
      <c r="A237" s="2" t="s">
        <v>460</v>
      </c>
      <c r="B237" s="2" t="s">
        <v>114</v>
      </c>
      <c r="C237" s="2" t="s">
        <v>23</v>
      </c>
      <c r="D237" s="2" t="s">
        <v>64</v>
      </c>
      <c r="E237" s="2" t="s">
        <v>39</v>
      </c>
      <c r="H237" s="5">
        <f>AVERAGEIFS('Data Combined - all-runs'!$H:$H, 'Data Combined - all-runs'!$A:$A, A237,'Data Combined - all-runs'!$B:$B, B237,'Data Combined - all-runs'!$C:$C, C237, 'Data Combined - all-runs'!$D:$D, D237, 'Data Combined - all-runs'!$E:$E, E237)</f>
        <v>133</v>
      </c>
      <c r="I237" s="5">
        <f>AVERAGEIFS('Data Combined - all-runs'!$I:$I, 'Data Combined - all-runs'!$A:$A, A237,'Data Combined - all-runs'!$B:$B, B237,'Data Combined - all-runs'!$C:$C, C237, 'Data Combined - all-runs'!$D:$D, D237, 'Data Combined - all-runs'!$E:$E, E237)</f>
        <v>0</v>
      </c>
      <c r="J237" s="5">
        <f>AVERAGEIFS('Data Combined - all-runs'!$J:$J, 'Data Combined - all-runs'!$A:$A, A237,'Data Combined - all-runs'!$B:$B, B237,'Data Combined - all-runs'!$C:$C, C237, 'Data Combined - all-runs'!$D:$D, D237, 'Data Combined - all-runs'!$E:$E, E237)</f>
        <v>0</v>
      </c>
      <c r="K237" s="5">
        <f>AVERAGEIFS('Data Combined - all-runs'!$K:$K, 'Data Combined - all-runs'!$A:$A, A237,'Data Combined - all-runs'!$B:$B, B237,'Data Combined - all-runs'!$C:$C, C237, 'Data Combined - all-runs'!$D:$D, D237, 'Data Combined - all-runs'!$E:$E, E237)</f>
        <v>0.1</v>
      </c>
      <c r="L237" s="5">
        <f>AVERAGEIFS('Data Combined - all-runs'!$L:$L, 'Data Combined - all-runs'!$A:$A, A237,'Data Combined - all-runs'!$B:$B, B237,'Data Combined - all-runs'!$C:$C, C237, 'Data Combined - all-runs'!$D:$D, D237, 'Data Combined - all-runs'!$E:$E, E237)</f>
        <v>398.3823568</v>
      </c>
      <c r="M237" s="5" t="str">
        <f>AVERAGEIFS('Data Combined - all-runs'!$M:$M, 'Data Combined - all-runs'!$A:$A, A237,'Data Combined - all-runs'!$B:$B, B237,'Data Combined - all-runs'!$C:$C, C237, 'Data Combined - all-runs'!$D:$D, D237, 'Data Combined - all-runs'!$E:$E, E237)</f>
        <v>#DIV/0!</v>
      </c>
      <c r="N237" s="5">
        <f>AVERAGEIFS('Data Combined - all-runs'!$N:$N, 'Data Combined - all-runs'!$A:$A, A237,'Data Combined - all-runs'!$B:$B, B237,'Data Combined - all-runs'!$C:$C, C237, 'Data Combined - all-runs'!$D:$D, D237, 'Data Combined - all-runs'!$E:$E, E237)</f>
        <v>0</v>
      </c>
      <c r="O237" s="5">
        <f>AVERAGEIFS('Data Combined - all-runs'!$O:$O, 'Data Combined - all-runs'!$A:$A, A237,'Data Combined - all-runs'!$B:$B, B237,'Data Combined - all-runs'!$C:$C, C237, 'Data Combined - all-runs'!$D:$D, D237, 'Data Combined - all-runs'!$E:$E, E237)</f>
        <v>500</v>
      </c>
      <c r="P237" s="5">
        <f>AVERAGEIFS('Data Combined - all-runs'!$P:$P, 'Data Combined - all-runs'!$A:$A, A237,'Data Combined - all-runs'!$B:$B, B237,'Data Combined - all-runs'!$C:$C, C237, 'Data Combined - all-runs'!$D:$D, D237, 'Data Combined - all-runs'!$E:$E, E237)</f>
        <v>0</v>
      </c>
      <c r="Q237" s="5">
        <f>AVERAGEIFS('Data Combined - all-runs'!$Q:$Q, 'Data Combined - all-runs'!$A:$A, A237,'Data Combined - all-runs'!$B:$B, B237,'Data Combined - all-runs'!$C:$C, C237, 'Data Combined - all-runs'!$D:$D, D237, 'Data Combined - all-runs'!$E:$E, E237)</f>
        <v>266</v>
      </c>
      <c r="R237" s="5" t="str">
        <f>AVERAGEIFS('Data Combined - all-runs'!$R:$R, 'Data Combined - all-runs'!$A:$A, A237,'Data Combined - all-runs'!$B:$B, B237,'Data Combined - all-runs'!$C:$C, C237, 'Data Combined - all-runs'!$D:$D, D237, 'Data Combined - all-runs'!$E:$E, E237)</f>
        <v>#DIV/0!</v>
      </c>
      <c r="S237" s="5">
        <f>AVERAGEIFS('Data Combined - all-runs'!$S:$S, 'Data Combined - all-runs'!$A:$A, A237,'Data Combined - all-runs'!$B:$B, B237,'Data Combined - all-runs'!$C:$C, C237, 'Data Combined - all-runs'!$D:$D, D237, 'Data Combined - all-runs'!$E:$E, E237)</f>
        <v>0</v>
      </c>
      <c r="T237" s="5">
        <f>AVERAGEIFS('Data Combined - all-runs'!$T:$T, 'Data Combined - all-runs'!$A:$A, A237,'Data Combined - all-runs'!$B:$B, B237,'Data Combined - all-runs'!$C:$C, C237, 'Data Combined - all-runs'!$D:$D, D237, 'Data Combined - all-runs'!$E:$E, E237)</f>
        <v>0</v>
      </c>
      <c r="U237" s="5" t="b">
        <f t="shared" si="1"/>
        <v>1</v>
      </c>
      <c r="V237" s="5" t="b">
        <f t="shared" si="2"/>
        <v>1</v>
      </c>
      <c r="W237" s="5" t="b">
        <f t="shared" si="3"/>
        <v>1</v>
      </c>
    </row>
    <row r="238">
      <c r="A238" s="2" t="s">
        <v>460</v>
      </c>
      <c r="B238" s="2" t="s">
        <v>114</v>
      </c>
      <c r="C238" s="2" t="s">
        <v>23</v>
      </c>
      <c r="D238" s="2" t="s">
        <v>64</v>
      </c>
      <c r="E238" s="2" t="s">
        <v>43</v>
      </c>
      <c r="H238" s="5">
        <f>AVERAGEIFS('Data Combined - all-runs'!$H:$H, 'Data Combined - all-runs'!$A:$A, A238,'Data Combined - all-runs'!$B:$B, B238,'Data Combined - all-runs'!$C:$C, C238, 'Data Combined - all-runs'!$D:$D, D238, 'Data Combined - all-runs'!$E:$E, E238)</f>
        <v>1325.5</v>
      </c>
      <c r="I238" s="5">
        <f>AVERAGEIFS('Data Combined - all-runs'!$I:$I, 'Data Combined - all-runs'!$A:$A, A238,'Data Combined - all-runs'!$B:$B, B238,'Data Combined - all-runs'!$C:$C, C238, 'Data Combined - all-runs'!$D:$D, D238, 'Data Combined - all-runs'!$E:$E, E238)</f>
        <v>0</v>
      </c>
      <c r="J238" s="5">
        <f>AVERAGEIFS('Data Combined - all-runs'!$J:$J, 'Data Combined - all-runs'!$A:$A, A238,'Data Combined - all-runs'!$B:$B, B238,'Data Combined - all-runs'!$C:$C, C238, 'Data Combined - all-runs'!$D:$D, D238, 'Data Combined - all-runs'!$E:$E, E238)</f>
        <v>0</v>
      </c>
      <c r="K238" s="5">
        <f>AVERAGEIFS('Data Combined - all-runs'!$K:$K, 'Data Combined - all-runs'!$A:$A, A238,'Data Combined - all-runs'!$B:$B, B238,'Data Combined - all-runs'!$C:$C, C238, 'Data Combined - all-runs'!$D:$D, D238, 'Data Combined - all-runs'!$E:$E, E238)</f>
        <v>0.08561906291</v>
      </c>
      <c r="L238" s="5">
        <f>AVERAGEIFS('Data Combined - all-runs'!$L:$L, 'Data Combined - all-runs'!$A:$A, A238,'Data Combined - all-runs'!$B:$B, B238,'Data Combined - all-runs'!$C:$C, C238, 'Data Combined - all-runs'!$D:$D, D238, 'Data Combined - all-runs'!$E:$E, E238)</f>
        <v>4411.013344</v>
      </c>
      <c r="M238" s="5">
        <f>AVERAGEIFS('Data Combined - all-runs'!$M:$M, 'Data Combined - all-runs'!$A:$A, A238,'Data Combined - all-runs'!$B:$B, B238,'Data Combined - all-runs'!$C:$C, C238, 'Data Combined - all-runs'!$D:$D, D238, 'Data Combined - all-runs'!$E:$E, E238)</f>
        <v>41</v>
      </c>
      <c r="N238" s="5">
        <f>AVERAGEIFS('Data Combined - all-runs'!$N:$N, 'Data Combined - all-runs'!$A:$A, A238,'Data Combined - all-runs'!$B:$B, B238,'Data Combined - all-runs'!$C:$C, C238, 'Data Combined - all-runs'!$D:$D, D238, 'Data Combined - all-runs'!$E:$E, E238)</f>
        <v>11.5</v>
      </c>
      <c r="O238" s="5">
        <f>AVERAGEIFS('Data Combined - all-runs'!$O:$O, 'Data Combined - all-runs'!$A:$A, A238,'Data Combined - all-runs'!$B:$B, B238,'Data Combined - all-runs'!$C:$C, C238, 'Data Combined - all-runs'!$D:$D, D238, 'Data Combined - all-runs'!$E:$E, E238)</f>
        <v>1430</v>
      </c>
      <c r="P238" s="5">
        <f>AVERAGEIFS('Data Combined - all-runs'!$P:$P, 'Data Combined - all-runs'!$A:$A, A238,'Data Combined - all-runs'!$B:$B, B238,'Data Combined - all-runs'!$C:$C, C238, 'Data Combined - all-runs'!$D:$D, D238, 'Data Combined - all-runs'!$E:$E, E238)</f>
        <v>8.309854267</v>
      </c>
      <c r="Q238" s="5">
        <f>AVERAGEIFS('Data Combined - all-runs'!$Q:$Q, 'Data Combined - all-runs'!$A:$A, A238,'Data Combined - all-runs'!$B:$B, B238,'Data Combined - all-runs'!$C:$C, C238, 'Data Combined - all-runs'!$D:$D, D238, 'Data Combined - all-runs'!$E:$E, E238)</f>
        <v>956.7448362</v>
      </c>
      <c r="R238" s="5">
        <f>AVERAGEIFS('Data Combined - all-runs'!$R:$R, 'Data Combined - all-runs'!$A:$A, A238,'Data Combined - all-runs'!$B:$B, B238,'Data Combined - all-runs'!$C:$C, C238, 'Data Combined - all-runs'!$D:$D, D238, 'Data Combined - all-runs'!$E:$E, E238)</f>
        <v>115.1746032</v>
      </c>
      <c r="S238" s="5">
        <f>AVERAGEIFS('Data Combined - all-runs'!$S:$S, 'Data Combined - all-runs'!$A:$A, A238,'Data Combined - all-runs'!$B:$B, B238,'Data Combined - all-runs'!$C:$C, C238, 'Data Combined - all-runs'!$D:$D, D238, 'Data Combined - all-runs'!$E:$E, E238)</f>
        <v>0</v>
      </c>
      <c r="T238" s="5">
        <f>AVERAGEIFS('Data Combined - all-runs'!$T:$T, 'Data Combined - all-runs'!$A:$A, A238,'Data Combined - all-runs'!$B:$B, B238,'Data Combined - all-runs'!$C:$C, C238, 'Data Combined - all-runs'!$D:$D, D238, 'Data Combined - all-runs'!$E:$E, E238)</f>
        <v>0</v>
      </c>
      <c r="U238" s="5" t="b">
        <f t="shared" si="1"/>
        <v>1</v>
      </c>
      <c r="V238" s="5" t="b">
        <f t="shared" si="2"/>
        <v>1</v>
      </c>
      <c r="W238" s="5" t="b">
        <f t="shared" si="3"/>
        <v>1</v>
      </c>
    </row>
    <row r="239">
      <c r="A239" s="2" t="s">
        <v>460</v>
      </c>
      <c r="B239" s="2" t="s">
        <v>114</v>
      </c>
      <c r="C239" s="2" t="s">
        <v>23</v>
      </c>
      <c r="D239" s="2" t="s">
        <v>64</v>
      </c>
      <c r="E239" s="2" t="s">
        <v>34</v>
      </c>
      <c r="H239" s="5">
        <f>AVERAGEIFS('Data Combined - all-runs'!$H:$H, 'Data Combined - all-runs'!$A:$A, A239,'Data Combined - all-runs'!$B:$B, B239,'Data Combined - all-runs'!$C:$C, C239, 'Data Combined - all-runs'!$D:$D, D239, 'Data Combined - all-runs'!$E:$E, E239)</f>
        <v>1870</v>
      </c>
      <c r="I239" s="5">
        <f>AVERAGEIFS('Data Combined - all-runs'!$I:$I, 'Data Combined - all-runs'!$A:$A, A239,'Data Combined - all-runs'!$B:$B, B239,'Data Combined - all-runs'!$C:$C, C239, 'Data Combined - all-runs'!$D:$D, D239, 'Data Combined - all-runs'!$E:$E, E239)</f>
        <v>0</v>
      </c>
      <c r="J239" s="5">
        <f>AVERAGEIFS('Data Combined - all-runs'!$J:$J, 'Data Combined - all-runs'!$A:$A, A239,'Data Combined - all-runs'!$B:$B, B239,'Data Combined - all-runs'!$C:$C, C239, 'Data Combined - all-runs'!$D:$D, D239, 'Data Combined - all-runs'!$E:$E, E239)</f>
        <v>0</v>
      </c>
      <c r="K239" s="5">
        <f>AVERAGEIFS('Data Combined - all-runs'!$K:$K, 'Data Combined - all-runs'!$A:$A, A239,'Data Combined - all-runs'!$B:$B, B239,'Data Combined - all-runs'!$C:$C, C239, 'Data Combined - all-runs'!$D:$D, D239, 'Data Combined - all-runs'!$E:$E, E239)</f>
        <v>0.143355788</v>
      </c>
      <c r="L239" s="5">
        <f>AVERAGEIFS('Data Combined - all-runs'!$L:$L, 'Data Combined - all-runs'!$A:$A, A239,'Data Combined - all-runs'!$B:$B, B239,'Data Combined - all-runs'!$C:$C, C239, 'Data Combined - all-runs'!$D:$D, D239, 'Data Combined - all-runs'!$E:$E, E239)</f>
        <v>6041.864179</v>
      </c>
      <c r="M239" s="5">
        <f>AVERAGEIFS('Data Combined - all-runs'!$M:$M, 'Data Combined - all-runs'!$A:$A, A239,'Data Combined - all-runs'!$B:$B, B239,'Data Combined - all-runs'!$C:$C, C239, 'Data Combined - all-runs'!$D:$D, D239, 'Data Combined - all-runs'!$E:$E, E239)</f>
        <v>24</v>
      </c>
      <c r="N239" s="5">
        <f>AVERAGEIFS('Data Combined - all-runs'!$N:$N, 'Data Combined - all-runs'!$A:$A, A239,'Data Combined - all-runs'!$B:$B, B239,'Data Combined - all-runs'!$C:$C, C239, 'Data Combined - all-runs'!$D:$D, D239, 'Data Combined - all-runs'!$E:$E, E239)</f>
        <v>8.5</v>
      </c>
      <c r="O239" s="5">
        <f>AVERAGEIFS('Data Combined - all-runs'!$O:$O, 'Data Combined - all-runs'!$A:$A, A239,'Data Combined - all-runs'!$B:$B, B239,'Data Combined - all-runs'!$C:$C, C239, 'Data Combined - all-runs'!$D:$D, D239, 'Data Combined - all-runs'!$E:$E, E239)</f>
        <v>1782</v>
      </c>
      <c r="P239" s="5">
        <f>AVERAGEIFS('Data Combined - all-runs'!$P:$P, 'Data Combined - all-runs'!$A:$A, A239,'Data Combined - all-runs'!$B:$B, B239,'Data Combined - all-runs'!$C:$C, C239, 'Data Combined - all-runs'!$D:$D, D239, 'Data Combined - all-runs'!$E:$E, E239)</f>
        <v>5.305893985</v>
      </c>
      <c r="Q239" s="5">
        <f>AVERAGEIFS('Data Combined - all-runs'!$Q:$Q, 'Data Combined - all-runs'!$A:$A, A239,'Data Combined - all-runs'!$B:$B, B239,'Data Combined - all-runs'!$C:$C, C239, 'Data Combined - all-runs'!$D:$D, D239, 'Data Combined - all-runs'!$E:$E, E239)</f>
        <v>1014.078982</v>
      </c>
      <c r="R239" s="5">
        <f>AVERAGEIFS('Data Combined - all-runs'!$R:$R, 'Data Combined - all-runs'!$A:$A, A239,'Data Combined - all-runs'!$B:$B, B239,'Data Combined - all-runs'!$C:$C, C239, 'Data Combined - all-runs'!$D:$D, D239, 'Data Combined - all-runs'!$E:$E, E239)</f>
        <v>203.219697</v>
      </c>
      <c r="S239" s="5">
        <f>AVERAGEIFS('Data Combined - all-runs'!$S:$S, 'Data Combined - all-runs'!$A:$A, A239,'Data Combined - all-runs'!$B:$B, B239,'Data Combined - all-runs'!$C:$C, C239, 'Data Combined - all-runs'!$D:$D, D239, 'Data Combined - all-runs'!$E:$E, E239)</f>
        <v>0</v>
      </c>
      <c r="T239" s="5">
        <f>AVERAGEIFS('Data Combined - all-runs'!$T:$T, 'Data Combined - all-runs'!$A:$A, A239,'Data Combined - all-runs'!$B:$B, B239,'Data Combined - all-runs'!$C:$C, C239, 'Data Combined - all-runs'!$D:$D, D239, 'Data Combined - all-runs'!$E:$E, E239)</f>
        <v>0</v>
      </c>
      <c r="U239" s="5" t="b">
        <f t="shared" si="1"/>
        <v>1</v>
      </c>
      <c r="V239" s="5" t="b">
        <f t="shared" si="2"/>
        <v>1</v>
      </c>
      <c r="W239" s="5" t="b">
        <f t="shared" si="3"/>
        <v>1</v>
      </c>
    </row>
    <row r="240">
      <c r="A240" s="2" t="s">
        <v>460</v>
      </c>
      <c r="B240" s="2" t="s">
        <v>114</v>
      </c>
      <c r="C240" s="2" t="s">
        <v>23</v>
      </c>
      <c r="D240" s="2" t="s">
        <v>64</v>
      </c>
      <c r="E240" s="2" t="s">
        <v>47</v>
      </c>
      <c r="H240" s="5">
        <f>AVERAGEIFS('Data Combined - all-runs'!$H:$H, 'Data Combined - all-runs'!$A:$A, A240,'Data Combined - all-runs'!$B:$B, B240,'Data Combined - all-runs'!$C:$C, C240, 'Data Combined - all-runs'!$D:$D, D240, 'Data Combined - all-runs'!$E:$E, E240)</f>
        <v>1495.5</v>
      </c>
      <c r="I240" s="5">
        <f>AVERAGEIFS('Data Combined - all-runs'!$I:$I, 'Data Combined - all-runs'!$A:$A, A240,'Data Combined - all-runs'!$B:$B, B240,'Data Combined - all-runs'!$C:$C, C240, 'Data Combined - all-runs'!$D:$D, D240, 'Data Combined - all-runs'!$E:$E, E240)</f>
        <v>0</v>
      </c>
      <c r="J240" s="5">
        <f>AVERAGEIFS('Data Combined - all-runs'!$J:$J, 'Data Combined - all-runs'!$A:$A, A240,'Data Combined - all-runs'!$B:$B, B240,'Data Combined - all-runs'!$C:$C, C240, 'Data Combined - all-runs'!$D:$D, D240, 'Data Combined - all-runs'!$E:$E, E240)</f>
        <v>0</v>
      </c>
      <c r="K240" s="5">
        <f>AVERAGEIFS('Data Combined - all-runs'!$K:$K, 'Data Combined - all-runs'!$A:$A, A240,'Data Combined - all-runs'!$B:$B, B240,'Data Combined - all-runs'!$C:$C, C240, 'Data Combined - all-runs'!$D:$D, D240, 'Data Combined - all-runs'!$E:$E, E240)</f>
        <v>0.1207464695</v>
      </c>
      <c r="L240" s="5">
        <f>AVERAGEIFS('Data Combined - all-runs'!$L:$L, 'Data Combined - all-runs'!$A:$A, A240,'Data Combined - all-runs'!$B:$B, B240,'Data Combined - all-runs'!$C:$C, C240, 'Data Combined - all-runs'!$D:$D, D240, 'Data Combined - all-runs'!$E:$E, E240)</f>
        <v>6200.995183</v>
      </c>
      <c r="M240" s="5">
        <f>AVERAGEIFS('Data Combined - all-runs'!$M:$M, 'Data Combined - all-runs'!$A:$A, A240,'Data Combined - all-runs'!$B:$B, B240,'Data Combined - all-runs'!$C:$C, C240, 'Data Combined - all-runs'!$D:$D, D240, 'Data Combined - all-runs'!$E:$E, E240)</f>
        <v>46</v>
      </c>
      <c r="N240" s="5">
        <f>AVERAGEIFS('Data Combined - all-runs'!$N:$N, 'Data Combined - all-runs'!$A:$A, A240,'Data Combined - all-runs'!$B:$B, B240,'Data Combined - all-runs'!$C:$C, C240, 'Data Combined - all-runs'!$D:$D, D240, 'Data Combined - all-runs'!$E:$E, E240)</f>
        <v>6.5</v>
      </c>
      <c r="O240" s="5">
        <f>AVERAGEIFS('Data Combined - all-runs'!$O:$O, 'Data Combined - all-runs'!$A:$A, A240,'Data Combined - all-runs'!$B:$B, B240,'Data Combined - all-runs'!$C:$C, C240, 'Data Combined - all-runs'!$D:$D, D240, 'Data Combined - all-runs'!$E:$E, E240)</f>
        <v>1121.5</v>
      </c>
      <c r="P240" s="5">
        <f>AVERAGEIFS('Data Combined - all-runs'!$P:$P, 'Data Combined - all-runs'!$A:$A, A240,'Data Combined - all-runs'!$B:$B, B240,'Data Combined - all-runs'!$C:$C, C240, 'Data Combined - all-runs'!$D:$D, D240, 'Data Combined - all-runs'!$E:$E, E240)</f>
        <v>6.068347314</v>
      </c>
      <c r="Q240" s="5">
        <f>AVERAGEIFS('Data Combined - all-runs'!$Q:$Q, 'Data Combined - all-runs'!$A:$A, A240,'Data Combined - all-runs'!$B:$B, B240,'Data Combined - all-runs'!$C:$C, C240, 'Data Combined - all-runs'!$D:$D, D240, 'Data Combined - all-runs'!$E:$E, E240)</f>
        <v>1386.003028</v>
      </c>
      <c r="R240" s="5">
        <f>AVERAGEIFS('Data Combined - all-runs'!$R:$R, 'Data Combined - all-runs'!$A:$A, A240,'Data Combined - all-runs'!$B:$B, B240,'Data Combined - all-runs'!$C:$C, C240, 'Data Combined - all-runs'!$D:$D, D240, 'Data Combined - all-runs'!$E:$E, E240)</f>
        <v>228.7361111</v>
      </c>
      <c r="S240" s="5">
        <f>AVERAGEIFS('Data Combined - all-runs'!$S:$S, 'Data Combined - all-runs'!$A:$A, A240,'Data Combined - all-runs'!$B:$B, B240,'Data Combined - all-runs'!$C:$C, C240, 'Data Combined - all-runs'!$D:$D, D240, 'Data Combined - all-runs'!$E:$E, E240)</f>
        <v>0</v>
      </c>
      <c r="T240" s="5">
        <f>AVERAGEIFS('Data Combined - all-runs'!$T:$T, 'Data Combined - all-runs'!$A:$A, A240,'Data Combined - all-runs'!$B:$B, B240,'Data Combined - all-runs'!$C:$C, C240, 'Data Combined - all-runs'!$D:$D, D240, 'Data Combined - all-runs'!$E:$E, E240)</f>
        <v>0</v>
      </c>
      <c r="U240" s="5" t="b">
        <f t="shared" si="1"/>
        <v>1</v>
      </c>
      <c r="V240" s="5" t="b">
        <f t="shared" si="2"/>
        <v>1</v>
      </c>
      <c r="W240" s="5" t="b">
        <f t="shared" si="3"/>
        <v>1</v>
      </c>
    </row>
    <row r="241">
      <c r="A241" s="2" t="s">
        <v>460</v>
      </c>
      <c r="B241" s="2" t="s">
        <v>114</v>
      </c>
      <c r="C241" s="2" t="s">
        <v>23</v>
      </c>
      <c r="D241" s="2" t="s">
        <v>64</v>
      </c>
      <c r="E241" s="2" t="s">
        <v>51</v>
      </c>
      <c r="H241" s="5">
        <f>AVERAGEIFS('Data Combined - all-runs'!$H:$H, 'Data Combined - all-runs'!$A:$A, A241,'Data Combined - all-runs'!$B:$B, B241,'Data Combined - all-runs'!$C:$C, C241, 'Data Combined - all-runs'!$D:$D, D241, 'Data Combined - all-runs'!$E:$E, E241)</f>
        <v>1770.5</v>
      </c>
      <c r="I241" s="5">
        <f>AVERAGEIFS('Data Combined - all-runs'!$I:$I, 'Data Combined - all-runs'!$A:$A, A241,'Data Combined - all-runs'!$B:$B, B241,'Data Combined - all-runs'!$C:$C, C241, 'Data Combined - all-runs'!$D:$D, D241, 'Data Combined - all-runs'!$E:$E, E241)</f>
        <v>0</v>
      </c>
      <c r="J241" s="5">
        <f>AVERAGEIFS('Data Combined - all-runs'!$J:$J, 'Data Combined - all-runs'!$A:$A, A241,'Data Combined - all-runs'!$B:$B, B241,'Data Combined - all-runs'!$C:$C, C241, 'Data Combined - all-runs'!$D:$D, D241, 'Data Combined - all-runs'!$E:$E, E241)</f>
        <v>0</v>
      </c>
      <c r="K241" s="5">
        <f>AVERAGEIFS('Data Combined - all-runs'!$K:$K, 'Data Combined - all-runs'!$A:$A, A241,'Data Combined - all-runs'!$B:$B, B241,'Data Combined - all-runs'!$C:$C, C241, 'Data Combined - all-runs'!$D:$D, D241, 'Data Combined - all-runs'!$E:$E, E241)</f>
        <v>0.124277942</v>
      </c>
      <c r="L241" s="5">
        <f>AVERAGEIFS('Data Combined - all-runs'!$L:$L, 'Data Combined - all-runs'!$A:$A, A241,'Data Combined - all-runs'!$B:$B, B241,'Data Combined - all-runs'!$C:$C, C241, 'Data Combined - all-runs'!$D:$D, D241, 'Data Combined - all-runs'!$E:$E, E241)</f>
        <v>6394.777674</v>
      </c>
      <c r="M241" s="5">
        <f>AVERAGEIFS('Data Combined - all-runs'!$M:$M, 'Data Combined - all-runs'!$A:$A, A241,'Data Combined - all-runs'!$B:$B, B241,'Data Combined - all-runs'!$C:$C, C241, 'Data Combined - all-runs'!$D:$D, D241, 'Data Combined - all-runs'!$E:$E, E241)</f>
        <v>40</v>
      </c>
      <c r="N241" s="5">
        <f>AVERAGEIFS('Data Combined - all-runs'!$N:$N, 'Data Combined - all-runs'!$A:$A, A241,'Data Combined - all-runs'!$B:$B, B241,'Data Combined - all-runs'!$C:$C, C241, 'Data Combined - all-runs'!$D:$D, D241, 'Data Combined - all-runs'!$E:$E, E241)</f>
        <v>10</v>
      </c>
      <c r="O241" s="5">
        <f>AVERAGEIFS('Data Combined - all-runs'!$O:$O, 'Data Combined - all-runs'!$A:$A, A241,'Data Combined - all-runs'!$B:$B, B241,'Data Combined - all-runs'!$C:$C, C241, 'Data Combined - all-runs'!$D:$D, D241, 'Data Combined - all-runs'!$E:$E, E241)</f>
        <v>1226.5</v>
      </c>
      <c r="P241" s="5">
        <f>AVERAGEIFS('Data Combined - all-runs'!$P:$P, 'Data Combined - all-runs'!$A:$A, A241,'Data Combined - all-runs'!$B:$B, B241,'Data Combined - all-runs'!$C:$C, C241, 'Data Combined - all-runs'!$D:$D, D241, 'Data Combined - all-runs'!$E:$E, E241)</f>
        <v>8.279643827</v>
      </c>
      <c r="Q241" s="5">
        <f>AVERAGEIFS('Data Combined - all-runs'!$Q:$Q, 'Data Combined - all-runs'!$A:$A, A241,'Data Combined - all-runs'!$B:$B, B241,'Data Combined - all-runs'!$C:$C, C241, 'Data Combined - all-runs'!$D:$D, D241, 'Data Combined - all-runs'!$E:$E, E241)</f>
        <v>1418.5093</v>
      </c>
      <c r="R241" s="5">
        <f>AVERAGEIFS('Data Combined - all-runs'!$R:$R, 'Data Combined - all-runs'!$A:$A, A241,'Data Combined - all-runs'!$B:$B, B241,'Data Combined - all-runs'!$C:$C, C241, 'Data Combined - all-runs'!$D:$D, D241, 'Data Combined - all-runs'!$E:$E, E241)</f>
        <v>173.9343434</v>
      </c>
      <c r="S241" s="5">
        <f>AVERAGEIFS('Data Combined - all-runs'!$S:$S, 'Data Combined - all-runs'!$A:$A, A241,'Data Combined - all-runs'!$B:$B, B241,'Data Combined - all-runs'!$C:$C, C241, 'Data Combined - all-runs'!$D:$D, D241, 'Data Combined - all-runs'!$E:$E, E241)</f>
        <v>0</v>
      </c>
      <c r="T241" s="5">
        <f>AVERAGEIFS('Data Combined - all-runs'!$T:$T, 'Data Combined - all-runs'!$A:$A, A241,'Data Combined - all-runs'!$B:$B, B241,'Data Combined - all-runs'!$C:$C, C241, 'Data Combined - all-runs'!$D:$D, D241, 'Data Combined - all-runs'!$E:$E, E241)</f>
        <v>0</v>
      </c>
      <c r="U241" s="5" t="b">
        <f t="shared" si="1"/>
        <v>1</v>
      </c>
      <c r="V241" s="5" t="b">
        <f t="shared" si="2"/>
        <v>1</v>
      </c>
      <c r="W241" s="5" t="b">
        <f t="shared" si="3"/>
        <v>1</v>
      </c>
    </row>
    <row r="242">
      <c r="A242" s="2" t="s">
        <v>460</v>
      </c>
      <c r="B242" s="2" t="s">
        <v>114</v>
      </c>
      <c r="C242" s="2" t="s">
        <v>23</v>
      </c>
      <c r="D242" s="2" t="s">
        <v>102</v>
      </c>
      <c r="E242" s="2" t="s">
        <v>25</v>
      </c>
      <c r="H242" s="5">
        <f>AVERAGEIFS('Data Combined - all-runs'!$H:$H, 'Data Combined - all-runs'!$A:$A, A242,'Data Combined - all-runs'!$B:$B, B242,'Data Combined - all-runs'!$C:$C, C242, 'Data Combined - all-runs'!$D:$D, D242, 'Data Combined - all-runs'!$E:$E, E242)</f>
        <v>157</v>
      </c>
      <c r="I242" s="5" t="str">
        <f>AVERAGEIFS('Data Combined - all-runs'!$I:$I, 'Data Combined - all-runs'!$A:$A, A242,'Data Combined - all-runs'!$B:$B, B242,'Data Combined - all-runs'!$C:$C, C242, 'Data Combined - all-runs'!$D:$D, D242, 'Data Combined - all-runs'!$E:$E, E242)</f>
        <v>#DIV/0!</v>
      </c>
      <c r="J242" s="5">
        <f>AVERAGEIFS('Data Combined - all-runs'!$J:$J, 'Data Combined - all-runs'!$A:$A, A242,'Data Combined - all-runs'!$B:$B, B242,'Data Combined - all-runs'!$C:$C, C242, 'Data Combined - all-runs'!$D:$D, D242, 'Data Combined - all-runs'!$E:$E, E242)</f>
        <v>0</v>
      </c>
      <c r="K242" s="5">
        <f>AVERAGEIFS('Data Combined - all-runs'!$K:$K, 'Data Combined - all-runs'!$A:$A, A242,'Data Combined - all-runs'!$B:$B, B242,'Data Combined - all-runs'!$C:$C, C242, 'Data Combined - all-runs'!$D:$D, D242, 'Data Combined - all-runs'!$E:$E, E242)</f>
        <v>0.09719626168</v>
      </c>
      <c r="L242" s="5">
        <f>AVERAGEIFS('Data Combined - all-runs'!$L:$L, 'Data Combined - all-runs'!$A:$A, A242,'Data Combined - all-runs'!$B:$B, B242,'Data Combined - all-runs'!$C:$C, C242, 'Data Combined - all-runs'!$D:$D, D242, 'Data Combined - all-runs'!$E:$E, E242)</f>
        <v>1353.652903</v>
      </c>
      <c r="M242" s="5">
        <f>AVERAGEIFS('Data Combined - all-runs'!$M:$M, 'Data Combined - all-runs'!$A:$A, A242,'Data Combined - all-runs'!$B:$B, B242,'Data Combined - all-runs'!$C:$C, C242, 'Data Combined - all-runs'!$D:$D, D242, 'Data Combined - all-runs'!$E:$E, E242)</f>
        <v>35</v>
      </c>
      <c r="N242" s="5">
        <f>AVERAGEIFS('Data Combined - all-runs'!$N:$N, 'Data Combined - all-runs'!$A:$A, A242,'Data Combined - all-runs'!$B:$B, B242,'Data Combined - all-runs'!$C:$C, C242, 'Data Combined - all-runs'!$D:$D, D242, 'Data Combined - all-runs'!$E:$E, E242)</f>
        <v>1</v>
      </c>
      <c r="O242" s="5">
        <f>AVERAGEIFS('Data Combined - all-runs'!$O:$O, 'Data Combined - all-runs'!$A:$A, A242,'Data Combined - all-runs'!$B:$B, B242,'Data Combined - all-runs'!$C:$C, C242, 'Data Combined - all-runs'!$D:$D, D242, 'Data Combined - all-runs'!$E:$E, E242)</f>
        <v>535</v>
      </c>
      <c r="P242" s="5">
        <f>AVERAGEIFS('Data Combined - all-runs'!$P:$P, 'Data Combined - all-runs'!$A:$A, A242,'Data Combined - all-runs'!$B:$B, B242,'Data Combined - all-runs'!$C:$C, C242, 'Data Combined - all-runs'!$D:$D, D242, 'Data Combined - all-runs'!$E:$E, E242)</f>
        <v>1.869158879</v>
      </c>
      <c r="Q242" s="5">
        <f>AVERAGEIFS('Data Combined - all-runs'!$Q:$Q, 'Data Combined - all-runs'!$A:$A, A242,'Data Combined - all-runs'!$B:$B, B242,'Data Combined - all-runs'!$C:$C, C242, 'Data Combined - all-runs'!$D:$D, D242, 'Data Combined - all-runs'!$E:$E, E242)</f>
        <v>293.4579439</v>
      </c>
      <c r="R242" s="5">
        <f>AVERAGEIFS('Data Combined - all-runs'!$R:$R, 'Data Combined - all-runs'!$A:$A, A242,'Data Combined - all-runs'!$B:$B, B242,'Data Combined - all-runs'!$C:$C, C242, 'Data Combined - all-runs'!$D:$D, D242, 'Data Combined - all-runs'!$E:$E, E242)</f>
        <v>157</v>
      </c>
      <c r="S242" s="5">
        <f>AVERAGEIFS('Data Combined - all-runs'!$S:$S, 'Data Combined - all-runs'!$A:$A, A242,'Data Combined - all-runs'!$B:$B, B242,'Data Combined - all-runs'!$C:$C, C242, 'Data Combined - all-runs'!$D:$D, D242, 'Data Combined - all-runs'!$E:$E, E242)</f>
        <v>0</v>
      </c>
      <c r="T242" s="5" t="str">
        <f>AVERAGEIFS('Data Combined - all-runs'!$T:$T, 'Data Combined - all-runs'!$A:$A, A242,'Data Combined - all-runs'!$B:$B, B242,'Data Combined - all-runs'!$C:$C, C242, 'Data Combined - all-runs'!$D:$D, D242, 'Data Combined - all-runs'!$E:$E, E242)</f>
        <v>#DIV/0!</v>
      </c>
      <c r="U242" s="5" t="b">
        <f t="shared" si="1"/>
        <v>1</v>
      </c>
      <c r="V242" s="5" t="b">
        <f t="shared" si="2"/>
        <v>1</v>
      </c>
      <c r="W242" s="5" t="b">
        <f t="shared" si="3"/>
        <v>1</v>
      </c>
    </row>
    <row r="243">
      <c r="A243" s="2" t="s">
        <v>460</v>
      </c>
      <c r="B243" s="2" t="s">
        <v>114</v>
      </c>
      <c r="C243" s="2" t="s">
        <v>23</v>
      </c>
      <c r="D243" s="2" t="s">
        <v>102</v>
      </c>
      <c r="E243" s="2" t="s">
        <v>39</v>
      </c>
      <c r="H243" s="5">
        <f>AVERAGEIFS('Data Combined - all-runs'!$H:$H, 'Data Combined - all-runs'!$A:$A, A243,'Data Combined - all-runs'!$B:$B, B243,'Data Combined - all-runs'!$C:$C, C243, 'Data Combined - all-runs'!$D:$D, D243, 'Data Combined - all-runs'!$E:$E, E243)</f>
        <v>541</v>
      </c>
      <c r="I243" s="5" t="str">
        <f>AVERAGEIFS('Data Combined - all-runs'!$I:$I, 'Data Combined - all-runs'!$A:$A, A243,'Data Combined - all-runs'!$B:$B, B243,'Data Combined - all-runs'!$C:$C, C243, 'Data Combined - all-runs'!$D:$D, D243, 'Data Combined - all-runs'!$E:$E, E243)</f>
        <v>#DIV/0!</v>
      </c>
      <c r="J243" s="5">
        <f>AVERAGEIFS('Data Combined - all-runs'!$J:$J, 'Data Combined - all-runs'!$A:$A, A243,'Data Combined - all-runs'!$B:$B, B243,'Data Combined - all-runs'!$C:$C, C243, 'Data Combined - all-runs'!$D:$D, D243, 'Data Combined - all-runs'!$E:$E, E243)</f>
        <v>0</v>
      </c>
      <c r="K243" s="5">
        <f>AVERAGEIFS('Data Combined - all-runs'!$K:$K, 'Data Combined - all-runs'!$A:$A, A243,'Data Combined - all-runs'!$B:$B, B243,'Data Combined - all-runs'!$C:$C, C243, 'Data Combined - all-runs'!$D:$D, D243, 'Data Combined - all-runs'!$E:$E, E243)</f>
        <v>0.1017495396</v>
      </c>
      <c r="L243" s="5">
        <f>AVERAGEIFS('Data Combined - all-runs'!$L:$L, 'Data Combined - all-runs'!$A:$A, A243,'Data Combined - all-runs'!$B:$B, B243,'Data Combined - all-runs'!$C:$C, C243, 'Data Combined - all-runs'!$D:$D, D243, 'Data Combined - all-runs'!$E:$E, E243)</f>
        <v>3804.575591</v>
      </c>
      <c r="M243" s="5">
        <f>AVERAGEIFS('Data Combined - all-runs'!$M:$M, 'Data Combined - all-runs'!$A:$A, A243,'Data Combined - all-runs'!$B:$B, B243,'Data Combined - all-runs'!$C:$C, C243, 'Data Combined - all-runs'!$D:$D, D243, 'Data Combined - all-runs'!$E:$E, E243)</f>
        <v>74</v>
      </c>
      <c r="N243" s="5">
        <f>AVERAGEIFS('Data Combined - all-runs'!$N:$N, 'Data Combined - all-runs'!$A:$A, A243,'Data Combined - all-runs'!$B:$B, B243,'Data Combined - all-runs'!$C:$C, C243, 'Data Combined - all-runs'!$D:$D, D243, 'Data Combined - all-runs'!$E:$E, E243)</f>
        <v>3</v>
      </c>
      <c r="O243" s="5">
        <f>AVERAGEIFS('Data Combined - all-runs'!$O:$O, 'Data Combined - all-runs'!$A:$A, A243,'Data Combined - all-runs'!$B:$B, B243,'Data Combined - all-runs'!$C:$C, C243, 'Data Combined - all-runs'!$D:$D, D243, 'Data Combined - all-runs'!$E:$E, E243)</f>
        <v>1086</v>
      </c>
      <c r="P243" s="5">
        <f>AVERAGEIFS('Data Combined - all-runs'!$P:$P, 'Data Combined - all-runs'!$A:$A, A243,'Data Combined - all-runs'!$B:$B, B243,'Data Combined - all-runs'!$C:$C, C243, 'Data Combined - all-runs'!$D:$D, D243, 'Data Combined - all-runs'!$E:$E, E243)</f>
        <v>2.762430939</v>
      </c>
      <c r="Q243" s="5">
        <f>AVERAGEIFS('Data Combined - all-runs'!$Q:$Q, 'Data Combined - all-runs'!$A:$A, A243,'Data Combined - all-runs'!$B:$B, B243,'Data Combined - all-runs'!$C:$C, C243, 'Data Combined - all-runs'!$D:$D, D243, 'Data Combined - all-runs'!$E:$E, E243)</f>
        <v>498.1583794</v>
      </c>
      <c r="R243" s="5">
        <f>AVERAGEIFS('Data Combined - all-runs'!$R:$R, 'Data Combined - all-runs'!$A:$A, A243,'Data Combined - all-runs'!$B:$B, B243,'Data Combined - all-runs'!$C:$C, C243, 'Data Combined - all-runs'!$D:$D, D243, 'Data Combined - all-runs'!$E:$E, E243)</f>
        <v>180.3333333</v>
      </c>
      <c r="S243" s="5">
        <f>AVERAGEIFS('Data Combined - all-runs'!$S:$S, 'Data Combined - all-runs'!$A:$A, A243,'Data Combined - all-runs'!$B:$B, B243,'Data Combined - all-runs'!$C:$C, C243, 'Data Combined - all-runs'!$D:$D, D243, 'Data Combined - all-runs'!$E:$E, E243)</f>
        <v>0</v>
      </c>
      <c r="T243" s="5" t="str">
        <f>AVERAGEIFS('Data Combined - all-runs'!$T:$T, 'Data Combined - all-runs'!$A:$A, A243,'Data Combined - all-runs'!$B:$B, B243,'Data Combined - all-runs'!$C:$C, C243, 'Data Combined - all-runs'!$D:$D, D243, 'Data Combined - all-runs'!$E:$E, E243)</f>
        <v>#DIV/0!</v>
      </c>
      <c r="U243" s="5" t="b">
        <f t="shared" si="1"/>
        <v>1</v>
      </c>
      <c r="V243" s="5" t="b">
        <f t="shared" si="2"/>
        <v>1</v>
      </c>
      <c r="W243" s="5" t="b">
        <f t="shared" si="3"/>
        <v>1</v>
      </c>
    </row>
    <row r="244">
      <c r="A244" s="2" t="s">
        <v>460</v>
      </c>
      <c r="B244" s="2" t="s">
        <v>114</v>
      </c>
      <c r="C244" s="2" t="s">
        <v>23</v>
      </c>
      <c r="D244" s="2" t="s">
        <v>102</v>
      </c>
      <c r="E244" s="2" t="s">
        <v>43</v>
      </c>
      <c r="H244" s="5">
        <f>AVERAGEIFS('Data Combined - all-runs'!$H:$H, 'Data Combined - all-runs'!$A:$A, A244,'Data Combined - all-runs'!$B:$B, B244,'Data Combined - all-runs'!$C:$C, C244, 'Data Combined - all-runs'!$D:$D, D244, 'Data Combined - all-runs'!$E:$E, E244)</f>
        <v>1114</v>
      </c>
      <c r="I244" s="5" t="str">
        <f>AVERAGEIFS('Data Combined - all-runs'!$I:$I, 'Data Combined - all-runs'!$A:$A, A244,'Data Combined - all-runs'!$B:$B, B244,'Data Combined - all-runs'!$C:$C, C244, 'Data Combined - all-runs'!$D:$D, D244, 'Data Combined - all-runs'!$E:$E, E244)</f>
        <v>#DIV/0!</v>
      </c>
      <c r="J244" s="5">
        <f>AVERAGEIFS('Data Combined - all-runs'!$J:$J, 'Data Combined - all-runs'!$A:$A, A244,'Data Combined - all-runs'!$B:$B, B244,'Data Combined - all-runs'!$C:$C, C244, 'Data Combined - all-runs'!$D:$D, D244, 'Data Combined - all-runs'!$E:$E, E244)</f>
        <v>0</v>
      </c>
      <c r="K244" s="5">
        <f>AVERAGEIFS('Data Combined - all-runs'!$K:$K, 'Data Combined - all-runs'!$A:$A, A244,'Data Combined - all-runs'!$B:$B, B244,'Data Combined - all-runs'!$C:$C, C244, 'Data Combined - all-runs'!$D:$D, D244, 'Data Combined - all-runs'!$E:$E, E244)</f>
        <v>0.09583333333</v>
      </c>
      <c r="L244" s="5">
        <f>AVERAGEIFS('Data Combined - all-runs'!$L:$L, 'Data Combined - all-runs'!$A:$A, A244,'Data Combined - all-runs'!$B:$B, B244,'Data Combined - all-runs'!$C:$C, C244, 'Data Combined - all-runs'!$D:$D, D244, 'Data Combined - all-runs'!$E:$E, E244)</f>
        <v>11179.01119</v>
      </c>
      <c r="M244" s="5">
        <f>AVERAGEIFS('Data Combined - all-runs'!$M:$M, 'Data Combined - all-runs'!$A:$A, A244,'Data Combined - all-runs'!$B:$B, B244,'Data Combined - all-runs'!$C:$C, C244, 'Data Combined - all-runs'!$D:$D, D244, 'Data Combined - all-runs'!$E:$E, E244)</f>
        <v>41</v>
      </c>
      <c r="N244" s="5">
        <f>AVERAGEIFS('Data Combined - all-runs'!$N:$N, 'Data Combined - all-runs'!$A:$A, A244,'Data Combined - all-runs'!$B:$B, B244,'Data Combined - all-runs'!$C:$C, C244, 'Data Combined - all-runs'!$D:$D, D244, 'Data Combined - all-runs'!$E:$E, E244)</f>
        <v>9</v>
      </c>
      <c r="O244" s="5">
        <f>AVERAGEIFS('Data Combined - all-runs'!$O:$O, 'Data Combined - all-runs'!$A:$A, A244,'Data Combined - all-runs'!$B:$B, B244,'Data Combined - all-runs'!$C:$C, C244, 'Data Combined - all-runs'!$D:$D, D244, 'Data Combined - all-runs'!$E:$E, E244)</f>
        <v>1200</v>
      </c>
      <c r="P244" s="5">
        <f>AVERAGEIFS('Data Combined - all-runs'!$P:$P, 'Data Combined - all-runs'!$A:$A, A244,'Data Combined - all-runs'!$B:$B, B244,'Data Combined - all-runs'!$C:$C, C244, 'Data Combined - all-runs'!$D:$D, D244, 'Data Combined - all-runs'!$E:$E, E244)</f>
        <v>7.5</v>
      </c>
      <c r="Q244" s="5">
        <f>AVERAGEIFS('Data Combined - all-runs'!$Q:$Q, 'Data Combined - all-runs'!$A:$A, A244,'Data Combined - all-runs'!$B:$B, B244,'Data Combined - all-runs'!$C:$C, C244, 'Data Combined - all-runs'!$D:$D, D244, 'Data Combined - all-runs'!$E:$E, E244)</f>
        <v>928.3333333</v>
      </c>
      <c r="R244" s="5">
        <f>AVERAGEIFS('Data Combined - all-runs'!$R:$R, 'Data Combined - all-runs'!$A:$A, A244,'Data Combined - all-runs'!$B:$B, B244,'Data Combined - all-runs'!$C:$C, C244, 'Data Combined - all-runs'!$D:$D, D244, 'Data Combined - all-runs'!$E:$E, E244)</f>
        <v>123.7777778</v>
      </c>
      <c r="S244" s="5">
        <f>AVERAGEIFS('Data Combined - all-runs'!$S:$S, 'Data Combined - all-runs'!$A:$A, A244,'Data Combined - all-runs'!$B:$B, B244,'Data Combined - all-runs'!$C:$C, C244, 'Data Combined - all-runs'!$D:$D, D244, 'Data Combined - all-runs'!$E:$E, E244)</f>
        <v>0</v>
      </c>
      <c r="T244" s="5" t="str">
        <f>AVERAGEIFS('Data Combined - all-runs'!$T:$T, 'Data Combined - all-runs'!$A:$A, A244,'Data Combined - all-runs'!$B:$B, B244,'Data Combined - all-runs'!$C:$C, C244, 'Data Combined - all-runs'!$D:$D, D244, 'Data Combined - all-runs'!$E:$E, E244)</f>
        <v>#DIV/0!</v>
      </c>
      <c r="U244" s="5" t="b">
        <f t="shared" si="1"/>
        <v>1</v>
      </c>
      <c r="V244" s="5" t="b">
        <f t="shared" si="2"/>
        <v>1</v>
      </c>
      <c r="W244" s="5" t="b">
        <f t="shared" si="3"/>
        <v>1</v>
      </c>
    </row>
    <row r="245">
      <c r="A245" s="2" t="s">
        <v>460</v>
      </c>
      <c r="B245" s="2" t="s">
        <v>114</v>
      </c>
      <c r="C245" s="2" t="s">
        <v>23</v>
      </c>
      <c r="D245" s="2" t="s">
        <v>102</v>
      </c>
      <c r="E245" s="2" t="s">
        <v>34</v>
      </c>
      <c r="H245" s="5">
        <f>AVERAGEIFS('Data Combined - all-runs'!$H:$H, 'Data Combined - all-runs'!$A:$A, A245,'Data Combined - all-runs'!$B:$B, B245,'Data Combined - all-runs'!$C:$C, C245, 'Data Combined - all-runs'!$D:$D, D245, 'Data Combined - all-runs'!$E:$E, E245)</f>
        <v>1665</v>
      </c>
      <c r="I245" s="5" t="str">
        <f>AVERAGEIFS('Data Combined - all-runs'!$I:$I, 'Data Combined - all-runs'!$A:$A, A245,'Data Combined - all-runs'!$B:$B, B245,'Data Combined - all-runs'!$C:$C, C245, 'Data Combined - all-runs'!$D:$D, D245, 'Data Combined - all-runs'!$E:$E, E245)</f>
        <v>#DIV/0!</v>
      </c>
      <c r="J245" s="5">
        <f>AVERAGEIFS('Data Combined - all-runs'!$J:$J, 'Data Combined - all-runs'!$A:$A, A245,'Data Combined - all-runs'!$B:$B, B245,'Data Combined - all-runs'!$C:$C, C245, 'Data Combined - all-runs'!$D:$D, D245, 'Data Combined - all-runs'!$E:$E, E245)</f>
        <v>0</v>
      </c>
      <c r="K245" s="5">
        <f>AVERAGEIFS('Data Combined - all-runs'!$K:$K, 'Data Combined - all-runs'!$A:$A, A245,'Data Combined - all-runs'!$B:$B, B245,'Data Combined - all-runs'!$C:$C, C245, 'Data Combined - all-runs'!$D:$D, D245, 'Data Combined - all-runs'!$E:$E, E245)</f>
        <v>0.1423531655</v>
      </c>
      <c r="L245" s="5">
        <f>AVERAGEIFS('Data Combined - all-runs'!$L:$L, 'Data Combined - all-runs'!$A:$A, A245,'Data Combined - all-runs'!$B:$B, B245,'Data Combined - all-runs'!$C:$C, C245, 'Data Combined - all-runs'!$D:$D, D245, 'Data Combined - all-runs'!$E:$E, E245)</f>
        <v>14941.33186</v>
      </c>
      <c r="M245" s="5">
        <f>AVERAGEIFS('Data Combined - all-runs'!$M:$M, 'Data Combined - all-runs'!$A:$A, A245,'Data Combined - all-runs'!$B:$B, B245,'Data Combined - all-runs'!$C:$C, C245, 'Data Combined - all-runs'!$D:$D, D245, 'Data Combined - all-runs'!$E:$E, E245)</f>
        <v>24</v>
      </c>
      <c r="N245" s="5">
        <f>AVERAGEIFS('Data Combined - all-runs'!$N:$N, 'Data Combined - all-runs'!$A:$A, A245,'Data Combined - all-runs'!$B:$B, B245,'Data Combined - all-runs'!$C:$C, C245, 'Data Combined - all-runs'!$D:$D, D245, 'Data Combined - all-runs'!$E:$E, E245)</f>
        <v>6</v>
      </c>
      <c r="O245" s="5">
        <f>AVERAGEIFS('Data Combined - all-runs'!$O:$O, 'Data Combined - all-runs'!$A:$A, A245,'Data Combined - all-runs'!$B:$B, B245,'Data Combined - all-runs'!$C:$C, C245, 'Data Combined - all-runs'!$D:$D, D245, 'Data Combined - all-runs'!$E:$E, E245)</f>
        <v>1748</v>
      </c>
      <c r="P245" s="5">
        <f>AVERAGEIFS('Data Combined - all-runs'!$P:$P, 'Data Combined - all-runs'!$A:$A, A245,'Data Combined - all-runs'!$B:$B, B245,'Data Combined - all-runs'!$C:$C, C245, 'Data Combined - all-runs'!$D:$D, D245, 'Data Combined - all-runs'!$E:$E, E245)</f>
        <v>3.432494279</v>
      </c>
      <c r="Q245" s="5">
        <f>AVERAGEIFS('Data Combined - all-runs'!$Q:$Q, 'Data Combined - all-runs'!$A:$A, A245,'Data Combined - all-runs'!$B:$B, B245,'Data Combined - all-runs'!$C:$C, C245, 'Data Combined - all-runs'!$D:$D, D245, 'Data Combined - all-runs'!$E:$E, E245)</f>
        <v>952.5171625</v>
      </c>
      <c r="R245" s="5">
        <f>AVERAGEIFS('Data Combined - all-runs'!$R:$R, 'Data Combined - all-runs'!$A:$A, A245,'Data Combined - all-runs'!$B:$B, B245,'Data Combined - all-runs'!$C:$C, C245, 'Data Combined - all-runs'!$D:$D, D245, 'Data Combined - all-runs'!$E:$E, E245)</f>
        <v>277.5</v>
      </c>
      <c r="S245" s="5">
        <f>AVERAGEIFS('Data Combined - all-runs'!$S:$S, 'Data Combined - all-runs'!$A:$A, A245,'Data Combined - all-runs'!$B:$B, B245,'Data Combined - all-runs'!$C:$C, C245, 'Data Combined - all-runs'!$D:$D, D245, 'Data Combined - all-runs'!$E:$E, E245)</f>
        <v>0</v>
      </c>
      <c r="T245" s="5" t="str">
        <f>AVERAGEIFS('Data Combined - all-runs'!$T:$T, 'Data Combined - all-runs'!$A:$A, A245,'Data Combined - all-runs'!$B:$B, B245,'Data Combined - all-runs'!$C:$C, C245, 'Data Combined - all-runs'!$D:$D, D245, 'Data Combined - all-runs'!$E:$E, E245)</f>
        <v>#DIV/0!</v>
      </c>
      <c r="U245" s="5" t="b">
        <f t="shared" si="1"/>
        <v>1</v>
      </c>
      <c r="V245" s="5" t="b">
        <f t="shared" si="2"/>
        <v>1</v>
      </c>
      <c r="W245" s="5" t="b">
        <f t="shared" si="3"/>
        <v>1</v>
      </c>
    </row>
    <row r="246">
      <c r="A246" s="2" t="s">
        <v>460</v>
      </c>
      <c r="B246" s="2" t="s">
        <v>114</v>
      </c>
      <c r="C246" s="2" t="s">
        <v>23</v>
      </c>
      <c r="D246" s="2" t="s">
        <v>102</v>
      </c>
      <c r="E246" s="2" t="s">
        <v>47</v>
      </c>
      <c r="H246" s="5">
        <f>AVERAGEIFS('Data Combined - all-runs'!$H:$H, 'Data Combined - all-runs'!$A:$A, A246,'Data Combined - all-runs'!$B:$B, B246,'Data Combined - all-runs'!$C:$C, C246, 'Data Combined - all-runs'!$D:$D, D246, 'Data Combined - all-runs'!$E:$E, E246)</f>
        <v>1576</v>
      </c>
      <c r="I246" s="5" t="str">
        <f>AVERAGEIFS('Data Combined - all-runs'!$I:$I, 'Data Combined - all-runs'!$A:$A, A246,'Data Combined - all-runs'!$B:$B, B246,'Data Combined - all-runs'!$C:$C, C246, 'Data Combined - all-runs'!$D:$D, D246, 'Data Combined - all-runs'!$E:$E, E246)</f>
        <v>#DIV/0!</v>
      </c>
      <c r="J246" s="5">
        <f>AVERAGEIFS('Data Combined - all-runs'!$J:$J, 'Data Combined - all-runs'!$A:$A, A246,'Data Combined - all-runs'!$B:$B, B246,'Data Combined - all-runs'!$C:$C, C246, 'Data Combined - all-runs'!$D:$D, D246, 'Data Combined - all-runs'!$E:$E, E246)</f>
        <v>0</v>
      </c>
      <c r="K246" s="5">
        <f>AVERAGEIFS('Data Combined - all-runs'!$K:$K, 'Data Combined - all-runs'!$A:$A, A246,'Data Combined - all-runs'!$B:$B, B246,'Data Combined - all-runs'!$C:$C, C246, 'Data Combined - all-runs'!$D:$D, D246, 'Data Combined - all-runs'!$E:$E, E246)</f>
        <v>0.1468112245</v>
      </c>
      <c r="L246" s="5">
        <f>AVERAGEIFS('Data Combined - all-runs'!$L:$L, 'Data Combined - all-runs'!$A:$A, A246,'Data Combined - all-runs'!$B:$B, B246,'Data Combined - all-runs'!$C:$C, C246, 'Data Combined - all-runs'!$D:$D, D246, 'Data Combined - all-runs'!$E:$E, E246)</f>
        <v>14696.72855</v>
      </c>
      <c r="M246" s="5">
        <f>AVERAGEIFS('Data Combined - all-runs'!$M:$M, 'Data Combined - all-runs'!$A:$A, A246,'Data Combined - all-runs'!$B:$B, B246,'Data Combined - all-runs'!$C:$C, C246, 'Data Combined - all-runs'!$D:$D, D246, 'Data Combined - all-runs'!$E:$E, E246)</f>
        <v>53</v>
      </c>
      <c r="N246" s="5">
        <f>AVERAGEIFS('Data Combined - all-runs'!$N:$N, 'Data Combined - all-runs'!$A:$A, A246,'Data Combined - all-runs'!$B:$B, B246,'Data Combined - all-runs'!$C:$C, C246, 'Data Combined - all-runs'!$D:$D, D246, 'Data Combined - all-runs'!$E:$E, E246)</f>
        <v>5</v>
      </c>
      <c r="O246" s="5">
        <f>AVERAGEIFS('Data Combined - all-runs'!$O:$O, 'Data Combined - all-runs'!$A:$A, A246,'Data Combined - all-runs'!$B:$B, B246,'Data Combined - all-runs'!$C:$C, C246, 'Data Combined - all-runs'!$D:$D, D246, 'Data Combined - all-runs'!$E:$E, E246)</f>
        <v>980</v>
      </c>
      <c r="P246" s="5">
        <f>AVERAGEIFS('Data Combined - all-runs'!$P:$P, 'Data Combined - all-runs'!$A:$A, A246,'Data Combined - all-runs'!$B:$B, B246,'Data Combined - all-runs'!$C:$C, C246, 'Data Combined - all-runs'!$D:$D, D246, 'Data Combined - all-runs'!$E:$E, E246)</f>
        <v>5.102040816</v>
      </c>
      <c r="Q246" s="5">
        <f>AVERAGEIFS('Data Combined - all-runs'!$Q:$Q, 'Data Combined - all-runs'!$A:$A, A246,'Data Combined - all-runs'!$B:$B, B246,'Data Combined - all-runs'!$C:$C, C246, 'Data Combined - all-runs'!$D:$D, D246, 'Data Combined - all-runs'!$E:$E, E246)</f>
        <v>1608.163265</v>
      </c>
      <c r="R246" s="5">
        <f>AVERAGEIFS('Data Combined - all-runs'!$R:$R, 'Data Combined - all-runs'!$A:$A, A246,'Data Combined - all-runs'!$B:$B, B246,'Data Combined - all-runs'!$C:$C, C246, 'Data Combined - all-runs'!$D:$D, D246, 'Data Combined - all-runs'!$E:$E, E246)</f>
        <v>315.2</v>
      </c>
      <c r="S246" s="5">
        <f>AVERAGEIFS('Data Combined - all-runs'!$S:$S, 'Data Combined - all-runs'!$A:$A, A246,'Data Combined - all-runs'!$B:$B, B246,'Data Combined - all-runs'!$C:$C, C246, 'Data Combined - all-runs'!$D:$D, D246, 'Data Combined - all-runs'!$E:$E, E246)</f>
        <v>0</v>
      </c>
      <c r="T246" s="5" t="str">
        <f>AVERAGEIFS('Data Combined - all-runs'!$T:$T, 'Data Combined - all-runs'!$A:$A, A246,'Data Combined - all-runs'!$B:$B, B246,'Data Combined - all-runs'!$C:$C, C246, 'Data Combined - all-runs'!$D:$D, D246, 'Data Combined - all-runs'!$E:$E, E246)</f>
        <v>#DIV/0!</v>
      </c>
      <c r="U246" s="5" t="b">
        <f t="shared" si="1"/>
        <v>1</v>
      </c>
      <c r="V246" s="5" t="b">
        <f t="shared" si="2"/>
        <v>1</v>
      </c>
      <c r="W246" s="5" t="b">
        <f t="shared" si="3"/>
        <v>1</v>
      </c>
    </row>
    <row r="247">
      <c r="A247" s="2" t="s">
        <v>460</v>
      </c>
      <c r="B247" s="2" t="s">
        <v>114</v>
      </c>
      <c r="C247" s="2" t="s">
        <v>23</v>
      </c>
      <c r="D247" s="2" t="s">
        <v>102</v>
      </c>
      <c r="E247" s="2" t="s">
        <v>51</v>
      </c>
      <c r="H247" s="5">
        <f>AVERAGEIFS('Data Combined - all-runs'!$H:$H, 'Data Combined - all-runs'!$A:$A, A247,'Data Combined - all-runs'!$B:$B, B247,'Data Combined - all-runs'!$C:$C, C247, 'Data Combined - all-runs'!$D:$D, D247, 'Data Combined - all-runs'!$E:$E, E247)</f>
        <v>451</v>
      </c>
      <c r="I247" s="5" t="str">
        <f>AVERAGEIFS('Data Combined - all-runs'!$I:$I, 'Data Combined - all-runs'!$A:$A, A247,'Data Combined - all-runs'!$B:$B, B247,'Data Combined - all-runs'!$C:$C, C247, 'Data Combined - all-runs'!$D:$D, D247, 'Data Combined - all-runs'!$E:$E, E247)</f>
        <v>#DIV/0!</v>
      </c>
      <c r="J247" s="5">
        <f>AVERAGEIFS('Data Combined - all-runs'!$J:$J, 'Data Combined - all-runs'!$A:$A, A247,'Data Combined - all-runs'!$B:$B, B247,'Data Combined - all-runs'!$C:$C, C247, 'Data Combined - all-runs'!$D:$D, D247, 'Data Combined - all-runs'!$E:$E, E247)</f>
        <v>0</v>
      </c>
      <c r="K247" s="5">
        <f>AVERAGEIFS('Data Combined - all-runs'!$K:$K, 'Data Combined - all-runs'!$A:$A, A247,'Data Combined - all-runs'!$B:$B, B247,'Data Combined - all-runs'!$C:$C, C247, 'Data Combined - all-runs'!$D:$D, D247, 'Data Combined - all-runs'!$E:$E, E247)</f>
        <v>0.07108567208</v>
      </c>
      <c r="L247" s="5">
        <f>AVERAGEIFS('Data Combined - all-runs'!$L:$L, 'Data Combined - all-runs'!$A:$A, A247,'Data Combined - all-runs'!$B:$B, B247,'Data Combined - all-runs'!$C:$C, C247, 'Data Combined - all-runs'!$D:$D, D247, 'Data Combined - all-runs'!$E:$E, E247)</f>
        <v>4296.298915</v>
      </c>
      <c r="M247" s="5">
        <f>AVERAGEIFS('Data Combined - all-runs'!$M:$M, 'Data Combined - all-runs'!$A:$A, A247,'Data Combined - all-runs'!$B:$B, B247,'Data Combined - all-runs'!$C:$C, C247, 'Data Combined - all-runs'!$D:$D, D247, 'Data Combined - all-runs'!$E:$E, E247)</f>
        <v>32</v>
      </c>
      <c r="N247" s="5">
        <f>AVERAGEIFS('Data Combined - all-runs'!$N:$N, 'Data Combined - all-runs'!$A:$A, A247,'Data Combined - all-runs'!$B:$B, B247,'Data Combined - all-runs'!$C:$C, C247, 'Data Combined - all-runs'!$D:$D, D247, 'Data Combined - all-runs'!$E:$E, E247)</f>
        <v>4</v>
      </c>
      <c r="O247" s="5">
        <f>AVERAGEIFS('Data Combined - all-runs'!$O:$O, 'Data Combined - all-runs'!$A:$A, A247,'Data Combined - all-runs'!$B:$B, B247,'Data Combined - all-runs'!$C:$C, C247, 'Data Combined - all-runs'!$D:$D, D247, 'Data Combined - all-runs'!$E:$E, E247)</f>
        <v>677</v>
      </c>
      <c r="P247" s="5">
        <f>AVERAGEIFS('Data Combined - all-runs'!$P:$P, 'Data Combined - all-runs'!$A:$A, A247,'Data Combined - all-runs'!$B:$B, B247,'Data Combined - all-runs'!$C:$C, C247, 'Data Combined - all-runs'!$D:$D, D247, 'Data Combined - all-runs'!$E:$E, E247)</f>
        <v>5.908419498</v>
      </c>
      <c r="Q247" s="5">
        <f>AVERAGEIFS('Data Combined - all-runs'!$Q:$Q, 'Data Combined - all-runs'!$A:$A, A247,'Data Combined - all-runs'!$B:$B, B247,'Data Combined - all-runs'!$C:$C, C247, 'Data Combined - all-runs'!$D:$D, D247, 'Data Combined - all-runs'!$E:$E, E247)</f>
        <v>666.1742984</v>
      </c>
      <c r="R247" s="5">
        <f>AVERAGEIFS('Data Combined - all-runs'!$R:$R, 'Data Combined - all-runs'!$A:$A, A247,'Data Combined - all-runs'!$B:$B, B247,'Data Combined - all-runs'!$C:$C, C247, 'Data Combined - all-runs'!$D:$D, D247, 'Data Combined - all-runs'!$E:$E, E247)</f>
        <v>112.75</v>
      </c>
      <c r="S247" s="5">
        <f>AVERAGEIFS('Data Combined - all-runs'!$S:$S, 'Data Combined - all-runs'!$A:$A, A247,'Data Combined - all-runs'!$B:$B, B247,'Data Combined - all-runs'!$C:$C, C247, 'Data Combined - all-runs'!$D:$D, D247, 'Data Combined - all-runs'!$E:$E, E247)</f>
        <v>0</v>
      </c>
      <c r="T247" s="5" t="str">
        <f>AVERAGEIFS('Data Combined - all-runs'!$T:$T, 'Data Combined - all-runs'!$A:$A, A247,'Data Combined - all-runs'!$B:$B, B247,'Data Combined - all-runs'!$C:$C, C247, 'Data Combined - all-runs'!$D:$D, D247, 'Data Combined - all-runs'!$E:$E, E247)</f>
        <v>#DIV/0!</v>
      </c>
      <c r="U247" s="5" t="b">
        <f t="shared" si="1"/>
        <v>1</v>
      </c>
      <c r="V247" s="5" t="b">
        <f t="shared" si="2"/>
        <v>1</v>
      </c>
      <c r="W247" s="5" t="b">
        <f t="shared" si="3"/>
        <v>1</v>
      </c>
    </row>
    <row r="248">
      <c r="A248" s="2" t="s">
        <v>460</v>
      </c>
      <c r="B248" s="2" t="s">
        <v>114</v>
      </c>
      <c r="C248" s="2" t="s">
        <v>23</v>
      </c>
      <c r="D248" s="2" t="s">
        <v>118</v>
      </c>
      <c r="E248" s="2" t="s">
        <v>25</v>
      </c>
      <c r="H248" s="5">
        <f>AVERAGEIFS('Data Combined - all-runs'!$H:$H, 'Data Combined - all-runs'!$A:$A, A248,'Data Combined - all-runs'!$B:$B, B248,'Data Combined - all-runs'!$C:$C, C248, 'Data Combined - all-runs'!$D:$D, D248, 'Data Combined - all-runs'!$E:$E, E248)</f>
        <v>182</v>
      </c>
      <c r="I248" s="5" t="str">
        <f>AVERAGEIFS('Data Combined - all-runs'!$I:$I, 'Data Combined - all-runs'!$A:$A, A248,'Data Combined - all-runs'!$B:$B, B248,'Data Combined - all-runs'!$C:$C, C248, 'Data Combined - all-runs'!$D:$D, D248, 'Data Combined - all-runs'!$E:$E, E248)</f>
        <v>#DIV/0!</v>
      </c>
      <c r="J248" s="5">
        <f>AVERAGEIFS('Data Combined - all-runs'!$J:$J, 'Data Combined - all-runs'!$A:$A, A248,'Data Combined - all-runs'!$B:$B, B248,'Data Combined - all-runs'!$C:$C, C248, 'Data Combined - all-runs'!$D:$D, D248, 'Data Combined - all-runs'!$E:$E, E248)</f>
        <v>0</v>
      </c>
      <c r="K248" s="5">
        <f>AVERAGEIFS('Data Combined - all-runs'!$K:$K, 'Data Combined - all-runs'!$A:$A, A248,'Data Combined - all-runs'!$B:$B, B248,'Data Combined - all-runs'!$C:$C, C248, 'Data Combined - all-runs'!$D:$D, D248, 'Data Combined - all-runs'!$E:$E, E248)</f>
        <v>0.09252336449</v>
      </c>
      <c r="L248" s="5">
        <f>AVERAGEIFS('Data Combined - all-runs'!$L:$L, 'Data Combined - all-runs'!$A:$A, A248,'Data Combined - all-runs'!$B:$B, B248,'Data Combined - all-runs'!$C:$C, C248, 'Data Combined - all-runs'!$D:$D, D248, 'Data Combined - all-runs'!$E:$E, E248)</f>
        <v>367.260823</v>
      </c>
      <c r="M248" s="5">
        <f>AVERAGEIFS('Data Combined - all-runs'!$M:$M, 'Data Combined - all-runs'!$A:$A, A248,'Data Combined - all-runs'!$B:$B, B248,'Data Combined - all-runs'!$C:$C, C248, 'Data Combined - all-runs'!$D:$D, D248, 'Data Combined - all-runs'!$E:$E, E248)</f>
        <v>35</v>
      </c>
      <c r="N248" s="5">
        <f>AVERAGEIFS('Data Combined - all-runs'!$N:$N, 'Data Combined - all-runs'!$A:$A, A248,'Data Combined - all-runs'!$B:$B, B248,'Data Combined - all-runs'!$C:$C, C248, 'Data Combined - all-runs'!$D:$D, D248, 'Data Combined - all-runs'!$E:$E, E248)</f>
        <v>1</v>
      </c>
      <c r="O248" s="5">
        <f>AVERAGEIFS('Data Combined - all-runs'!$O:$O, 'Data Combined - all-runs'!$A:$A, A248,'Data Combined - all-runs'!$B:$B, B248,'Data Combined - all-runs'!$C:$C, C248, 'Data Combined - all-runs'!$D:$D, D248, 'Data Combined - all-runs'!$E:$E, E248)</f>
        <v>535</v>
      </c>
      <c r="P248" s="5">
        <f>AVERAGEIFS('Data Combined - all-runs'!$P:$P, 'Data Combined - all-runs'!$A:$A, A248,'Data Combined - all-runs'!$B:$B, B248,'Data Combined - all-runs'!$C:$C, C248, 'Data Combined - all-runs'!$D:$D, D248, 'Data Combined - all-runs'!$E:$E, E248)</f>
        <v>1.869158879</v>
      </c>
      <c r="Q248" s="5">
        <f>AVERAGEIFS('Data Combined - all-runs'!$Q:$Q, 'Data Combined - all-runs'!$A:$A, A248,'Data Combined - all-runs'!$B:$B, B248,'Data Combined - all-runs'!$C:$C, C248, 'Data Combined - all-runs'!$D:$D, D248, 'Data Combined - all-runs'!$E:$E, E248)</f>
        <v>340.1869159</v>
      </c>
      <c r="R248" s="5">
        <f>AVERAGEIFS('Data Combined - all-runs'!$R:$R, 'Data Combined - all-runs'!$A:$A, A248,'Data Combined - all-runs'!$B:$B, B248,'Data Combined - all-runs'!$C:$C, C248, 'Data Combined - all-runs'!$D:$D, D248, 'Data Combined - all-runs'!$E:$E, E248)</f>
        <v>182</v>
      </c>
      <c r="S248" s="5">
        <f>AVERAGEIFS('Data Combined - all-runs'!$S:$S, 'Data Combined - all-runs'!$A:$A, A248,'Data Combined - all-runs'!$B:$B, B248,'Data Combined - all-runs'!$C:$C, C248, 'Data Combined - all-runs'!$D:$D, D248, 'Data Combined - all-runs'!$E:$E, E248)</f>
        <v>0</v>
      </c>
      <c r="T248" s="5" t="str">
        <f>AVERAGEIFS('Data Combined - all-runs'!$T:$T, 'Data Combined - all-runs'!$A:$A, A248,'Data Combined - all-runs'!$B:$B, B248,'Data Combined - all-runs'!$C:$C, C248, 'Data Combined - all-runs'!$D:$D, D248, 'Data Combined - all-runs'!$E:$E, E248)</f>
        <v>#DIV/0!</v>
      </c>
      <c r="U248" s="5" t="b">
        <f t="shared" si="1"/>
        <v>1</v>
      </c>
      <c r="V248" s="5" t="b">
        <f t="shared" si="2"/>
        <v>1</v>
      </c>
      <c r="W248" s="5" t="b">
        <f t="shared" si="3"/>
        <v>1</v>
      </c>
    </row>
    <row r="249">
      <c r="A249" s="2" t="s">
        <v>460</v>
      </c>
      <c r="B249" s="2" t="s">
        <v>114</v>
      </c>
      <c r="C249" s="2" t="s">
        <v>23</v>
      </c>
      <c r="D249" s="2" t="s">
        <v>118</v>
      </c>
      <c r="E249" s="2" t="s">
        <v>39</v>
      </c>
      <c r="H249" s="5">
        <f>AVERAGEIFS('Data Combined - all-runs'!$H:$H, 'Data Combined - all-runs'!$A:$A, A249,'Data Combined - all-runs'!$B:$B, B249,'Data Combined - all-runs'!$C:$C, C249, 'Data Combined - all-runs'!$D:$D, D249, 'Data Combined - all-runs'!$E:$E, E249)</f>
        <v>263</v>
      </c>
      <c r="I249" s="5" t="str">
        <f>AVERAGEIFS('Data Combined - all-runs'!$I:$I, 'Data Combined - all-runs'!$A:$A, A249,'Data Combined - all-runs'!$B:$B, B249,'Data Combined - all-runs'!$C:$C, C249, 'Data Combined - all-runs'!$D:$D, D249, 'Data Combined - all-runs'!$E:$E, E249)</f>
        <v>#DIV/0!</v>
      </c>
      <c r="J249" s="5">
        <f>AVERAGEIFS('Data Combined - all-runs'!$J:$J, 'Data Combined - all-runs'!$A:$A, A249,'Data Combined - all-runs'!$B:$B, B249,'Data Combined - all-runs'!$C:$C, C249, 'Data Combined - all-runs'!$D:$D, D249, 'Data Combined - all-runs'!$E:$E, E249)</f>
        <v>0</v>
      </c>
      <c r="K249" s="5">
        <f>AVERAGEIFS('Data Combined - all-runs'!$K:$K, 'Data Combined - all-runs'!$A:$A, A249,'Data Combined - all-runs'!$B:$B, B249,'Data Combined - all-runs'!$C:$C, C249, 'Data Combined - all-runs'!$D:$D, D249, 'Data Combined - all-runs'!$E:$E, E249)</f>
        <v>0.1245629371</v>
      </c>
      <c r="L249" s="5">
        <f>AVERAGEIFS('Data Combined - all-runs'!$L:$L, 'Data Combined - all-runs'!$A:$A, A249,'Data Combined - all-runs'!$B:$B, B249,'Data Combined - all-runs'!$C:$C, C249, 'Data Combined - all-runs'!$D:$D, D249, 'Data Combined - all-runs'!$E:$E, E249)</f>
        <v>674.9097939</v>
      </c>
      <c r="M249" s="5">
        <f>AVERAGEIFS('Data Combined - all-runs'!$M:$M, 'Data Combined - all-runs'!$A:$A, A249,'Data Combined - all-runs'!$B:$B, B249,'Data Combined - all-runs'!$C:$C, C249, 'Data Combined - all-runs'!$D:$D, D249, 'Data Combined - all-runs'!$E:$E, E249)</f>
        <v>72</v>
      </c>
      <c r="N249" s="5">
        <f>AVERAGEIFS('Data Combined - all-runs'!$N:$N, 'Data Combined - all-runs'!$A:$A, A249,'Data Combined - all-runs'!$B:$B, B249,'Data Combined - all-runs'!$C:$C, C249, 'Data Combined - all-runs'!$D:$D, D249, 'Data Combined - all-runs'!$E:$E, E249)</f>
        <v>1</v>
      </c>
      <c r="O249" s="5">
        <f>AVERAGEIFS('Data Combined - all-runs'!$O:$O, 'Data Combined - all-runs'!$A:$A, A249,'Data Combined - all-runs'!$B:$B, B249,'Data Combined - all-runs'!$C:$C, C249, 'Data Combined - all-runs'!$D:$D, D249, 'Data Combined - all-runs'!$E:$E, E249)</f>
        <v>572</v>
      </c>
      <c r="P249" s="5">
        <f>AVERAGEIFS('Data Combined - all-runs'!$P:$P, 'Data Combined - all-runs'!$A:$A, A249,'Data Combined - all-runs'!$B:$B, B249,'Data Combined - all-runs'!$C:$C, C249, 'Data Combined - all-runs'!$D:$D, D249, 'Data Combined - all-runs'!$E:$E, E249)</f>
        <v>1.748251748</v>
      </c>
      <c r="Q249" s="5">
        <f>AVERAGEIFS('Data Combined - all-runs'!$Q:$Q, 'Data Combined - all-runs'!$A:$A, A249,'Data Combined - all-runs'!$B:$B, B249,'Data Combined - all-runs'!$C:$C, C249, 'Data Combined - all-runs'!$D:$D, D249, 'Data Combined - all-runs'!$E:$E, E249)</f>
        <v>459.7902098</v>
      </c>
      <c r="R249" s="5">
        <f>AVERAGEIFS('Data Combined - all-runs'!$R:$R, 'Data Combined - all-runs'!$A:$A, A249,'Data Combined - all-runs'!$B:$B, B249,'Data Combined - all-runs'!$C:$C, C249, 'Data Combined - all-runs'!$D:$D, D249, 'Data Combined - all-runs'!$E:$E, E249)</f>
        <v>263</v>
      </c>
      <c r="S249" s="5">
        <f>AVERAGEIFS('Data Combined - all-runs'!$S:$S, 'Data Combined - all-runs'!$A:$A, A249,'Data Combined - all-runs'!$B:$B, B249,'Data Combined - all-runs'!$C:$C, C249, 'Data Combined - all-runs'!$D:$D, D249, 'Data Combined - all-runs'!$E:$E, E249)</f>
        <v>0</v>
      </c>
      <c r="T249" s="5" t="str">
        <f>AVERAGEIFS('Data Combined - all-runs'!$T:$T, 'Data Combined - all-runs'!$A:$A, A249,'Data Combined - all-runs'!$B:$B, B249,'Data Combined - all-runs'!$C:$C, C249, 'Data Combined - all-runs'!$D:$D, D249, 'Data Combined - all-runs'!$E:$E, E249)</f>
        <v>#DIV/0!</v>
      </c>
      <c r="U249" s="5" t="b">
        <f t="shared" si="1"/>
        <v>1</v>
      </c>
      <c r="V249" s="5" t="b">
        <f t="shared" si="2"/>
        <v>1</v>
      </c>
      <c r="W249" s="5" t="b">
        <f t="shared" si="3"/>
        <v>1</v>
      </c>
    </row>
    <row r="250">
      <c r="A250" s="2" t="s">
        <v>460</v>
      </c>
      <c r="B250" s="2" t="s">
        <v>114</v>
      </c>
      <c r="C250" s="2" t="s">
        <v>23</v>
      </c>
      <c r="D250" s="2" t="s">
        <v>118</v>
      </c>
      <c r="E250" s="2" t="s">
        <v>43</v>
      </c>
      <c r="H250" s="5">
        <f>AVERAGEIFS('Data Combined - all-runs'!$H:$H, 'Data Combined - all-runs'!$A:$A, A250,'Data Combined - all-runs'!$B:$B, B250,'Data Combined - all-runs'!$C:$C, C250, 'Data Combined - all-runs'!$D:$D, D250, 'Data Combined - all-runs'!$E:$E, E250)</f>
        <v>1159</v>
      </c>
      <c r="I250" s="5" t="str">
        <f>AVERAGEIFS('Data Combined - all-runs'!$I:$I, 'Data Combined - all-runs'!$A:$A, A250,'Data Combined - all-runs'!$B:$B, B250,'Data Combined - all-runs'!$C:$C, C250, 'Data Combined - all-runs'!$D:$D, D250, 'Data Combined - all-runs'!$E:$E, E250)</f>
        <v>#DIV/0!</v>
      </c>
      <c r="J250" s="5">
        <f>AVERAGEIFS('Data Combined - all-runs'!$J:$J, 'Data Combined - all-runs'!$A:$A, A250,'Data Combined - all-runs'!$B:$B, B250,'Data Combined - all-runs'!$C:$C, C250, 'Data Combined - all-runs'!$D:$D, D250, 'Data Combined - all-runs'!$E:$E, E250)</f>
        <v>0</v>
      </c>
      <c r="K250" s="5">
        <f>AVERAGEIFS('Data Combined - all-runs'!$K:$K, 'Data Combined - all-runs'!$A:$A, A250,'Data Combined - all-runs'!$B:$B, B250,'Data Combined - all-runs'!$C:$C, C250, 'Data Combined - all-runs'!$D:$D, D250, 'Data Combined - all-runs'!$E:$E, E250)</f>
        <v>0.09418662675</v>
      </c>
      <c r="L250" s="5">
        <f>AVERAGEIFS('Data Combined - all-runs'!$L:$L, 'Data Combined - all-runs'!$A:$A, A250,'Data Combined - all-runs'!$B:$B, B250,'Data Combined - all-runs'!$C:$C, C250, 'Data Combined - all-runs'!$D:$D, D250, 'Data Combined - all-runs'!$E:$E, E250)</f>
        <v>3466.950595</v>
      </c>
      <c r="M250" s="5">
        <f>AVERAGEIFS('Data Combined - all-runs'!$M:$M, 'Data Combined - all-runs'!$A:$A, A250,'Data Combined - all-runs'!$B:$B, B250,'Data Combined - all-runs'!$C:$C, C250, 'Data Combined - all-runs'!$D:$D, D250, 'Data Combined - all-runs'!$E:$E, E250)</f>
        <v>41</v>
      </c>
      <c r="N250" s="5">
        <f>AVERAGEIFS('Data Combined - all-runs'!$N:$N, 'Data Combined - all-runs'!$A:$A, A250,'Data Combined - all-runs'!$B:$B, B250,'Data Combined - all-runs'!$C:$C, C250, 'Data Combined - all-runs'!$D:$D, D250, 'Data Combined - all-runs'!$E:$E, E250)</f>
        <v>9</v>
      </c>
      <c r="O250" s="5">
        <f>AVERAGEIFS('Data Combined - all-runs'!$O:$O, 'Data Combined - all-runs'!$A:$A, A250,'Data Combined - all-runs'!$B:$B, B250,'Data Combined - all-runs'!$C:$C, C250, 'Data Combined - all-runs'!$D:$D, D250, 'Data Combined - all-runs'!$E:$E, E250)</f>
        <v>1336</v>
      </c>
      <c r="P250" s="5">
        <f>AVERAGEIFS('Data Combined - all-runs'!$P:$P, 'Data Combined - all-runs'!$A:$A, A250,'Data Combined - all-runs'!$B:$B, B250,'Data Combined - all-runs'!$C:$C, C250, 'Data Combined - all-runs'!$D:$D, D250, 'Data Combined - all-runs'!$E:$E, E250)</f>
        <v>6.736526946</v>
      </c>
      <c r="Q250" s="5">
        <f>AVERAGEIFS('Data Combined - all-runs'!$Q:$Q, 'Data Combined - all-runs'!$A:$A, A250,'Data Combined - all-runs'!$B:$B, B250,'Data Combined - all-runs'!$C:$C, C250, 'Data Combined - all-runs'!$D:$D, D250, 'Data Combined - all-runs'!$E:$E, E250)</f>
        <v>867.5149701</v>
      </c>
      <c r="R250" s="5">
        <f>AVERAGEIFS('Data Combined - all-runs'!$R:$R, 'Data Combined - all-runs'!$A:$A, A250,'Data Combined - all-runs'!$B:$B, B250,'Data Combined - all-runs'!$C:$C, C250, 'Data Combined - all-runs'!$D:$D, D250, 'Data Combined - all-runs'!$E:$E, E250)</f>
        <v>128.7777778</v>
      </c>
      <c r="S250" s="5">
        <f>AVERAGEIFS('Data Combined - all-runs'!$S:$S, 'Data Combined - all-runs'!$A:$A, A250,'Data Combined - all-runs'!$B:$B, B250,'Data Combined - all-runs'!$C:$C, C250, 'Data Combined - all-runs'!$D:$D, D250, 'Data Combined - all-runs'!$E:$E, E250)</f>
        <v>0</v>
      </c>
      <c r="T250" s="5" t="str">
        <f>AVERAGEIFS('Data Combined - all-runs'!$T:$T, 'Data Combined - all-runs'!$A:$A, A250,'Data Combined - all-runs'!$B:$B, B250,'Data Combined - all-runs'!$C:$C, C250, 'Data Combined - all-runs'!$D:$D, D250, 'Data Combined - all-runs'!$E:$E, E250)</f>
        <v>#DIV/0!</v>
      </c>
      <c r="U250" s="5" t="b">
        <f t="shared" si="1"/>
        <v>1</v>
      </c>
      <c r="V250" s="5" t="b">
        <f t="shared" si="2"/>
        <v>1</v>
      </c>
      <c r="W250" s="5" t="b">
        <f t="shared" si="3"/>
        <v>1</v>
      </c>
    </row>
    <row r="251">
      <c r="A251" s="2" t="s">
        <v>460</v>
      </c>
      <c r="B251" s="2" t="s">
        <v>114</v>
      </c>
      <c r="C251" s="2" t="s">
        <v>23</v>
      </c>
      <c r="D251" s="2" t="s">
        <v>118</v>
      </c>
      <c r="E251" s="2" t="s">
        <v>34</v>
      </c>
      <c r="H251" s="5">
        <f>AVERAGEIFS('Data Combined - all-runs'!$H:$H, 'Data Combined - all-runs'!$A:$A, A251,'Data Combined - all-runs'!$B:$B, B251,'Data Combined - all-runs'!$C:$C, C251, 'Data Combined - all-runs'!$D:$D, D251, 'Data Combined - all-runs'!$E:$E, E251)</f>
        <v>4267</v>
      </c>
      <c r="I251" s="5" t="str">
        <f>AVERAGEIFS('Data Combined - all-runs'!$I:$I, 'Data Combined - all-runs'!$A:$A, A251,'Data Combined - all-runs'!$B:$B, B251,'Data Combined - all-runs'!$C:$C, C251, 'Data Combined - all-runs'!$D:$D, D251, 'Data Combined - all-runs'!$E:$E, E251)</f>
        <v>#DIV/0!</v>
      </c>
      <c r="J251" s="5">
        <f>AVERAGEIFS('Data Combined - all-runs'!$J:$J, 'Data Combined - all-runs'!$A:$A, A251,'Data Combined - all-runs'!$B:$B, B251,'Data Combined - all-runs'!$C:$C, C251, 'Data Combined - all-runs'!$D:$D, D251, 'Data Combined - all-runs'!$E:$E, E251)</f>
        <v>0</v>
      </c>
      <c r="K251" s="5">
        <f>AVERAGEIFS('Data Combined - all-runs'!$K:$K, 'Data Combined - all-runs'!$A:$A, A251,'Data Combined - all-runs'!$B:$B, B251,'Data Combined - all-runs'!$C:$C, C251, 'Data Combined - all-runs'!$D:$D, D251, 'Data Combined - all-runs'!$E:$E, E251)</f>
        <v>0.1712244898</v>
      </c>
      <c r="L251" s="5">
        <f>AVERAGEIFS('Data Combined - all-runs'!$L:$L, 'Data Combined - all-runs'!$A:$A, A251,'Data Combined - all-runs'!$B:$B, B251,'Data Combined - all-runs'!$C:$C, C251, 'Data Combined - all-runs'!$D:$D, D251, 'Data Combined - all-runs'!$E:$E, E251)</f>
        <v>11228.55109</v>
      </c>
      <c r="M251" s="5">
        <f>AVERAGEIFS('Data Combined - all-runs'!$M:$M, 'Data Combined - all-runs'!$A:$A, A251,'Data Combined - all-runs'!$B:$B, B251,'Data Combined - all-runs'!$C:$C, C251, 'Data Combined - all-runs'!$D:$D, D251, 'Data Combined - all-runs'!$E:$E, E251)</f>
        <v>24</v>
      </c>
      <c r="N251" s="5">
        <f>AVERAGEIFS('Data Combined - all-runs'!$N:$N, 'Data Combined - all-runs'!$A:$A, A251,'Data Combined - all-runs'!$B:$B, B251,'Data Combined - all-runs'!$C:$C, C251, 'Data Combined - all-runs'!$D:$D, D251, 'Data Combined - all-runs'!$E:$E, E251)</f>
        <v>14</v>
      </c>
      <c r="O251" s="5">
        <f>AVERAGEIFS('Data Combined - all-runs'!$O:$O, 'Data Combined - all-runs'!$A:$A, A251,'Data Combined - all-runs'!$B:$B, B251,'Data Combined - all-runs'!$C:$C, C251, 'Data Combined - all-runs'!$D:$D, D251, 'Data Combined - all-runs'!$E:$E, E251)</f>
        <v>2450</v>
      </c>
      <c r="P251" s="5">
        <f>AVERAGEIFS('Data Combined - all-runs'!$P:$P, 'Data Combined - all-runs'!$A:$A, A251,'Data Combined - all-runs'!$B:$B, B251,'Data Combined - all-runs'!$C:$C, C251, 'Data Combined - all-runs'!$D:$D, D251, 'Data Combined - all-runs'!$E:$E, E251)</f>
        <v>5.714285714</v>
      </c>
      <c r="Q251" s="5">
        <f>AVERAGEIFS('Data Combined - all-runs'!$Q:$Q, 'Data Combined - all-runs'!$A:$A, A251,'Data Combined - all-runs'!$B:$B, B251,'Data Combined - all-runs'!$C:$C, C251, 'Data Combined - all-runs'!$D:$D, D251, 'Data Combined - all-runs'!$E:$E, E251)</f>
        <v>1741.632653</v>
      </c>
      <c r="R251" s="5">
        <f>AVERAGEIFS('Data Combined - all-runs'!$R:$R, 'Data Combined - all-runs'!$A:$A, A251,'Data Combined - all-runs'!$B:$B, B251,'Data Combined - all-runs'!$C:$C, C251, 'Data Combined - all-runs'!$D:$D, D251, 'Data Combined - all-runs'!$E:$E, E251)</f>
        <v>304.7857143</v>
      </c>
      <c r="S251" s="5">
        <f>AVERAGEIFS('Data Combined - all-runs'!$S:$S, 'Data Combined - all-runs'!$A:$A, A251,'Data Combined - all-runs'!$B:$B, B251,'Data Combined - all-runs'!$C:$C, C251, 'Data Combined - all-runs'!$D:$D, D251, 'Data Combined - all-runs'!$E:$E, E251)</f>
        <v>0</v>
      </c>
      <c r="T251" s="5" t="str">
        <f>AVERAGEIFS('Data Combined - all-runs'!$T:$T, 'Data Combined - all-runs'!$A:$A, A251,'Data Combined - all-runs'!$B:$B, B251,'Data Combined - all-runs'!$C:$C, C251, 'Data Combined - all-runs'!$D:$D, D251, 'Data Combined - all-runs'!$E:$E, E251)</f>
        <v>#DIV/0!</v>
      </c>
      <c r="U251" s="5" t="b">
        <f t="shared" si="1"/>
        <v>1</v>
      </c>
      <c r="V251" s="5" t="b">
        <f t="shared" si="2"/>
        <v>1</v>
      </c>
      <c r="W251" s="5" t="b">
        <f t="shared" si="3"/>
        <v>1</v>
      </c>
    </row>
    <row r="252">
      <c r="A252" s="2" t="s">
        <v>460</v>
      </c>
      <c r="B252" s="2" t="s">
        <v>114</v>
      </c>
      <c r="C252" s="2" t="s">
        <v>23</v>
      </c>
      <c r="D252" s="2" t="s">
        <v>118</v>
      </c>
      <c r="E252" s="2" t="s">
        <v>47</v>
      </c>
      <c r="H252" s="5">
        <f>AVERAGEIFS('Data Combined - all-runs'!$H:$H, 'Data Combined - all-runs'!$A:$A, A252,'Data Combined - all-runs'!$B:$B, B252,'Data Combined - all-runs'!$C:$C, C252, 'Data Combined - all-runs'!$D:$D, D252, 'Data Combined - all-runs'!$E:$E, E252)</f>
        <v>2004</v>
      </c>
      <c r="I252" s="5" t="str">
        <f>AVERAGEIFS('Data Combined - all-runs'!$I:$I, 'Data Combined - all-runs'!$A:$A, A252,'Data Combined - all-runs'!$B:$B, B252,'Data Combined - all-runs'!$C:$C, C252, 'Data Combined - all-runs'!$D:$D, D252, 'Data Combined - all-runs'!$E:$E, E252)</f>
        <v>#DIV/0!</v>
      </c>
      <c r="J252" s="5">
        <f>AVERAGEIFS('Data Combined - all-runs'!$J:$J, 'Data Combined - all-runs'!$A:$A, A252,'Data Combined - all-runs'!$B:$B, B252,'Data Combined - all-runs'!$C:$C, C252, 'Data Combined - all-runs'!$D:$D, D252, 'Data Combined - all-runs'!$E:$E, E252)</f>
        <v>0</v>
      </c>
      <c r="K252" s="5">
        <f>AVERAGEIFS('Data Combined - all-runs'!$K:$K, 'Data Combined - all-runs'!$A:$A, A252,'Data Combined - all-runs'!$B:$B, B252,'Data Combined - all-runs'!$C:$C, C252, 'Data Combined - all-runs'!$D:$D, D252, 'Data Combined - all-runs'!$E:$E, E252)</f>
        <v>0.1590549102</v>
      </c>
      <c r="L252" s="5">
        <f>AVERAGEIFS('Data Combined - all-runs'!$L:$L, 'Data Combined - all-runs'!$A:$A, A252,'Data Combined - all-runs'!$B:$B, B252,'Data Combined - all-runs'!$C:$C, C252, 'Data Combined - all-runs'!$D:$D, D252, 'Data Combined - all-runs'!$E:$E, E252)</f>
        <v>7405.105554</v>
      </c>
      <c r="M252" s="5">
        <f>AVERAGEIFS('Data Combined - all-runs'!$M:$M, 'Data Combined - all-runs'!$A:$A, A252,'Data Combined - all-runs'!$B:$B, B252,'Data Combined - all-runs'!$C:$C, C252, 'Data Combined - all-runs'!$D:$D, D252, 'Data Combined - all-runs'!$E:$E, E252)</f>
        <v>46</v>
      </c>
      <c r="N252" s="5">
        <f>AVERAGEIFS('Data Combined - all-runs'!$N:$N, 'Data Combined - all-runs'!$A:$A, A252,'Data Combined - all-runs'!$B:$B, B252,'Data Combined - all-runs'!$C:$C, C252, 'Data Combined - all-runs'!$D:$D, D252, 'Data Combined - all-runs'!$E:$E, E252)</f>
        <v>7</v>
      </c>
      <c r="O252" s="5">
        <f>AVERAGEIFS('Data Combined - all-runs'!$O:$O, 'Data Combined - all-runs'!$A:$A, A252,'Data Combined - all-runs'!$B:$B, B252,'Data Combined - all-runs'!$C:$C, C252, 'Data Combined - all-runs'!$D:$D, D252, 'Data Combined - all-runs'!$E:$E, E252)</f>
        <v>947</v>
      </c>
      <c r="P252" s="5">
        <f>AVERAGEIFS('Data Combined - all-runs'!$P:$P, 'Data Combined - all-runs'!$A:$A, A252,'Data Combined - all-runs'!$B:$B, B252,'Data Combined - all-runs'!$C:$C, C252, 'Data Combined - all-runs'!$D:$D, D252, 'Data Combined - all-runs'!$E:$E, E252)</f>
        <v>7.391763464</v>
      </c>
      <c r="Q252" s="5">
        <f>AVERAGEIFS('Data Combined - all-runs'!$Q:$Q, 'Data Combined - all-runs'!$A:$A, A252,'Data Combined - all-runs'!$B:$B, B252,'Data Combined - all-runs'!$C:$C, C252, 'Data Combined - all-runs'!$D:$D, D252, 'Data Combined - all-runs'!$E:$E, E252)</f>
        <v>2116.156283</v>
      </c>
      <c r="R252" s="5">
        <f>AVERAGEIFS('Data Combined - all-runs'!$R:$R, 'Data Combined - all-runs'!$A:$A, A252,'Data Combined - all-runs'!$B:$B, B252,'Data Combined - all-runs'!$C:$C, C252, 'Data Combined - all-runs'!$D:$D, D252, 'Data Combined - all-runs'!$E:$E, E252)</f>
        <v>286.2857143</v>
      </c>
      <c r="S252" s="5">
        <f>AVERAGEIFS('Data Combined - all-runs'!$S:$S, 'Data Combined - all-runs'!$A:$A, A252,'Data Combined - all-runs'!$B:$B, B252,'Data Combined - all-runs'!$C:$C, C252, 'Data Combined - all-runs'!$D:$D, D252, 'Data Combined - all-runs'!$E:$E, E252)</f>
        <v>0</v>
      </c>
      <c r="T252" s="5" t="str">
        <f>AVERAGEIFS('Data Combined - all-runs'!$T:$T, 'Data Combined - all-runs'!$A:$A, A252,'Data Combined - all-runs'!$B:$B, B252,'Data Combined - all-runs'!$C:$C, C252, 'Data Combined - all-runs'!$D:$D, D252, 'Data Combined - all-runs'!$E:$E, E252)</f>
        <v>#DIV/0!</v>
      </c>
      <c r="U252" s="5" t="b">
        <f t="shared" si="1"/>
        <v>1</v>
      </c>
      <c r="V252" s="5" t="b">
        <f t="shared" si="2"/>
        <v>1</v>
      </c>
      <c r="W252" s="5" t="b">
        <f t="shared" si="3"/>
        <v>1</v>
      </c>
    </row>
    <row r="253">
      <c r="A253" s="2" t="s">
        <v>460</v>
      </c>
      <c r="B253" s="2" t="s">
        <v>114</v>
      </c>
      <c r="C253" s="2" t="s">
        <v>23</v>
      </c>
      <c r="D253" s="2" t="s">
        <v>118</v>
      </c>
      <c r="E253" s="2" t="s">
        <v>51</v>
      </c>
      <c r="H253" s="5">
        <f>AVERAGEIFS('Data Combined - all-runs'!$H:$H, 'Data Combined - all-runs'!$A:$A, A253,'Data Combined - all-runs'!$B:$B, B253,'Data Combined - all-runs'!$C:$C, C253, 'Data Combined - all-runs'!$D:$D, D253, 'Data Combined - all-runs'!$E:$E, E253)</f>
        <v>820</v>
      </c>
      <c r="I253" s="5" t="str">
        <f>AVERAGEIFS('Data Combined - all-runs'!$I:$I, 'Data Combined - all-runs'!$A:$A, A253,'Data Combined - all-runs'!$B:$B, B253,'Data Combined - all-runs'!$C:$C, C253, 'Data Combined - all-runs'!$D:$D, D253, 'Data Combined - all-runs'!$E:$E, E253)</f>
        <v>#DIV/0!</v>
      </c>
      <c r="J253" s="5">
        <f>AVERAGEIFS('Data Combined - all-runs'!$J:$J, 'Data Combined - all-runs'!$A:$A, A253,'Data Combined - all-runs'!$B:$B, B253,'Data Combined - all-runs'!$C:$C, C253, 'Data Combined - all-runs'!$D:$D, D253, 'Data Combined - all-runs'!$E:$E, E253)</f>
        <v>0</v>
      </c>
      <c r="K253" s="5">
        <f>AVERAGEIFS('Data Combined - all-runs'!$K:$K, 'Data Combined - all-runs'!$A:$A, A253,'Data Combined - all-runs'!$B:$B, B253,'Data Combined - all-runs'!$C:$C, C253, 'Data Combined - all-runs'!$D:$D, D253, 'Data Combined - all-runs'!$E:$E, E253)</f>
        <v>0.08523245214</v>
      </c>
      <c r="L253" s="5">
        <f>AVERAGEIFS('Data Combined - all-runs'!$L:$L, 'Data Combined - all-runs'!$A:$A, A253,'Data Combined - all-runs'!$B:$B, B253,'Data Combined - all-runs'!$C:$C, C253, 'Data Combined - all-runs'!$D:$D, D253, 'Data Combined - all-runs'!$E:$E, E253)</f>
        <v>3114.555268</v>
      </c>
      <c r="M253" s="5">
        <f>AVERAGEIFS('Data Combined - all-runs'!$M:$M, 'Data Combined - all-runs'!$A:$A, A253,'Data Combined - all-runs'!$B:$B, B253,'Data Combined - all-runs'!$C:$C, C253, 'Data Combined - all-runs'!$D:$D, D253, 'Data Combined - all-runs'!$E:$E, E253)</f>
        <v>32</v>
      </c>
      <c r="N253" s="5">
        <f>AVERAGEIFS('Data Combined - all-runs'!$N:$N, 'Data Combined - all-runs'!$A:$A, A253,'Data Combined - all-runs'!$B:$B, B253,'Data Combined - all-runs'!$C:$C, C253, 'Data Combined - all-runs'!$D:$D, D253, 'Data Combined - all-runs'!$E:$E, E253)</f>
        <v>5</v>
      </c>
      <c r="O253" s="5">
        <f>AVERAGEIFS('Data Combined - all-runs'!$O:$O, 'Data Combined - all-runs'!$A:$A, A253,'Data Combined - all-runs'!$B:$B, B253,'Data Combined - all-runs'!$C:$C, C253, 'Data Combined - all-runs'!$D:$D, D253, 'Data Combined - all-runs'!$E:$E, E253)</f>
        <v>1097</v>
      </c>
      <c r="P253" s="5">
        <f>AVERAGEIFS('Data Combined - all-runs'!$P:$P, 'Data Combined - all-runs'!$A:$A, A253,'Data Combined - all-runs'!$B:$B, B253,'Data Combined - all-runs'!$C:$C, C253, 'Data Combined - all-runs'!$D:$D, D253, 'Data Combined - all-runs'!$E:$E, E253)</f>
        <v>4.557885141</v>
      </c>
      <c r="Q253" s="5">
        <f>AVERAGEIFS('Data Combined - all-runs'!$Q:$Q, 'Data Combined - all-runs'!$A:$A, A253,'Data Combined - all-runs'!$B:$B, B253,'Data Combined - all-runs'!$C:$C, C253, 'Data Combined - all-runs'!$D:$D, D253, 'Data Combined - all-runs'!$E:$E, E253)</f>
        <v>747.4931632</v>
      </c>
      <c r="R253" s="5">
        <f>AVERAGEIFS('Data Combined - all-runs'!$R:$R, 'Data Combined - all-runs'!$A:$A, A253,'Data Combined - all-runs'!$B:$B, B253,'Data Combined - all-runs'!$C:$C, C253, 'Data Combined - all-runs'!$D:$D, D253, 'Data Combined - all-runs'!$E:$E, E253)</f>
        <v>164</v>
      </c>
      <c r="S253" s="5">
        <f>AVERAGEIFS('Data Combined - all-runs'!$S:$S, 'Data Combined - all-runs'!$A:$A, A253,'Data Combined - all-runs'!$B:$B, B253,'Data Combined - all-runs'!$C:$C, C253, 'Data Combined - all-runs'!$D:$D, D253, 'Data Combined - all-runs'!$E:$E, E253)</f>
        <v>0</v>
      </c>
      <c r="T253" s="5" t="str">
        <f>AVERAGEIFS('Data Combined - all-runs'!$T:$T, 'Data Combined - all-runs'!$A:$A, A253,'Data Combined - all-runs'!$B:$B, B253,'Data Combined - all-runs'!$C:$C, C253, 'Data Combined - all-runs'!$D:$D, D253, 'Data Combined - all-runs'!$E:$E, E253)</f>
        <v>#DIV/0!</v>
      </c>
      <c r="U253" s="5" t="b">
        <f t="shared" si="1"/>
        <v>1</v>
      </c>
      <c r="V253" s="5" t="b">
        <f t="shared" si="2"/>
        <v>1</v>
      </c>
      <c r="W253" s="5" t="b">
        <f t="shared" si="3"/>
        <v>1</v>
      </c>
    </row>
    <row r="254">
      <c r="A254" s="2" t="s">
        <v>460</v>
      </c>
      <c r="B254" s="2" t="s">
        <v>114</v>
      </c>
      <c r="C254" s="2" t="s">
        <v>35</v>
      </c>
      <c r="D254" s="2" t="s">
        <v>24</v>
      </c>
      <c r="E254" s="2" t="s">
        <v>25</v>
      </c>
      <c r="H254" s="5">
        <f>AVERAGEIFS('Data Combined - all-runs'!$H:$H, 'Data Combined - all-runs'!$A:$A, A254,'Data Combined - all-runs'!$B:$B, B254,'Data Combined - all-runs'!$C:$C, C254, 'Data Combined - all-runs'!$D:$D, D254, 'Data Combined - all-runs'!$E:$E, E254)</f>
        <v>592</v>
      </c>
      <c r="I254" s="5">
        <f>AVERAGEIFS('Data Combined - all-runs'!$I:$I, 'Data Combined - all-runs'!$A:$A, A254,'Data Combined - all-runs'!$B:$B, B254,'Data Combined - all-runs'!$C:$C, C254, 'Data Combined - all-runs'!$D:$D, D254, 'Data Combined - all-runs'!$E:$E, E254)</f>
        <v>0</v>
      </c>
      <c r="J254" s="5">
        <f>AVERAGEIFS('Data Combined - all-runs'!$J:$J, 'Data Combined - all-runs'!$A:$A, A254,'Data Combined - all-runs'!$B:$B, B254,'Data Combined - all-runs'!$C:$C, C254, 'Data Combined - all-runs'!$D:$D, D254, 'Data Combined - all-runs'!$E:$E, E254)</f>
        <v>0</v>
      </c>
      <c r="K254" s="5">
        <f>AVERAGEIFS('Data Combined - all-runs'!$K:$K, 'Data Combined - all-runs'!$A:$A, A254,'Data Combined - all-runs'!$B:$B, B254,'Data Combined - all-runs'!$C:$C, C254, 'Data Combined - all-runs'!$D:$D, D254, 'Data Combined - all-runs'!$E:$E, E254)</f>
        <v>0.005059021922</v>
      </c>
      <c r="L254" s="5">
        <f>AVERAGEIFS('Data Combined - all-runs'!$L:$L, 'Data Combined - all-runs'!$A:$A, A254,'Data Combined - all-runs'!$B:$B, B254,'Data Combined - all-runs'!$C:$C, C254, 'Data Combined - all-runs'!$D:$D, D254, 'Data Combined - all-runs'!$E:$E, E254)</f>
        <v>632.2586641</v>
      </c>
      <c r="M254" s="5">
        <f>AVERAGEIFS('Data Combined - all-runs'!$M:$M, 'Data Combined - all-runs'!$A:$A, A254,'Data Combined - all-runs'!$B:$B, B254,'Data Combined - all-runs'!$C:$C, C254, 'Data Combined - all-runs'!$D:$D, D254, 'Data Combined - all-runs'!$E:$E, E254)</f>
        <v>93</v>
      </c>
      <c r="N254" s="5">
        <f>AVERAGEIFS('Data Combined - all-runs'!$N:$N, 'Data Combined - all-runs'!$A:$A, A254,'Data Combined - all-runs'!$B:$B, B254,'Data Combined - all-runs'!$C:$C, C254, 'Data Combined - all-runs'!$D:$D, D254, 'Data Combined - all-runs'!$E:$E, E254)</f>
        <v>1</v>
      </c>
      <c r="O254" s="5">
        <f>AVERAGEIFS('Data Combined - all-runs'!$O:$O, 'Data Combined - all-runs'!$A:$A, A254,'Data Combined - all-runs'!$B:$B, B254,'Data Combined - all-runs'!$C:$C, C254, 'Data Combined - all-runs'!$D:$D, D254, 'Data Combined - all-runs'!$E:$E, E254)</f>
        <v>593</v>
      </c>
      <c r="P254" s="5">
        <f>AVERAGEIFS('Data Combined - all-runs'!$P:$P, 'Data Combined - all-runs'!$A:$A, A254,'Data Combined - all-runs'!$B:$B, B254,'Data Combined - all-runs'!$C:$C, C254, 'Data Combined - all-runs'!$D:$D, D254, 'Data Combined - all-runs'!$E:$E, E254)</f>
        <v>1.686340641</v>
      </c>
      <c r="Q254" s="5">
        <f>AVERAGEIFS('Data Combined - all-runs'!$Q:$Q, 'Data Combined - all-runs'!$A:$A, A254,'Data Combined - all-runs'!$B:$B, B254,'Data Combined - all-runs'!$C:$C, C254, 'Data Combined - all-runs'!$D:$D, D254, 'Data Combined - all-runs'!$E:$E, E254)</f>
        <v>998.3136594</v>
      </c>
      <c r="R254" s="5">
        <f>AVERAGEIFS('Data Combined - all-runs'!$R:$R, 'Data Combined - all-runs'!$A:$A, A254,'Data Combined - all-runs'!$B:$B, B254,'Data Combined - all-runs'!$C:$C, C254, 'Data Combined - all-runs'!$D:$D, D254, 'Data Combined - all-runs'!$E:$E, E254)</f>
        <v>592</v>
      </c>
      <c r="S254" s="5">
        <f>AVERAGEIFS('Data Combined - all-runs'!$S:$S, 'Data Combined - all-runs'!$A:$A, A254,'Data Combined - all-runs'!$B:$B, B254,'Data Combined - all-runs'!$C:$C, C254, 'Data Combined - all-runs'!$D:$D, D254, 'Data Combined - all-runs'!$E:$E, E254)</f>
        <v>0</v>
      </c>
      <c r="T254" s="5">
        <f>AVERAGEIFS('Data Combined - all-runs'!$T:$T, 'Data Combined - all-runs'!$A:$A, A254,'Data Combined - all-runs'!$B:$B, B254,'Data Combined - all-runs'!$C:$C, C254, 'Data Combined - all-runs'!$D:$D, D254, 'Data Combined - all-runs'!$E:$E, E254)</f>
        <v>0</v>
      </c>
      <c r="U254" s="5" t="b">
        <f t="shared" si="1"/>
        <v>1</v>
      </c>
      <c r="V254" s="5" t="b">
        <f t="shared" si="2"/>
        <v>1</v>
      </c>
      <c r="W254" s="5" t="b">
        <f t="shared" si="3"/>
        <v>0</v>
      </c>
    </row>
    <row r="255">
      <c r="A255" s="2" t="s">
        <v>460</v>
      </c>
      <c r="B255" s="2" t="s">
        <v>114</v>
      </c>
      <c r="C255" s="2" t="s">
        <v>35</v>
      </c>
      <c r="D255" s="2" t="s">
        <v>24</v>
      </c>
      <c r="E255" s="2" t="s">
        <v>39</v>
      </c>
      <c r="H255" s="5">
        <f>AVERAGEIFS('Data Combined - all-runs'!$H:$H, 'Data Combined - all-runs'!$A:$A, A255,'Data Combined - all-runs'!$B:$B, B255,'Data Combined - all-runs'!$C:$C, C255, 'Data Combined - all-runs'!$D:$D, D255, 'Data Combined - all-runs'!$E:$E, E255)</f>
        <v>1312</v>
      </c>
      <c r="I255" s="5">
        <f>AVERAGEIFS('Data Combined - all-runs'!$I:$I, 'Data Combined - all-runs'!$A:$A, A255,'Data Combined - all-runs'!$B:$B, B255,'Data Combined - all-runs'!$C:$C, C255, 'Data Combined - all-runs'!$D:$D, D255, 'Data Combined - all-runs'!$E:$E, E255)</f>
        <v>0</v>
      </c>
      <c r="J255" s="5">
        <f>AVERAGEIFS('Data Combined - all-runs'!$J:$J, 'Data Combined - all-runs'!$A:$A, A255,'Data Combined - all-runs'!$B:$B, B255,'Data Combined - all-runs'!$C:$C, C255, 'Data Combined - all-runs'!$D:$D, D255, 'Data Combined - all-runs'!$E:$E, E255)</f>
        <v>0</v>
      </c>
      <c r="K255" s="5">
        <f>AVERAGEIFS('Data Combined - all-runs'!$K:$K, 'Data Combined - all-runs'!$A:$A, A255,'Data Combined - all-runs'!$B:$B, B255,'Data Combined - all-runs'!$C:$C, C255, 'Data Combined - all-runs'!$D:$D, D255, 'Data Combined - all-runs'!$E:$E, E255)</f>
        <v>0.02137096774</v>
      </c>
      <c r="L255" s="5">
        <f>AVERAGEIFS('Data Combined - all-runs'!$L:$L, 'Data Combined - all-runs'!$A:$A, A255,'Data Combined - all-runs'!$B:$B, B255,'Data Combined - all-runs'!$C:$C, C255, 'Data Combined - all-runs'!$D:$D, D255, 'Data Combined - all-runs'!$E:$E, E255)</f>
        <v>1683.777648</v>
      </c>
      <c r="M255" s="5">
        <f>AVERAGEIFS('Data Combined - all-runs'!$M:$M, 'Data Combined - all-runs'!$A:$A, A255,'Data Combined - all-runs'!$B:$B, B255,'Data Combined - all-runs'!$C:$C, C255, 'Data Combined - all-runs'!$D:$D, D255, 'Data Combined - all-runs'!$E:$E, E255)</f>
        <v>46</v>
      </c>
      <c r="N255" s="5">
        <f>AVERAGEIFS('Data Combined - all-runs'!$N:$N, 'Data Combined - all-runs'!$A:$A, A255,'Data Combined - all-runs'!$B:$B, B255,'Data Combined - all-runs'!$C:$C, C255, 'Data Combined - all-runs'!$D:$D, D255, 'Data Combined - all-runs'!$E:$E, E255)</f>
        <v>3</v>
      </c>
      <c r="O255" s="5">
        <f>AVERAGEIFS('Data Combined - all-runs'!$O:$O, 'Data Combined - all-runs'!$A:$A, A255,'Data Combined - all-runs'!$B:$B, B255,'Data Combined - all-runs'!$C:$C, C255, 'Data Combined - all-runs'!$D:$D, D255, 'Data Combined - all-runs'!$E:$E, E255)</f>
        <v>620</v>
      </c>
      <c r="P255" s="5">
        <f>AVERAGEIFS('Data Combined - all-runs'!$P:$P, 'Data Combined - all-runs'!$A:$A, A255,'Data Combined - all-runs'!$B:$B, B255,'Data Combined - all-runs'!$C:$C, C255, 'Data Combined - all-runs'!$D:$D, D255, 'Data Combined - all-runs'!$E:$E, E255)</f>
        <v>4.838709677</v>
      </c>
      <c r="Q255" s="5">
        <f>AVERAGEIFS('Data Combined - all-runs'!$Q:$Q, 'Data Combined - all-runs'!$A:$A, A255,'Data Combined - all-runs'!$B:$B, B255,'Data Combined - all-runs'!$C:$C, C255, 'Data Combined - all-runs'!$D:$D, D255, 'Data Combined - all-runs'!$E:$E, E255)</f>
        <v>2116.129032</v>
      </c>
      <c r="R255" s="5">
        <f>AVERAGEIFS('Data Combined - all-runs'!$R:$R, 'Data Combined - all-runs'!$A:$A, A255,'Data Combined - all-runs'!$B:$B, B255,'Data Combined - all-runs'!$C:$C, C255, 'Data Combined - all-runs'!$D:$D, D255, 'Data Combined - all-runs'!$E:$E, E255)</f>
        <v>437.3333333</v>
      </c>
      <c r="S255" s="5">
        <f>AVERAGEIFS('Data Combined - all-runs'!$S:$S, 'Data Combined - all-runs'!$A:$A, A255,'Data Combined - all-runs'!$B:$B, B255,'Data Combined - all-runs'!$C:$C, C255, 'Data Combined - all-runs'!$D:$D, D255, 'Data Combined - all-runs'!$E:$E, E255)</f>
        <v>0</v>
      </c>
      <c r="T255" s="5">
        <f>AVERAGEIFS('Data Combined - all-runs'!$T:$T, 'Data Combined - all-runs'!$A:$A, A255,'Data Combined - all-runs'!$B:$B, B255,'Data Combined - all-runs'!$C:$C, C255, 'Data Combined - all-runs'!$D:$D, D255, 'Data Combined - all-runs'!$E:$E, E255)</f>
        <v>0</v>
      </c>
      <c r="U255" s="5" t="b">
        <f t="shared" si="1"/>
        <v>1</v>
      </c>
      <c r="V255" s="5" t="b">
        <f t="shared" si="2"/>
        <v>1</v>
      </c>
      <c r="W255" s="5" t="b">
        <f t="shared" si="3"/>
        <v>0</v>
      </c>
    </row>
    <row r="256">
      <c r="A256" s="2" t="s">
        <v>460</v>
      </c>
      <c r="B256" s="2" t="s">
        <v>114</v>
      </c>
      <c r="C256" s="2" t="s">
        <v>35</v>
      </c>
      <c r="D256" s="2" t="s">
        <v>24</v>
      </c>
      <c r="E256" s="2" t="s">
        <v>43</v>
      </c>
      <c r="H256" s="5">
        <f>AVERAGEIFS('Data Combined - all-runs'!$H:$H, 'Data Combined - all-runs'!$A:$A, A256,'Data Combined - all-runs'!$B:$B, B256,'Data Combined - all-runs'!$C:$C, C256, 'Data Combined - all-runs'!$D:$D, D256, 'Data Combined - all-runs'!$E:$E, E256)</f>
        <v>3646</v>
      </c>
      <c r="I256" s="5">
        <f>AVERAGEIFS('Data Combined - all-runs'!$I:$I, 'Data Combined - all-runs'!$A:$A, A256,'Data Combined - all-runs'!$B:$B, B256,'Data Combined - all-runs'!$C:$C, C256, 'Data Combined - all-runs'!$D:$D, D256, 'Data Combined - all-runs'!$E:$E, E256)</f>
        <v>0</v>
      </c>
      <c r="J256" s="5">
        <f>AVERAGEIFS('Data Combined - all-runs'!$J:$J, 'Data Combined - all-runs'!$A:$A, A256,'Data Combined - all-runs'!$B:$B, B256,'Data Combined - all-runs'!$C:$C, C256, 'Data Combined - all-runs'!$D:$D, D256, 'Data Combined - all-runs'!$E:$E, E256)</f>
        <v>0</v>
      </c>
      <c r="K256" s="5">
        <f>AVERAGEIFS('Data Combined - all-runs'!$K:$K, 'Data Combined - all-runs'!$A:$A, A256,'Data Combined - all-runs'!$B:$B, B256,'Data Combined - all-runs'!$C:$C, C256, 'Data Combined - all-runs'!$D:$D, D256, 'Data Combined - all-runs'!$E:$E, E256)</f>
        <v>0.03834322127</v>
      </c>
      <c r="L256" s="5">
        <f>AVERAGEIFS('Data Combined - all-runs'!$L:$L, 'Data Combined - all-runs'!$A:$A, A256,'Data Combined - all-runs'!$B:$B, B256,'Data Combined - all-runs'!$C:$C, C256, 'Data Combined - all-runs'!$D:$D, D256, 'Data Combined - all-runs'!$E:$E, E256)</f>
        <v>4254.459017</v>
      </c>
      <c r="M256" s="5">
        <f>AVERAGEIFS('Data Combined - all-runs'!$M:$M, 'Data Combined - all-runs'!$A:$A, A256,'Data Combined - all-runs'!$B:$B, B256,'Data Combined - all-runs'!$C:$C, C256, 'Data Combined - all-runs'!$D:$D, D256, 'Data Combined - all-runs'!$E:$E, E256)</f>
        <v>24</v>
      </c>
      <c r="N256" s="5">
        <f>AVERAGEIFS('Data Combined - all-runs'!$N:$N, 'Data Combined - all-runs'!$A:$A, A256,'Data Combined - all-runs'!$B:$B, B256,'Data Combined - all-runs'!$C:$C, C256, 'Data Combined - all-runs'!$D:$D, D256, 'Data Combined - all-runs'!$E:$E, E256)</f>
        <v>5</v>
      </c>
      <c r="O256" s="5">
        <f>AVERAGEIFS('Data Combined - all-runs'!$O:$O, 'Data Combined - all-runs'!$A:$A, A256,'Data Combined - all-runs'!$B:$B, B256,'Data Combined - all-runs'!$C:$C, C256, 'Data Combined - all-runs'!$D:$D, D256, 'Data Combined - all-runs'!$E:$E, E256)</f>
        <v>1517</v>
      </c>
      <c r="P256" s="5">
        <f>AVERAGEIFS('Data Combined - all-runs'!$P:$P, 'Data Combined - all-runs'!$A:$A, A256,'Data Combined - all-runs'!$B:$B, B256,'Data Combined - all-runs'!$C:$C, C256, 'Data Combined - all-runs'!$D:$D, D256, 'Data Combined - all-runs'!$E:$E, E256)</f>
        <v>3.295978906</v>
      </c>
      <c r="Q256" s="5">
        <f>AVERAGEIFS('Data Combined - all-runs'!$Q:$Q, 'Data Combined - all-runs'!$A:$A, A256,'Data Combined - all-runs'!$B:$B, B256,'Data Combined - all-runs'!$C:$C, C256, 'Data Combined - all-runs'!$D:$D, D256, 'Data Combined - all-runs'!$E:$E, E256)</f>
        <v>2403.427818</v>
      </c>
      <c r="R256" s="5">
        <f>AVERAGEIFS('Data Combined - all-runs'!$R:$R, 'Data Combined - all-runs'!$A:$A, A256,'Data Combined - all-runs'!$B:$B, B256,'Data Combined - all-runs'!$C:$C, C256, 'Data Combined - all-runs'!$D:$D, D256, 'Data Combined - all-runs'!$E:$E, E256)</f>
        <v>729.2</v>
      </c>
      <c r="S256" s="5">
        <f>AVERAGEIFS('Data Combined - all-runs'!$S:$S, 'Data Combined - all-runs'!$A:$A, A256,'Data Combined - all-runs'!$B:$B, B256,'Data Combined - all-runs'!$C:$C, C256, 'Data Combined - all-runs'!$D:$D, D256, 'Data Combined - all-runs'!$E:$E, E256)</f>
        <v>0</v>
      </c>
      <c r="T256" s="5">
        <f>AVERAGEIFS('Data Combined - all-runs'!$T:$T, 'Data Combined - all-runs'!$A:$A, A256,'Data Combined - all-runs'!$B:$B, B256,'Data Combined - all-runs'!$C:$C, C256, 'Data Combined - all-runs'!$D:$D, D256, 'Data Combined - all-runs'!$E:$E, E256)</f>
        <v>0</v>
      </c>
      <c r="U256" s="5" t="b">
        <f t="shared" si="1"/>
        <v>1</v>
      </c>
      <c r="V256" s="5" t="b">
        <f t="shared" si="2"/>
        <v>1</v>
      </c>
      <c r="W256" s="5" t="b">
        <f t="shared" si="3"/>
        <v>0</v>
      </c>
    </row>
    <row r="257">
      <c r="A257" s="2" t="s">
        <v>460</v>
      </c>
      <c r="B257" s="2" t="s">
        <v>114</v>
      </c>
      <c r="C257" s="2" t="s">
        <v>35</v>
      </c>
      <c r="D257" s="2" t="s">
        <v>24</v>
      </c>
      <c r="E257" s="2" t="s">
        <v>34</v>
      </c>
      <c r="H257" s="5">
        <f>AVERAGEIFS('Data Combined - all-runs'!$H:$H, 'Data Combined - all-runs'!$A:$A, A257,'Data Combined - all-runs'!$B:$B, B257,'Data Combined - all-runs'!$C:$C, C257, 'Data Combined - all-runs'!$D:$D, D257, 'Data Combined - all-runs'!$E:$E, E257)</f>
        <v>1954</v>
      </c>
      <c r="I257" s="5">
        <f>AVERAGEIFS('Data Combined - all-runs'!$I:$I, 'Data Combined - all-runs'!$A:$A, A257,'Data Combined - all-runs'!$B:$B, B257,'Data Combined - all-runs'!$C:$C, C257, 'Data Combined - all-runs'!$D:$D, D257, 'Data Combined - all-runs'!$E:$E, E257)</f>
        <v>0</v>
      </c>
      <c r="J257" s="5">
        <f>AVERAGEIFS('Data Combined - all-runs'!$J:$J, 'Data Combined - all-runs'!$A:$A, A257,'Data Combined - all-runs'!$B:$B, B257,'Data Combined - all-runs'!$C:$C, C257, 'Data Combined - all-runs'!$D:$D, D257, 'Data Combined - all-runs'!$E:$E, E257)</f>
        <v>0</v>
      </c>
      <c r="K257" s="5">
        <f>AVERAGEIFS('Data Combined - all-runs'!$K:$K, 'Data Combined - all-runs'!$A:$A, A257,'Data Combined - all-runs'!$B:$B, B257,'Data Combined - all-runs'!$C:$C, C257, 'Data Combined - all-runs'!$D:$D, D257, 'Data Combined - all-runs'!$E:$E, E257)</f>
        <v>0.07277572776</v>
      </c>
      <c r="L257" s="5">
        <f>AVERAGEIFS('Data Combined - all-runs'!$L:$L, 'Data Combined - all-runs'!$A:$A, A257,'Data Combined - all-runs'!$B:$B, B257,'Data Combined - all-runs'!$C:$C, C257, 'Data Combined - all-runs'!$D:$D, D257, 'Data Combined - all-runs'!$E:$E, E257)</f>
        <v>2588.832826</v>
      </c>
      <c r="M257" s="5">
        <f>AVERAGEIFS('Data Combined - all-runs'!$M:$M, 'Data Combined - all-runs'!$A:$A, A257,'Data Combined - all-runs'!$B:$B, B257,'Data Combined - all-runs'!$C:$C, C257, 'Data Combined - all-runs'!$D:$D, D257, 'Data Combined - all-runs'!$E:$E, E257)</f>
        <v>23</v>
      </c>
      <c r="N257" s="5">
        <f>AVERAGEIFS('Data Combined - all-runs'!$N:$N, 'Data Combined - all-runs'!$A:$A, A257,'Data Combined - all-runs'!$B:$B, B257,'Data Combined - all-runs'!$C:$C, C257, 'Data Combined - all-runs'!$D:$D, D257, 'Data Combined - all-runs'!$E:$E, E257)</f>
        <v>3</v>
      </c>
      <c r="O257" s="5">
        <f>AVERAGEIFS('Data Combined - all-runs'!$O:$O, 'Data Combined - all-runs'!$A:$A, A257,'Data Combined - all-runs'!$B:$B, B257,'Data Combined - all-runs'!$C:$C, C257, 'Data Combined - all-runs'!$D:$D, D257, 'Data Combined - all-runs'!$E:$E, E257)</f>
        <v>813</v>
      </c>
      <c r="P257" s="5">
        <f>AVERAGEIFS('Data Combined - all-runs'!$P:$P, 'Data Combined - all-runs'!$A:$A, A257,'Data Combined - all-runs'!$B:$B, B257,'Data Combined - all-runs'!$C:$C, C257, 'Data Combined - all-runs'!$D:$D, D257, 'Data Combined - all-runs'!$E:$E, E257)</f>
        <v>3.6900369</v>
      </c>
      <c r="Q257" s="5">
        <f>AVERAGEIFS('Data Combined - all-runs'!$Q:$Q, 'Data Combined - all-runs'!$A:$A, A257,'Data Combined - all-runs'!$B:$B, B257,'Data Combined - all-runs'!$C:$C, C257, 'Data Combined - all-runs'!$D:$D, D257, 'Data Combined - all-runs'!$E:$E, E257)</f>
        <v>2403.444034</v>
      </c>
      <c r="R257" s="5">
        <f>AVERAGEIFS('Data Combined - all-runs'!$R:$R, 'Data Combined - all-runs'!$A:$A, A257,'Data Combined - all-runs'!$B:$B, B257,'Data Combined - all-runs'!$C:$C, C257, 'Data Combined - all-runs'!$D:$D, D257, 'Data Combined - all-runs'!$E:$E, E257)</f>
        <v>651.3333333</v>
      </c>
      <c r="S257" s="5">
        <f>AVERAGEIFS('Data Combined - all-runs'!$S:$S, 'Data Combined - all-runs'!$A:$A, A257,'Data Combined - all-runs'!$B:$B, B257,'Data Combined - all-runs'!$C:$C, C257, 'Data Combined - all-runs'!$D:$D, D257, 'Data Combined - all-runs'!$E:$E, E257)</f>
        <v>0</v>
      </c>
      <c r="T257" s="5">
        <f>AVERAGEIFS('Data Combined - all-runs'!$T:$T, 'Data Combined - all-runs'!$A:$A, A257,'Data Combined - all-runs'!$B:$B, B257,'Data Combined - all-runs'!$C:$C, C257, 'Data Combined - all-runs'!$D:$D, D257, 'Data Combined - all-runs'!$E:$E, E257)</f>
        <v>0</v>
      </c>
      <c r="U257" s="5" t="b">
        <f t="shared" si="1"/>
        <v>1</v>
      </c>
      <c r="V257" s="5" t="b">
        <f t="shared" si="2"/>
        <v>1</v>
      </c>
      <c r="W257" s="5" t="b">
        <f t="shared" si="3"/>
        <v>0</v>
      </c>
    </row>
    <row r="258">
      <c r="A258" s="2" t="s">
        <v>460</v>
      </c>
      <c r="B258" s="2" t="s">
        <v>114</v>
      </c>
      <c r="C258" s="2" t="s">
        <v>35</v>
      </c>
      <c r="D258" s="2" t="s">
        <v>24</v>
      </c>
      <c r="E258" s="2" t="s">
        <v>47</v>
      </c>
      <c r="H258" s="5">
        <f>AVERAGEIFS('Data Combined - all-runs'!$H:$H, 'Data Combined - all-runs'!$A:$A, A258,'Data Combined - all-runs'!$B:$B, B258,'Data Combined - all-runs'!$C:$C, C258, 'Data Combined - all-runs'!$D:$D, D258, 'Data Combined - all-runs'!$E:$E, E258)</f>
        <v>1333</v>
      </c>
      <c r="I258" s="5">
        <f>AVERAGEIFS('Data Combined - all-runs'!$I:$I, 'Data Combined - all-runs'!$A:$A, A258,'Data Combined - all-runs'!$B:$B, B258,'Data Combined - all-runs'!$C:$C, C258, 'Data Combined - all-runs'!$D:$D, D258, 'Data Combined - all-runs'!$E:$E, E258)</f>
        <v>0</v>
      </c>
      <c r="J258" s="5">
        <f>AVERAGEIFS('Data Combined - all-runs'!$J:$J, 'Data Combined - all-runs'!$A:$A, A258,'Data Combined - all-runs'!$B:$B, B258,'Data Combined - all-runs'!$C:$C, C258, 'Data Combined - all-runs'!$D:$D, D258, 'Data Combined - all-runs'!$E:$E, E258)</f>
        <v>0</v>
      </c>
      <c r="K258" s="5">
        <f>AVERAGEIFS('Data Combined - all-runs'!$K:$K, 'Data Combined - all-runs'!$A:$A, A258,'Data Combined - all-runs'!$B:$B, B258,'Data Combined - all-runs'!$C:$C, C258, 'Data Combined - all-runs'!$D:$D, D258, 'Data Combined - all-runs'!$E:$E, E258)</f>
        <v>0.007107023411</v>
      </c>
      <c r="L258" s="5">
        <f>AVERAGEIFS('Data Combined - all-runs'!$L:$L, 'Data Combined - all-runs'!$A:$A, A258,'Data Combined - all-runs'!$B:$B, B258,'Data Combined - all-runs'!$C:$C, C258, 'Data Combined - all-runs'!$D:$D, D258, 'Data Combined - all-runs'!$E:$E, E258)</f>
        <v>2037.286139</v>
      </c>
      <c r="M258" s="5">
        <f>AVERAGEIFS('Data Combined - all-runs'!$M:$M, 'Data Combined - all-runs'!$A:$A, A258,'Data Combined - all-runs'!$B:$B, B258,'Data Combined - all-runs'!$C:$C, C258, 'Data Combined - all-runs'!$D:$D, D258, 'Data Combined - all-runs'!$E:$E, E258)</f>
        <v>66</v>
      </c>
      <c r="N258" s="5">
        <f>AVERAGEIFS('Data Combined - all-runs'!$N:$N, 'Data Combined - all-runs'!$A:$A, A258,'Data Combined - all-runs'!$B:$B, B258,'Data Combined - all-runs'!$C:$C, C258, 'Data Combined - all-runs'!$D:$D, D258, 'Data Combined - all-runs'!$E:$E, E258)</f>
        <v>3</v>
      </c>
      <c r="O258" s="5">
        <f>AVERAGEIFS('Data Combined - all-runs'!$O:$O, 'Data Combined - all-runs'!$A:$A, A258,'Data Combined - all-runs'!$B:$B, B258,'Data Combined - all-runs'!$C:$C, C258, 'Data Combined - all-runs'!$D:$D, D258, 'Data Combined - all-runs'!$E:$E, E258)</f>
        <v>598</v>
      </c>
      <c r="P258" s="5">
        <f>AVERAGEIFS('Data Combined - all-runs'!$P:$P, 'Data Combined - all-runs'!$A:$A, A258,'Data Combined - all-runs'!$B:$B, B258,'Data Combined - all-runs'!$C:$C, C258, 'Data Combined - all-runs'!$D:$D, D258, 'Data Combined - all-runs'!$E:$E, E258)</f>
        <v>5.016722408</v>
      </c>
      <c r="Q258" s="5">
        <f>AVERAGEIFS('Data Combined - all-runs'!$Q:$Q, 'Data Combined - all-runs'!$A:$A, A258,'Data Combined - all-runs'!$B:$B, B258,'Data Combined - all-runs'!$C:$C, C258, 'Data Combined - all-runs'!$D:$D, D258, 'Data Combined - all-runs'!$E:$E, E258)</f>
        <v>2229.09699</v>
      </c>
      <c r="R258" s="5">
        <f>AVERAGEIFS('Data Combined - all-runs'!$R:$R, 'Data Combined - all-runs'!$A:$A, A258,'Data Combined - all-runs'!$B:$B, B258,'Data Combined - all-runs'!$C:$C, C258, 'Data Combined - all-runs'!$D:$D, D258, 'Data Combined - all-runs'!$E:$E, E258)</f>
        <v>444.3333333</v>
      </c>
      <c r="S258" s="5">
        <f>AVERAGEIFS('Data Combined - all-runs'!$S:$S, 'Data Combined - all-runs'!$A:$A, A258,'Data Combined - all-runs'!$B:$B, B258,'Data Combined - all-runs'!$C:$C, C258, 'Data Combined - all-runs'!$D:$D, D258, 'Data Combined - all-runs'!$E:$E, E258)</f>
        <v>0</v>
      </c>
      <c r="T258" s="5">
        <f>AVERAGEIFS('Data Combined - all-runs'!$T:$T, 'Data Combined - all-runs'!$A:$A, A258,'Data Combined - all-runs'!$B:$B, B258,'Data Combined - all-runs'!$C:$C, C258, 'Data Combined - all-runs'!$D:$D, D258, 'Data Combined - all-runs'!$E:$E, E258)</f>
        <v>0</v>
      </c>
      <c r="U258" s="5" t="b">
        <f t="shared" si="1"/>
        <v>1</v>
      </c>
      <c r="V258" s="5" t="b">
        <f t="shared" si="2"/>
        <v>1</v>
      </c>
      <c r="W258" s="5" t="b">
        <f t="shared" si="3"/>
        <v>0</v>
      </c>
    </row>
    <row r="259">
      <c r="A259" s="2" t="s">
        <v>460</v>
      </c>
      <c r="B259" s="2" t="s">
        <v>114</v>
      </c>
      <c r="C259" s="2" t="s">
        <v>35</v>
      </c>
      <c r="D259" s="2" t="s">
        <v>24</v>
      </c>
      <c r="E259" s="2" t="s">
        <v>51</v>
      </c>
      <c r="H259" s="5">
        <f>AVERAGEIFS('Data Combined - all-runs'!$H:$H, 'Data Combined - all-runs'!$A:$A, A259,'Data Combined - all-runs'!$B:$B, B259,'Data Combined - all-runs'!$C:$C, C259, 'Data Combined - all-runs'!$D:$D, D259, 'Data Combined - all-runs'!$E:$E, E259)</f>
        <v>2341</v>
      </c>
      <c r="I259" s="5">
        <f>AVERAGEIFS('Data Combined - all-runs'!$I:$I, 'Data Combined - all-runs'!$A:$A, A259,'Data Combined - all-runs'!$B:$B, B259,'Data Combined - all-runs'!$C:$C, C259, 'Data Combined - all-runs'!$D:$D, D259, 'Data Combined - all-runs'!$E:$E, E259)</f>
        <v>0</v>
      </c>
      <c r="J259" s="5">
        <f>AVERAGEIFS('Data Combined - all-runs'!$J:$J, 'Data Combined - all-runs'!$A:$A, A259,'Data Combined - all-runs'!$B:$B, B259,'Data Combined - all-runs'!$C:$C, C259, 'Data Combined - all-runs'!$D:$D, D259, 'Data Combined - all-runs'!$E:$E, E259)</f>
        <v>0</v>
      </c>
      <c r="K259" s="5">
        <f>AVERAGEIFS('Data Combined - all-runs'!$K:$K, 'Data Combined - all-runs'!$A:$A, A259,'Data Combined - all-runs'!$B:$B, B259,'Data Combined - all-runs'!$C:$C, C259, 'Data Combined - all-runs'!$D:$D, D259, 'Data Combined - all-runs'!$E:$E, E259)</f>
        <v>0.003571428571</v>
      </c>
      <c r="L259" s="5">
        <f>AVERAGEIFS('Data Combined - all-runs'!$L:$L, 'Data Combined - all-runs'!$A:$A, A259,'Data Combined - all-runs'!$B:$B, B259,'Data Combined - all-runs'!$C:$C, C259, 'Data Combined - all-runs'!$D:$D, D259, 'Data Combined - all-runs'!$E:$E, E259)</f>
        <v>3449.405609</v>
      </c>
      <c r="M259" s="5">
        <f>AVERAGEIFS('Data Combined - all-runs'!$M:$M, 'Data Combined - all-runs'!$A:$A, A259,'Data Combined - all-runs'!$B:$B, B259,'Data Combined - all-runs'!$C:$C, C259, 'Data Combined - all-runs'!$D:$D, D259, 'Data Combined - all-runs'!$E:$E, E259)</f>
        <v>29</v>
      </c>
      <c r="N259" s="5">
        <f>AVERAGEIFS('Data Combined - all-runs'!$N:$N, 'Data Combined - all-runs'!$A:$A, A259,'Data Combined - all-runs'!$B:$B, B259,'Data Combined - all-runs'!$C:$C, C259, 'Data Combined - all-runs'!$D:$D, D259, 'Data Combined - all-runs'!$E:$E, E259)</f>
        <v>3</v>
      </c>
      <c r="O259" s="5">
        <f>AVERAGEIFS('Data Combined - all-runs'!$O:$O, 'Data Combined - all-runs'!$A:$A, A259,'Data Combined - all-runs'!$B:$B, B259,'Data Combined - all-runs'!$C:$C, C259, 'Data Combined - all-runs'!$D:$D, D259, 'Data Combined - all-runs'!$E:$E, E259)</f>
        <v>595</v>
      </c>
      <c r="P259" s="5">
        <f>AVERAGEIFS('Data Combined - all-runs'!$P:$P, 'Data Combined - all-runs'!$A:$A, A259,'Data Combined - all-runs'!$B:$B, B259,'Data Combined - all-runs'!$C:$C, C259, 'Data Combined - all-runs'!$D:$D, D259, 'Data Combined - all-runs'!$E:$E, E259)</f>
        <v>5.042016807</v>
      </c>
      <c r="Q259" s="5">
        <f>AVERAGEIFS('Data Combined - all-runs'!$Q:$Q, 'Data Combined - all-runs'!$A:$A, A259,'Data Combined - all-runs'!$B:$B, B259,'Data Combined - all-runs'!$C:$C, C259, 'Data Combined - all-runs'!$D:$D, D259, 'Data Combined - all-runs'!$E:$E, E259)</f>
        <v>3934.453782</v>
      </c>
      <c r="R259" s="5">
        <f>AVERAGEIFS('Data Combined - all-runs'!$R:$R, 'Data Combined - all-runs'!$A:$A, A259,'Data Combined - all-runs'!$B:$B, B259,'Data Combined - all-runs'!$C:$C, C259, 'Data Combined - all-runs'!$D:$D, D259, 'Data Combined - all-runs'!$E:$E, E259)</f>
        <v>780.3333333</v>
      </c>
      <c r="S259" s="5">
        <f>AVERAGEIFS('Data Combined - all-runs'!$S:$S, 'Data Combined - all-runs'!$A:$A, A259,'Data Combined - all-runs'!$B:$B, B259,'Data Combined - all-runs'!$C:$C, C259, 'Data Combined - all-runs'!$D:$D, D259, 'Data Combined - all-runs'!$E:$E, E259)</f>
        <v>0</v>
      </c>
      <c r="T259" s="5">
        <f>AVERAGEIFS('Data Combined - all-runs'!$T:$T, 'Data Combined - all-runs'!$A:$A, A259,'Data Combined - all-runs'!$B:$B, B259,'Data Combined - all-runs'!$C:$C, C259, 'Data Combined - all-runs'!$D:$D, D259, 'Data Combined - all-runs'!$E:$E, E259)</f>
        <v>0</v>
      </c>
      <c r="U259" s="5" t="b">
        <f t="shared" si="1"/>
        <v>1</v>
      </c>
      <c r="V259" s="5" t="b">
        <f t="shared" si="2"/>
        <v>1</v>
      </c>
      <c r="W259" s="5" t="b">
        <f t="shared" si="3"/>
        <v>0</v>
      </c>
    </row>
    <row r="260">
      <c r="A260" s="2" t="s">
        <v>460</v>
      </c>
      <c r="B260" s="2" t="s">
        <v>114</v>
      </c>
      <c r="C260" s="2" t="s">
        <v>35</v>
      </c>
      <c r="D260" s="2" t="s">
        <v>54</v>
      </c>
      <c r="E260" s="2" t="s">
        <v>25</v>
      </c>
      <c r="H260" s="5">
        <f>AVERAGEIFS('Data Combined - all-runs'!$H:$H, 'Data Combined - all-runs'!$A:$A, A260,'Data Combined - all-runs'!$B:$B, B260,'Data Combined - all-runs'!$C:$C, C260, 'Data Combined - all-runs'!$D:$D, D260, 'Data Combined - all-runs'!$E:$E, E260)</f>
        <v>329</v>
      </c>
      <c r="I260" s="5">
        <f>AVERAGEIFS('Data Combined - all-runs'!$I:$I, 'Data Combined - all-runs'!$A:$A, A260,'Data Combined - all-runs'!$B:$B, B260,'Data Combined - all-runs'!$C:$C, C260, 'Data Combined - all-runs'!$D:$D, D260, 'Data Combined - all-runs'!$E:$E, E260)</f>
        <v>0</v>
      </c>
      <c r="J260" s="5">
        <f>AVERAGEIFS('Data Combined - all-runs'!$J:$J, 'Data Combined - all-runs'!$A:$A, A260,'Data Combined - all-runs'!$B:$B, B260,'Data Combined - all-runs'!$C:$C, C260, 'Data Combined - all-runs'!$D:$D, D260, 'Data Combined - all-runs'!$E:$E, E260)</f>
        <v>0</v>
      </c>
      <c r="K260" s="5">
        <f>AVERAGEIFS('Data Combined - all-runs'!$K:$K, 'Data Combined - all-runs'!$A:$A, A260,'Data Combined - all-runs'!$B:$B, B260,'Data Combined - all-runs'!$C:$C, C260, 'Data Combined - all-runs'!$D:$D, D260, 'Data Combined - all-runs'!$E:$E, E260)</f>
        <v>0.1145299145</v>
      </c>
      <c r="L260" s="5">
        <f>AVERAGEIFS('Data Combined - all-runs'!$L:$L, 'Data Combined - all-runs'!$A:$A, A260,'Data Combined - all-runs'!$B:$B, B260,'Data Combined - all-runs'!$C:$C, C260, 'Data Combined - all-runs'!$D:$D, D260, 'Data Combined - all-runs'!$E:$E, E260)</f>
        <v>1031.510791</v>
      </c>
      <c r="M260" s="5">
        <f>AVERAGEIFS('Data Combined - all-runs'!$M:$M, 'Data Combined - all-runs'!$A:$A, A260,'Data Combined - all-runs'!$B:$B, B260,'Data Combined - all-runs'!$C:$C, C260, 'Data Combined - all-runs'!$D:$D, D260, 'Data Combined - all-runs'!$E:$E, E260)</f>
        <v>35</v>
      </c>
      <c r="N260" s="5">
        <f>AVERAGEIFS('Data Combined - all-runs'!$N:$N, 'Data Combined - all-runs'!$A:$A, A260,'Data Combined - all-runs'!$B:$B, B260,'Data Combined - all-runs'!$C:$C, C260, 'Data Combined - all-runs'!$D:$D, D260, 'Data Combined - all-runs'!$E:$E, E260)</f>
        <v>2</v>
      </c>
      <c r="O260" s="5">
        <f>AVERAGEIFS('Data Combined - all-runs'!$O:$O, 'Data Combined - all-runs'!$A:$A, A260,'Data Combined - all-runs'!$B:$B, B260,'Data Combined - all-runs'!$C:$C, C260, 'Data Combined - all-runs'!$D:$D, D260, 'Data Combined - all-runs'!$E:$E, E260)</f>
        <v>585</v>
      </c>
      <c r="P260" s="5">
        <f>AVERAGEIFS('Data Combined - all-runs'!$P:$P, 'Data Combined - all-runs'!$A:$A, A260,'Data Combined - all-runs'!$B:$B, B260,'Data Combined - all-runs'!$C:$C, C260, 'Data Combined - all-runs'!$D:$D, D260, 'Data Combined - all-runs'!$E:$E, E260)</f>
        <v>3.418803419</v>
      </c>
      <c r="Q260" s="5">
        <f>AVERAGEIFS('Data Combined - all-runs'!$Q:$Q, 'Data Combined - all-runs'!$A:$A, A260,'Data Combined - all-runs'!$B:$B, B260,'Data Combined - all-runs'!$C:$C, C260, 'Data Combined - all-runs'!$D:$D, D260, 'Data Combined - all-runs'!$E:$E, E260)</f>
        <v>562.3931624</v>
      </c>
      <c r="R260" s="5">
        <f>AVERAGEIFS('Data Combined - all-runs'!$R:$R, 'Data Combined - all-runs'!$A:$A, A260,'Data Combined - all-runs'!$B:$B, B260,'Data Combined - all-runs'!$C:$C, C260, 'Data Combined - all-runs'!$D:$D, D260, 'Data Combined - all-runs'!$E:$E, E260)</f>
        <v>164.5</v>
      </c>
      <c r="S260" s="5">
        <f>AVERAGEIFS('Data Combined - all-runs'!$S:$S, 'Data Combined - all-runs'!$A:$A, A260,'Data Combined - all-runs'!$B:$B, B260,'Data Combined - all-runs'!$C:$C, C260, 'Data Combined - all-runs'!$D:$D, D260, 'Data Combined - all-runs'!$E:$E, E260)</f>
        <v>0</v>
      </c>
      <c r="T260" s="5">
        <f>AVERAGEIFS('Data Combined - all-runs'!$T:$T, 'Data Combined - all-runs'!$A:$A, A260,'Data Combined - all-runs'!$B:$B, B260,'Data Combined - all-runs'!$C:$C, C260, 'Data Combined - all-runs'!$D:$D, D260, 'Data Combined - all-runs'!$E:$E, E260)</f>
        <v>0</v>
      </c>
      <c r="U260" s="5" t="b">
        <f t="shared" si="1"/>
        <v>1</v>
      </c>
      <c r="V260" s="5" t="b">
        <f t="shared" si="2"/>
        <v>1</v>
      </c>
      <c r="W260" s="5" t="b">
        <f t="shared" si="3"/>
        <v>0</v>
      </c>
    </row>
    <row r="261">
      <c r="A261" s="2" t="s">
        <v>460</v>
      </c>
      <c r="B261" s="2" t="s">
        <v>114</v>
      </c>
      <c r="C261" s="2" t="s">
        <v>35</v>
      </c>
      <c r="D261" s="2" t="s">
        <v>54</v>
      </c>
      <c r="E261" s="2" t="s">
        <v>39</v>
      </c>
      <c r="H261" s="5">
        <f>AVERAGEIFS('Data Combined - all-runs'!$H:$H, 'Data Combined - all-runs'!$A:$A, A261,'Data Combined - all-runs'!$B:$B, B261,'Data Combined - all-runs'!$C:$C, C261, 'Data Combined - all-runs'!$D:$D, D261, 'Data Combined - all-runs'!$E:$E, E261)</f>
        <v>426</v>
      </c>
      <c r="I261" s="5">
        <f>AVERAGEIFS('Data Combined - all-runs'!$I:$I, 'Data Combined - all-runs'!$A:$A, A261,'Data Combined - all-runs'!$B:$B, B261,'Data Combined - all-runs'!$C:$C, C261, 'Data Combined - all-runs'!$D:$D, D261, 'Data Combined - all-runs'!$E:$E, E261)</f>
        <v>0</v>
      </c>
      <c r="J261" s="5">
        <f>AVERAGEIFS('Data Combined - all-runs'!$J:$J, 'Data Combined - all-runs'!$A:$A, A261,'Data Combined - all-runs'!$B:$B, B261,'Data Combined - all-runs'!$C:$C, C261, 'Data Combined - all-runs'!$D:$D, D261, 'Data Combined - all-runs'!$E:$E, E261)</f>
        <v>0</v>
      </c>
      <c r="K261" s="5">
        <f>AVERAGEIFS('Data Combined - all-runs'!$K:$K, 'Data Combined - all-runs'!$A:$A, A261,'Data Combined - all-runs'!$B:$B, B261,'Data Combined - all-runs'!$C:$C, C261, 'Data Combined - all-runs'!$D:$D, D261, 'Data Combined - all-runs'!$E:$E, E261)</f>
        <v>0.08856893543</v>
      </c>
      <c r="L261" s="5">
        <f>AVERAGEIFS('Data Combined - all-runs'!$L:$L, 'Data Combined - all-runs'!$A:$A, A261,'Data Combined - all-runs'!$B:$B, B261,'Data Combined - all-runs'!$C:$C, C261, 'Data Combined - all-runs'!$D:$D, D261, 'Data Combined - all-runs'!$E:$E, E261)</f>
        <v>1495.956858</v>
      </c>
      <c r="M261" s="5">
        <f>AVERAGEIFS('Data Combined - all-runs'!$M:$M, 'Data Combined - all-runs'!$A:$A, A261,'Data Combined - all-runs'!$B:$B, B261,'Data Combined - all-runs'!$C:$C, C261, 'Data Combined - all-runs'!$D:$D, D261, 'Data Combined - all-runs'!$E:$E, E261)</f>
        <v>39</v>
      </c>
      <c r="N261" s="5">
        <f>AVERAGEIFS('Data Combined - all-runs'!$N:$N, 'Data Combined - all-runs'!$A:$A, A261,'Data Combined - all-runs'!$B:$B, B261,'Data Combined - all-runs'!$C:$C, C261, 'Data Combined - all-runs'!$D:$D, D261, 'Data Combined - all-runs'!$E:$E, E261)</f>
        <v>2</v>
      </c>
      <c r="O261" s="5">
        <f>AVERAGEIFS('Data Combined - all-runs'!$O:$O, 'Data Combined - all-runs'!$A:$A, A261,'Data Combined - all-runs'!$B:$B, B261,'Data Combined - all-runs'!$C:$C, C261, 'Data Combined - all-runs'!$D:$D, D261, 'Data Combined - all-runs'!$E:$E, E261)</f>
        <v>573</v>
      </c>
      <c r="P261" s="5">
        <f>AVERAGEIFS('Data Combined - all-runs'!$P:$P, 'Data Combined - all-runs'!$A:$A, A261,'Data Combined - all-runs'!$B:$B, B261,'Data Combined - all-runs'!$C:$C, C261, 'Data Combined - all-runs'!$D:$D, D261, 'Data Combined - all-runs'!$E:$E, E261)</f>
        <v>3.490401396</v>
      </c>
      <c r="Q261" s="5">
        <f>AVERAGEIFS('Data Combined - all-runs'!$Q:$Q, 'Data Combined - all-runs'!$A:$A, A261,'Data Combined - all-runs'!$B:$B, B261,'Data Combined - all-runs'!$C:$C, C261, 'Data Combined - all-runs'!$D:$D, D261, 'Data Combined - all-runs'!$E:$E, E261)</f>
        <v>743.4554974</v>
      </c>
      <c r="R261" s="5">
        <f>AVERAGEIFS('Data Combined - all-runs'!$R:$R, 'Data Combined - all-runs'!$A:$A, A261,'Data Combined - all-runs'!$B:$B, B261,'Data Combined - all-runs'!$C:$C, C261, 'Data Combined - all-runs'!$D:$D, D261, 'Data Combined - all-runs'!$E:$E, E261)</f>
        <v>213</v>
      </c>
      <c r="S261" s="5">
        <f>AVERAGEIFS('Data Combined - all-runs'!$S:$S, 'Data Combined - all-runs'!$A:$A, A261,'Data Combined - all-runs'!$B:$B, B261,'Data Combined - all-runs'!$C:$C, C261, 'Data Combined - all-runs'!$D:$D, D261, 'Data Combined - all-runs'!$E:$E, E261)</f>
        <v>0</v>
      </c>
      <c r="T261" s="5">
        <f>AVERAGEIFS('Data Combined - all-runs'!$T:$T, 'Data Combined - all-runs'!$A:$A, A261,'Data Combined - all-runs'!$B:$B, B261,'Data Combined - all-runs'!$C:$C, C261, 'Data Combined - all-runs'!$D:$D, D261, 'Data Combined - all-runs'!$E:$E, E261)</f>
        <v>0</v>
      </c>
      <c r="U261" s="5" t="b">
        <f t="shared" si="1"/>
        <v>1</v>
      </c>
      <c r="V261" s="5" t="b">
        <f t="shared" si="2"/>
        <v>1</v>
      </c>
      <c r="W261" s="5" t="b">
        <f t="shared" si="3"/>
        <v>0</v>
      </c>
    </row>
    <row r="262">
      <c r="A262" s="2" t="s">
        <v>460</v>
      </c>
      <c r="B262" s="2" t="s">
        <v>114</v>
      </c>
      <c r="C262" s="2" t="s">
        <v>35</v>
      </c>
      <c r="D262" s="2" t="s">
        <v>54</v>
      </c>
      <c r="E262" s="2" t="s">
        <v>43</v>
      </c>
      <c r="H262" s="5">
        <f>AVERAGEIFS('Data Combined - all-runs'!$H:$H, 'Data Combined - all-runs'!$A:$A, A262,'Data Combined - all-runs'!$B:$B, B262,'Data Combined - all-runs'!$C:$C, C262, 'Data Combined - all-runs'!$D:$D, D262, 'Data Combined - all-runs'!$E:$E, E262)</f>
        <v>3161</v>
      </c>
      <c r="I262" s="5">
        <f>AVERAGEIFS('Data Combined - all-runs'!$I:$I, 'Data Combined - all-runs'!$A:$A, A262,'Data Combined - all-runs'!$B:$B, B262,'Data Combined - all-runs'!$C:$C, C262, 'Data Combined - all-runs'!$D:$D, D262, 'Data Combined - all-runs'!$E:$E, E262)</f>
        <v>0</v>
      </c>
      <c r="J262" s="5">
        <f>AVERAGEIFS('Data Combined - all-runs'!$J:$J, 'Data Combined - all-runs'!$A:$A, A262,'Data Combined - all-runs'!$B:$B, B262,'Data Combined - all-runs'!$C:$C, C262, 'Data Combined - all-runs'!$D:$D, D262, 'Data Combined - all-runs'!$E:$E, E262)</f>
        <v>0</v>
      </c>
      <c r="K262" s="5">
        <f>AVERAGEIFS('Data Combined - all-runs'!$K:$K, 'Data Combined - all-runs'!$A:$A, A262,'Data Combined - all-runs'!$B:$B, B262,'Data Combined - all-runs'!$C:$C, C262, 'Data Combined - all-runs'!$D:$D, D262, 'Data Combined - all-runs'!$E:$E, E262)</f>
        <v>0.1115790881</v>
      </c>
      <c r="L262" s="5">
        <f>AVERAGEIFS('Data Combined - all-runs'!$L:$L, 'Data Combined - all-runs'!$A:$A, A262,'Data Combined - all-runs'!$B:$B, B262,'Data Combined - all-runs'!$C:$C, C262, 'Data Combined - all-runs'!$D:$D, D262, 'Data Combined - all-runs'!$E:$E, E262)</f>
        <v>11940.81894</v>
      </c>
      <c r="M262" s="5">
        <f>AVERAGEIFS('Data Combined - all-runs'!$M:$M, 'Data Combined - all-runs'!$A:$A, A262,'Data Combined - all-runs'!$B:$B, B262,'Data Combined - all-runs'!$C:$C, C262, 'Data Combined - all-runs'!$D:$D, D262, 'Data Combined - all-runs'!$E:$E, E262)</f>
        <v>58</v>
      </c>
      <c r="N262" s="5">
        <f>AVERAGEIFS('Data Combined - all-runs'!$N:$N, 'Data Combined - all-runs'!$A:$A, A262,'Data Combined - all-runs'!$B:$B, B262,'Data Combined - all-runs'!$C:$C, C262, 'Data Combined - all-runs'!$D:$D, D262, 'Data Combined - all-runs'!$E:$E, E262)</f>
        <v>10</v>
      </c>
      <c r="O262" s="5">
        <f>AVERAGEIFS('Data Combined - all-runs'!$O:$O, 'Data Combined - all-runs'!$A:$A, A262,'Data Combined - all-runs'!$B:$B, B262,'Data Combined - all-runs'!$C:$C, C262, 'Data Combined - all-runs'!$D:$D, D262, 'Data Combined - all-runs'!$E:$E, E262)</f>
        <v>2493</v>
      </c>
      <c r="P262" s="5">
        <f>AVERAGEIFS('Data Combined - all-runs'!$P:$P, 'Data Combined - all-runs'!$A:$A, A262,'Data Combined - all-runs'!$B:$B, B262,'Data Combined - all-runs'!$C:$C, C262, 'Data Combined - all-runs'!$D:$D, D262, 'Data Combined - all-runs'!$E:$E, E262)</f>
        <v>4.011231448</v>
      </c>
      <c r="Q262" s="5">
        <f>AVERAGEIFS('Data Combined - all-runs'!$Q:$Q, 'Data Combined - all-runs'!$A:$A, A262,'Data Combined - all-runs'!$B:$B, B262,'Data Combined - all-runs'!$C:$C, C262, 'Data Combined - all-runs'!$D:$D, D262, 'Data Combined - all-runs'!$E:$E, E262)</f>
        <v>1267.950261</v>
      </c>
      <c r="R262" s="5">
        <f>AVERAGEIFS('Data Combined - all-runs'!$R:$R, 'Data Combined - all-runs'!$A:$A, A262,'Data Combined - all-runs'!$B:$B, B262,'Data Combined - all-runs'!$C:$C, C262, 'Data Combined - all-runs'!$D:$D, D262, 'Data Combined - all-runs'!$E:$E, E262)</f>
        <v>316.1</v>
      </c>
      <c r="S262" s="5">
        <f>AVERAGEIFS('Data Combined - all-runs'!$S:$S, 'Data Combined - all-runs'!$A:$A, A262,'Data Combined - all-runs'!$B:$B, B262,'Data Combined - all-runs'!$C:$C, C262, 'Data Combined - all-runs'!$D:$D, D262, 'Data Combined - all-runs'!$E:$E, E262)</f>
        <v>0</v>
      </c>
      <c r="T262" s="5">
        <f>AVERAGEIFS('Data Combined - all-runs'!$T:$T, 'Data Combined - all-runs'!$A:$A, A262,'Data Combined - all-runs'!$B:$B, B262,'Data Combined - all-runs'!$C:$C, C262, 'Data Combined - all-runs'!$D:$D, D262, 'Data Combined - all-runs'!$E:$E, E262)</f>
        <v>0</v>
      </c>
      <c r="U262" s="5" t="b">
        <f t="shared" si="1"/>
        <v>1</v>
      </c>
      <c r="V262" s="5" t="b">
        <f t="shared" si="2"/>
        <v>1</v>
      </c>
      <c r="W262" s="5" t="b">
        <f t="shared" si="3"/>
        <v>0</v>
      </c>
    </row>
    <row r="263">
      <c r="A263" s="2" t="s">
        <v>460</v>
      </c>
      <c r="B263" s="2" t="s">
        <v>114</v>
      </c>
      <c r="C263" s="2" t="s">
        <v>35</v>
      </c>
      <c r="D263" s="2" t="s">
        <v>54</v>
      </c>
      <c r="E263" s="2" t="s">
        <v>34</v>
      </c>
      <c r="H263" s="5">
        <f>AVERAGEIFS('Data Combined - all-runs'!$H:$H, 'Data Combined - all-runs'!$A:$A, A263,'Data Combined - all-runs'!$B:$B, B263,'Data Combined - all-runs'!$C:$C, C263, 'Data Combined - all-runs'!$D:$D, D263, 'Data Combined - all-runs'!$E:$E, E263)</f>
        <v>6167</v>
      </c>
      <c r="I263" s="5">
        <f>AVERAGEIFS('Data Combined - all-runs'!$I:$I, 'Data Combined - all-runs'!$A:$A, A263,'Data Combined - all-runs'!$B:$B, B263,'Data Combined - all-runs'!$C:$C, C263, 'Data Combined - all-runs'!$D:$D, D263, 'Data Combined - all-runs'!$E:$E, E263)</f>
        <v>0</v>
      </c>
      <c r="J263" s="5">
        <f>AVERAGEIFS('Data Combined - all-runs'!$J:$J, 'Data Combined - all-runs'!$A:$A, A263,'Data Combined - all-runs'!$B:$B, B263,'Data Combined - all-runs'!$C:$C, C263, 'Data Combined - all-runs'!$D:$D, D263, 'Data Combined - all-runs'!$E:$E, E263)</f>
        <v>0</v>
      </c>
      <c r="K263" s="5">
        <f>AVERAGEIFS('Data Combined - all-runs'!$K:$K, 'Data Combined - all-runs'!$A:$A, A263,'Data Combined - all-runs'!$B:$B, B263,'Data Combined - all-runs'!$C:$C, C263, 'Data Combined - all-runs'!$D:$D, D263, 'Data Combined - all-runs'!$E:$E, E263)</f>
        <v>0.1688113621</v>
      </c>
      <c r="L263" s="5">
        <f>AVERAGEIFS('Data Combined - all-runs'!$L:$L, 'Data Combined - all-runs'!$A:$A, A263,'Data Combined - all-runs'!$B:$B, B263,'Data Combined - all-runs'!$C:$C, C263, 'Data Combined - all-runs'!$D:$D, D263, 'Data Combined - all-runs'!$E:$E, E263)</f>
        <v>21981.70297</v>
      </c>
      <c r="M263" s="5">
        <f>AVERAGEIFS('Data Combined - all-runs'!$M:$M, 'Data Combined - all-runs'!$A:$A, A263,'Data Combined - all-runs'!$B:$B, B263,'Data Combined - all-runs'!$C:$C, C263, 'Data Combined - all-runs'!$D:$D, D263, 'Data Combined - all-runs'!$E:$E, E263)</f>
        <v>34</v>
      </c>
      <c r="N263" s="5">
        <f>AVERAGEIFS('Data Combined - all-runs'!$N:$N, 'Data Combined - all-runs'!$A:$A, A263,'Data Combined - all-runs'!$B:$B, B263,'Data Combined - all-runs'!$C:$C, C263, 'Data Combined - all-runs'!$D:$D, D263, 'Data Combined - all-runs'!$E:$E, E263)</f>
        <v>17</v>
      </c>
      <c r="O263" s="5">
        <f>AVERAGEIFS('Data Combined - all-runs'!$O:$O, 'Data Combined - all-runs'!$A:$A, A263,'Data Combined - all-runs'!$B:$B, B263,'Data Combined - all-runs'!$C:$C, C263, 'Data Combined - all-runs'!$D:$D, D263, 'Data Combined - all-runs'!$E:$E, E263)</f>
        <v>3497</v>
      </c>
      <c r="P263" s="5">
        <f>AVERAGEIFS('Data Combined - all-runs'!$P:$P, 'Data Combined - all-runs'!$A:$A, A263,'Data Combined - all-runs'!$B:$B, B263,'Data Combined - all-runs'!$C:$C, C263, 'Data Combined - all-runs'!$D:$D, D263, 'Data Combined - all-runs'!$E:$E, E263)</f>
        <v>4.861309694</v>
      </c>
      <c r="Q263" s="5">
        <f>AVERAGEIFS('Data Combined - all-runs'!$Q:$Q, 'Data Combined - all-runs'!$A:$A, A263,'Data Combined - all-runs'!$B:$B, B263,'Data Combined - all-runs'!$C:$C, C263, 'Data Combined - all-runs'!$D:$D, D263, 'Data Combined - all-runs'!$E:$E, E263)</f>
        <v>1763.511581</v>
      </c>
      <c r="R263" s="5">
        <f>AVERAGEIFS('Data Combined - all-runs'!$R:$R, 'Data Combined - all-runs'!$A:$A, A263,'Data Combined - all-runs'!$B:$B, B263,'Data Combined - all-runs'!$C:$C, C263, 'Data Combined - all-runs'!$D:$D, D263, 'Data Combined - all-runs'!$E:$E, E263)</f>
        <v>362.7647059</v>
      </c>
      <c r="S263" s="5">
        <f>AVERAGEIFS('Data Combined - all-runs'!$S:$S, 'Data Combined - all-runs'!$A:$A, A263,'Data Combined - all-runs'!$B:$B, B263,'Data Combined - all-runs'!$C:$C, C263, 'Data Combined - all-runs'!$D:$D, D263, 'Data Combined - all-runs'!$E:$E, E263)</f>
        <v>0</v>
      </c>
      <c r="T263" s="5">
        <f>AVERAGEIFS('Data Combined - all-runs'!$T:$T, 'Data Combined - all-runs'!$A:$A, A263,'Data Combined - all-runs'!$B:$B, B263,'Data Combined - all-runs'!$C:$C, C263, 'Data Combined - all-runs'!$D:$D, D263, 'Data Combined - all-runs'!$E:$E, E263)</f>
        <v>0</v>
      </c>
      <c r="U263" s="5" t="b">
        <f t="shared" si="1"/>
        <v>1</v>
      </c>
      <c r="V263" s="5" t="b">
        <f t="shared" si="2"/>
        <v>1</v>
      </c>
      <c r="W263" s="5" t="b">
        <f t="shared" si="3"/>
        <v>0</v>
      </c>
    </row>
    <row r="264">
      <c r="A264" s="2" t="s">
        <v>460</v>
      </c>
      <c r="B264" s="2" t="s">
        <v>114</v>
      </c>
      <c r="C264" s="2" t="s">
        <v>35</v>
      </c>
      <c r="D264" s="2" t="s">
        <v>54</v>
      </c>
      <c r="E264" s="2" t="s">
        <v>47</v>
      </c>
      <c r="H264" s="5">
        <f>AVERAGEIFS('Data Combined - all-runs'!$H:$H, 'Data Combined - all-runs'!$A:$A, A264,'Data Combined - all-runs'!$B:$B, B264,'Data Combined - all-runs'!$C:$C, C264, 'Data Combined - all-runs'!$D:$D, D264, 'Data Combined - all-runs'!$E:$E, E264)</f>
        <v>2717</v>
      </c>
      <c r="I264" s="5">
        <f>AVERAGEIFS('Data Combined - all-runs'!$I:$I, 'Data Combined - all-runs'!$A:$A, A264,'Data Combined - all-runs'!$B:$B, B264,'Data Combined - all-runs'!$C:$C, C264, 'Data Combined - all-runs'!$D:$D, D264, 'Data Combined - all-runs'!$E:$E, E264)</f>
        <v>0</v>
      </c>
      <c r="J264" s="5">
        <f>AVERAGEIFS('Data Combined - all-runs'!$J:$J, 'Data Combined - all-runs'!$A:$A, A264,'Data Combined - all-runs'!$B:$B, B264,'Data Combined - all-runs'!$C:$C, C264, 'Data Combined - all-runs'!$D:$D, D264, 'Data Combined - all-runs'!$E:$E, E264)</f>
        <v>0</v>
      </c>
      <c r="K264" s="5">
        <f>AVERAGEIFS('Data Combined - all-runs'!$K:$K, 'Data Combined - all-runs'!$A:$A, A264,'Data Combined - all-runs'!$B:$B, B264,'Data Combined - all-runs'!$C:$C, C264, 'Data Combined - all-runs'!$D:$D, D264, 'Data Combined - all-runs'!$E:$E, E264)</f>
        <v>0.1461790393</v>
      </c>
      <c r="L264" s="5">
        <f>AVERAGEIFS('Data Combined - all-runs'!$L:$L, 'Data Combined - all-runs'!$A:$A, A264,'Data Combined - all-runs'!$B:$B, B264,'Data Combined - all-runs'!$C:$C, C264, 'Data Combined - all-runs'!$D:$D, D264, 'Data Combined - all-runs'!$E:$E, E264)</f>
        <v>12210.83628</v>
      </c>
      <c r="M264" s="5">
        <f>AVERAGEIFS('Data Combined - all-runs'!$M:$M, 'Data Combined - all-runs'!$A:$A, A264,'Data Combined - all-runs'!$B:$B, B264,'Data Combined - all-runs'!$C:$C, C264, 'Data Combined - all-runs'!$D:$D, D264, 'Data Combined - all-runs'!$E:$E, E264)</f>
        <v>46</v>
      </c>
      <c r="N264" s="5">
        <f>AVERAGEIFS('Data Combined - all-runs'!$N:$N, 'Data Combined - all-runs'!$A:$A, A264,'Data Combined - all-runs'!$B:$B, B264,'Data Combined - all-runs'!$C:$C, C264, 'Data Combined - all-runs'!$D:$D, D264, 'Data Combined - all-runs'!$E:$E, E264)</f>
        <v>7</v>
      </c>
      <c r="O264" s="5">
        <f>AVERAGEIFS('Data Combined - all-runs'!$O:$O, 'Data Combined - all-runs'!$A:$A, A264,'Data Combined - all-runs'!$B:$B, B264,'Data Combined - all-runs'!$C:$C, C264, 'Data Combined - all-runs'!$D:$D, D264, 'Data Combined - all-runs'!$E:$E, E264)</f>
        <v>1145</v>
      </c>
      <c r="P264" s="5">
        <f>AVERAGEIFS('Data Combined - all-runs'!$P:$P, 'Data Combined - all-runs'!$A:$A, A264,'Data Combined - all-runs'!$B:$B, B264,'Data Combined - all-runs'!$C:$C, C264, 'Data Combined - all-runs'!$D:$D, D264, 'Data Combined - all-runs'!$E:$E, E264)</f>
        <v>6.113537118</v>
      </c>
      <c r="Q264" s="5">
        <f>AVERAGEIFS('Data Combined - all-runs'!$Q:$Q, 'Data Combined - all-runs'!$A:$A, A264,'Data Combined - all-runs'!$B:$B, B264,'Data Combined - all-runs'!$C:$C, C264, 'Data Combined - all-runs'!$D:$D, D264, 'Data Combined - all-runs'!$E:$E, E264)</f>
        <v>2372.925764</v>
      </c>
      <c r="R264" s="5">
        <f>AVERAGEIFS('Data Combined - all-runs'!$R:$R, 'Data Combined - all-runs'!$A:$A, A264,'Data Combined - all-runs'!$B:$B, B264,'Data Combined - all-runs'!$C:$C, C264, 'Data Combined - all-runs'!$D:$D, D264, 'Data Combined - all-runs'!$E:$E, E264)</f>
        <v>388.1428571</v>
      </c>
      <c r="S264" s="5">
        <f>AVERAGEIFS('Data Combined - all-runs'!$S:$S, 'Data Combined - all-runs'!$A:$A, A264,'Data Combined - all-runs'!$B:$B, B264,'Data Combined - all-runs'!$C:$C, C264, 'Data Combined - all-runs'!$D:$D, D264, 'Data Combined - all-runs'!$E:$E, E264)</f>
        <v>0</v>
      </c>
      <c r="T264" s="5">
        <f>AVERAGEIFS('Data Combined - all-runs'!$T:$T, 'Data Combined - all-runs'!$A:$A, A264,'Data Combined - all-runs'!$B:$B, B264,'Data Combined - all-runs'!$C:$C, C264, 'Data Combined - all-runs'!$D:$D, D264, 'Data Combined - all-runs'!$E:$E, E264)</f>
        <v>0</v>
      </c>
      <c r="U264" s="5" t="b">
        <f t="shared" si="1"/>
        <v>1</v>
      </c>
      <c r="V264" s="5" t="b">
        <f t="shared" si="2"/>
        <v>1</v>
      </c>
      <c r="W264" s="5" t="b">
        <f t="shared" si="3"/>
        <v>0</v>
      </c>
    </row>
    <row r="265">
      <c r="A265" s="2" t="s">
        <v>460</v>
      </c>
      <c r="B265" s="2" t="s">
        <v>114</v>
      </c>
      <c r="C265" s="2" t="s">
        <v>35</v>
      </c>
      <c r="D265" s="2" t="s">
        <v>54</v>
      </c>
      <c r="E265" s="2" t="s">
        <v>51</v>
      </c>
      <c r="H265" s="5">
        <f>AVERAGEIFS('Data Combined - all-runs'!$H:$H, 'Data Combined - all-runs'!$A:$A, A265,'Data Combined - all-runs'!$B:$B, B265,'Data Combined - all-runs'!$C:$C, C265, 'Data Combined - all-runs'!$D:$D, D265, 'Data Combined - all-runs'!$E:$E, E265)</f>
        <v>848</v>
      </c>
      <c r="I265" s="5">
        <f>AVERAGEIFS('Data Combined - all-runs'!$I:$I, 'Data Combined - all-runs'!$A:$A, A265,'Data Combined - all-runs'!$B:$B, B265,'Data Combined - all-runs'!$C:$C, C265, 'Data Combined - all-runs'!$D:$D, D265, 'Data Combined - all-runs'!$E:$E, E265)</f>
        <v>0</v>
      </c>
      <c r="J265" s="5">
        <f>AVERAGEIFS('Data Combined - all-runs'!$J:$J, 'Data Combined - all-runs'!$A:$A, A265,'Data Combined - all-runs'!$B:$B, B265,'Data Combined - all-runs'!$C:$C, C265, 'Data Combined - all-runs'!$D:$D, D265, 'Data Combined - all-runs'!$E:$E, E265)</f>
        <v>0</v>
      </c>
      <c r="K265" s="5">
        <f>AVERAGEIFS('Data Combined - all-runs'!$K:$K, 'Data Combined - all-runs'!$A:$A, A265,'Data Combined - all-runs'!$B:$B, B265,'Data Combined - all-runs'!$C:$C, C265, 'Data Combined - all-runs'!$D:$D, D265, 'Data Combined - all-runs'!$E:$E, E265)</f>
        <v>0.06440033784</v>
      </c>
      <c r="L265" s="5">
        <f>AVERAGEIFS('Data Combined - all-runs'!$L:$L, 'Data Combined - all-runs'!$A:$A, A265,'Data Combined - all-runs'!$B:$B, B265,'Data Combined - all-runs'!$C:$C, C265, 'Data Combined - all-runs'!$D:$D, D265, 'Data Combined - all-runs'!$E:$E, E265)</f>
        <v>4176.184742</v>
      </c>
      <c r="M265" s="5">
        <f>AVERAGEIFS('Data Combined - all-runs'!$M:$M, 'Data Combined - all-runs'!$A:$A, A265,'Data Combined - all-runs'!$B:$B, B265,'Data Combined - all-runs'!$C:$C, C265, 'Data Combined - all-runs'!$D:$D, D265, 'Data Combined - all-runs'!$E:$E, E265)</f>
        <v>40</v>
      </c>
      <c r="N265" s="5">
        <f>AVERAGEIFS('Data Combined - all-runs'!$N:$N, 'Data Combined - all-runs'!$A:$A, A265,'Data Combined - all-runs'!$B:$B, B265,'Data Combined - all-runs'!$C:$C, C265, 'Data Combined - all-runs'!$D:$D, D265, 'Data Combined - all-runs'!$E:$E, E265)</f>
        <v>3</v>
      </c>
      <c r="O265" s="5">
        <f>AVERAGEIFS('Data Combined - all-runs'!$O:$O, 'Data Combined - all-runs'!$A:$A, A265,'Data Combined - all-runs'!$B:$B, B265,'Data Combined - all-runs'!$C:$C, C265, 'Data Combined - all-runs'!$D:$D, D265, 'Data Combined - all-runs'!$E:$E, E265)</f>
        <v>592</v>
      </c>
      <c r="P265" s="5">
        <f>AVERAGEIFS('Data Combined - all-runs'!$P:$P, 'Data Combined - all-runs'!$A:$A, A265,'Data Combined - all-runs'!$B:$B, B265,'Data Combined - all-runs'!$C:$C, C265, 'Data Combined - all-runs'!$D:$D, D265, 'Data Combined - all-runs'!$E:$E, E265)</f>
        <v>5.067567568</v>
      </c>
      <c r="Q265" s="5">
        <f>AVERAGEIFS('Data Combined - all-runs'!$Q:$Q, 'Data Combined - all-runs'!$A:$A, A265,'Data Combined - all-runs'!$B:$B, B265,'Data Combined - all-runs'!$C:$C, C265, 'Data Combined - all-runs'!$D:$D, D265, 'Data Combined - all-runs'!$E:$E, E265)</f>
        <v>1432.432432</v>
      </c>
      <c r="R265" s="5">
        <f>AVERAGEIFS('Data Combined - all-runs'!$R:$R, 'Data Combined - all-runs'!$A:$A, A265,'Data Combined - all-runs'!$B:$B, B265,'Data Combined - all-runs'!$C:$C, C265, 'Data Combined - all-runs'!$D:$D, D265, 'Data Combined - all-runs'!$E:$E, E265)</f>
        <v>282.6666667</v>
      </c>
      <c r="S265" s="5">
        <f>AVERAGEIFS('Data Combined - all-runs'!$S:$S, 'Data Combined - all-runs'!$A:$A, A265,'Data Combined - all-runs'!$B:$B, B265,'Data Combined - all-runs'!$C:$C, C265, 'Data Combined - all-runs'!$D:$D, D265, 'Data Combined - all-runs'!$E:$E, E265)</f>
        <v>0</v>
      </c>
      <c r="T265" s="5">
        <f>AVERAGEIFS('Data Combined - all-runs'!$T:$T, 'Data Combined - all-runs'!$A:$A, A265,'Data Combined - all-runs'!$B:$B, B265,'Data Combined - all-runs'!$C:$C, C265, 'Data Combined - all-runs'!$D:$D, D265, 'Data Combined - all-runs'!$E:$E, E265)</f>
        <v>0</v>
      </c>
      <c r="U265" s="5" t="b">
        <f t="shared" si="1"/>
        <v>1</v>
      </c>
      <c r="V265" s="5" t="b">
        <f t="shared" si="2"/>
        <v>1</v>
      </c>
      <c r="W265" s="5" t="b">
        <f t="shared" si="3"/>
        <v>0</v>
      </c>
    </row>
    <row r="266">
      <c r="A266" s="2" t="s">
        <v>460</v>
      </c>
      <c r="B266" s="2" t="s">
        <v>114</v>
      </c>
      <c r="C266" s="2" t="s">
        <v>35</v>
      </c>
      <c r="D266" s="2" t="s">
        <v>72</v>
      </c>
      <c r="E266" s="2" t="s">
        <v>25</v>
      </c>
      <c r="H266" s="5">
        <f>AVERAGEIFS('Data Combined - all-runs'!$H:$H, 'Data Combined - all-runs'!$A:$A, A266,'Data Combined - all-runs'!$B:$B, B266,'Data Combined - all-runs'!$C:$C, C266, 'Data Combined - all-runs'!$D:$D, D266, 'Data Combined - all-runs'!$E:$E, E266)</f>
        <v>243</v>
      </c>
      <c r="I266" s="5">
        <f>AVERAGEIFS('Data Combined - all-runs'!$I:$I, 'Data Combined - all-runs'!$A:$A, A266,'Data Combined - all-runs'!$B:$B, B266,'Data Combined - all-runs'!$C:$C, C266, 'Data Combined - all-runs'!$D:$D, D266, 'Data Combined - all-runs'!$E:$E, E266)</f>
        <v>0</v>
      </c>
      <c r="J266" s="5">
        <f>AVERAGEIFS('Data Combined - all-runs'!$J:$J, 'Data Combined - all-runs'!$A:$A, A266,'Data Combined - all-runs'!$B:$B, B266,'Data Combined - all-runs'!$C:$C, C266, 'Data Combined - all-runs'!$D:$D, D266, 'Data Combined - all-runs'!$E:$E, E266)</f>
        <v>1</v>
      </c>
      <c r="K266" s="5">
        <f>AVERAGEIFS('Data Combined - all-runs'!$K:$K, 'Data Combined - all-runs'!$A:$A, A266,'Data Combined - all-runs'!$B:$B, B266,'Data Combined - all-runs'!$C:$C, C266, 'Data Combined - all-runs'!$D:$D, D266, 'Data Combined - all-runs'!$E:$E, E266)</f>
        <v>0.07584269663</v>
      </c>
      <c r="L266" s="5">
        <f>AVERAGEIFS('Data Combined - all-runs'!$L:$L, 'Data Combined - all-runs'!$A:$A, A266,'Data Combined - all-runs'!$B:$B, B266,'Data Combined - all-runs'!$C:$C, C266, 'Data Combined - all-runs'!$D:$D, D266, 'Data Combined - all-runs'!$E:$E, E266)</f>
        <v>428.7852023</v>
      </c>
      <c r="M266" s="5">
        <f>AVERAGEIFS('Data Combined - all-runs'!$M:$M, 'Data Combined - all-runs'!$A:$A, A266,'Data Combined - all-runs'!$B:$B, B266,'Data Combined - all-runs'!$C:$C, C266, 'Data Combined - all-runs'!$D:$D, D266, 'Data Combined - all-runs'!$E:$E, E266)</f>
        <v>34</v>
      </c>
      <c r="N266" s="5">
        <f>AVERAGEIFS('Data Combined - all-runs'!$N:$N, 'Data Combined - all-runs'!$A:$A, A266,'Data Combined - all-runs'!$B:$B, B266,'Data Combined - all-runs'!$C:$C, C266, 'Data Combined - all-runs'!$D:$D, D266, 'Data Combined - all-runs'!$E:$E, E266)</f>
        <v>1</v>
      </c>
      <c r="O266" s="5">
        <f>AVERAGEIFS('Data Combined - all-runs'!$O:$O, 'Data Combined - all-runs'!$A:$A, A266,'Data Combined - all-runs'!$B:$B, B266,'Data Combined - all-runs'!$C:$C, C266, 'Data Combined - all-runs'!$D:$D, D266, 'Data Combined - all-runs'!$E:$E, E266)</f>
        <v>534</v>
      </c>
      <c r="P266" s="5">
        <f>AVERAGEIFS('Data Combined - all-runs'!$P:$P, 'Data Combined - all-runs'!$A:$A, A266,'Data Combined - all-runs'!$B:$B, B266,'Data Combined - all-runs'!$C:$C, C266, 'Data Combined - all-runs'!$D:$D, D266, 'Data Combined - all-runs'!$E:$E, E266)</f>
        <v>1.872659176</v>
      </c>
      <c r="Q266" s="5">
        <f>AVERAGEIFS('Data Combined - all-runs'!$Q:$Q, 'Data Combined - all-runs'!$A:$A, A266,'Data Combined - all-runs'!$B:$B, B266,'Data Combined - all-runs'!$C:$C, C266, 'Data Combined - all-runs'!$D:$D, D266, 'Data Combined - all-runs'!$E:$E, E266)</f>
        <v>455.0561798</v>
      </c>
      <c r="R266" s="5">
        <f>AVERAGEIFS('Data Combined - all-runs'!$R:$R, 'Data Combined - all-runs'!$A:$A, A266,'Data Combined - all-runs'!$B:$B, B266,'Data Combined - all-runs'!$C:$C, C266, 'Data Combined - all-runs'!$D:$D, D266, 'Data Combined - all-runs'!$E:$E, E266)</f>
        <v>243</v>
      </c>
      <c r="S266" s="5">
        <f>AVERAGEIFS('Data Combined - all-runs'!$S:$S, 'Data Combined - all-runs'!$A:$A, A266,'Data Combined - all-runs'!$B:$B, B266,'Data Combined - all-runs'!$C:$C, C266, 'Data Combined - all-runs'!$D:$D, D266, 'Data Combined - all-runs'!$E:$E, E266)</f>
        <v>0.004115226337</v>
      </c>
      <c r="T266" s="5">
        <f>AVERAGEIFS('Data Combined - all-runs'!$T:$T, 'Data Combined - all-runs'!$A:$A, A266,'Data Combined - all-runs'!$B:$B, B266,'Data Combined - all-runs'!$C:$C, C266, 'Data Combined - all-runs'!$D:$D, D266, 'Data Combined - all-runs'!$E:$E, E266)</f>
        <v>0</v>
      </c>
      <c r="U266" s="5" t="b">
        <f t="shared" si="1"/>
        <v>1</v>
      </c>
      <c r="V266" s="5" t="b">
        <f t="shared" si="2"/>
        <v>1</v>
      </c>
      <c r="W266" s="5" t="b">
        <f t="shared" si="3"/>
        <v>0</v>
      </c>
    </row>
    <row r="267">
      <c r="A267" s="2" t="s">
        <v>460</v>
      </c>
      <c r="B267" s="2" t="s">
        <v>114</v>
      </c>
      <c r="C267" s="2" t="s">
        <v>35</v>
      </c>
      <c r="D267" s="2" t="s">
        <v>72</v>
      </c>
      <c r="E267" s="2" t="s">
        <v>39</v>
      </c>
      <c r="H267" s="5">
        <f>AVERAGEIFS('Data Combined - all-runs'!$H:$H, 'Data Combined - all-runs'!$A:$A, A267,'Data Combined - all-runs'!$B:$B, B267,'Data Combined - all-runs'!$C:$C, C267, 'Data Combined - all-runs'!$D:$D, D267, 'Data Combined - all-runs'!$E:$E, E267)</f>
        <v>139</v>
      </c>
      <c r="I267" s="5">
        <f>AVERAGEIFS('Data Combined - all-runs'!$I:$I, 'Data Combined - all-runs'!$A:$A, A267,'Data Combined - all-runs'!$B:$B, B267,'Data Combined - all-runs'!$C:$C, C267, 'Data Combined - all-runs'!$D:$D, D267, 'Data Combined - all-runs'!$E:$E, E267)</f>
        <v>0</v>
      </c>
      <c r="J267" s="5">
        <f>AVERAGEIFS('Data Combined - all-runs'!$J:$J, 'Data Combined - all-runs'!$A:$A, A267,'Data Combined - all-runs'!$B:$B, B267,'Data Combined - all-runs'!$C:$C, C267, 'Data Combined - all-runs'!$D:$D, D267, 'Data Combined - all-runs'!$E:$E, E267)</f>
        <v>0</v>
      </c>
      <c r="K267" s="5">
        <f>AVERAGEIFS('Data Combined - all-runs'!$K:$K, 'Data Combined - all-runs'!$A:$A, A267,'Data Combined - all-runs'!$B:$B, B267,'Data Combined - all-runs'!$C:$C, C267, 'Data Combined - all-runs'!$D:$D, D267, 'Data Combined - all-runs'!$E:$E, E267)</f>
        <v>0.094</v>
      </c>
      <c r="L267" s="5">
        <f>AVERAGEIFS('Data Combined - all-runs'!$L:$L, 'Data Combined - all-runs'!$A:$A, A267,'Data Combined - all-runs'!$B:$B, B267,'Data Combined - all-runs'!$C:$C, C267, 'Data Combined - all-runs'!$D:$D, D267, 'Data Combined - all-runs'!$E:$E, E267)</f>
        <v>330.5447342</v>
      </c>
      <c r="M267" s="5" t="str">
        <f>AVERAGEIFS('Data Combined - all-runs'!$M:$M, 'Data Combined - all-runs'!$A:$A, A267,'Data Combined - all-runs'!$B:$B, B267,'Data Combined - all-runs'!$C:$C, C267, 'Data Combined - all-runs'!$D:$D, D267, 'Data Combined - all-runs'!$E:$E, E267)</f>
        <v>#DIV/0!</v>
      </c>
      <c r="N267" s="5">
        <f>AVERAGEIFS('Data Combined - all-runs'!$N:$N, 'Data Combined - all-runs'!$A:$A, A267,'Data Combined - all-runs'!$B:$B, B267,'Data Combined - all-runs'!$C:$C, C267, 'Data Combined - all-runs'!$D:$D, D267, 'Data Combined - all-runs'!$E:$E, E267)</f>
        <v>0</v>
      </c>
      <c r="O267" s="5">
        <f>AVERAGEIFS('Data Combined - all-runs'!$O:$O, 'Data Combined - all-runs'!$A:$A, A267,'Data Combined - all-runs'!$B:$B, B267,'Data Combined - all-runs'!$C:$C, C267, 'Data Combined - all-runs'!$D:$D, D267, 'Data Combined - all-runs'!$E:$E, E267)</f>
        <v>500</v>
      </c>
      <c r="P267" s="5">
        <f>AVERAGEIFS('Data Combined - all-runs'!$P:$P, 'Data Combined - all-runs'!$A:$A, A267,'Data Combined - all-runs'!$B:$B, B267,'Data Combined - all-runs'!$C:$C, C267, 'Data Combined - all-runs'!$D:$D, D267, 'Data Combined - all-runs'!$E:$E, E267)</f>
        <v>0</v>
      </c>
      <c r="Q267" s="5">
        <f>AVERAGEIFS('Data Combined - all-runs'!$Q:$Q, 'Data Combined - all-runs'!$A:$A, A267,'Data Combined - all-runs'!$B:$B, B267,'Data Combined - all-runs'!$C:$C, C267, 'Data Combined - all-runs'!$D:$D, D267, 'Data Combined - all-runs'!$E:$E, E267)</f>
        <v>278</v>
      </c>
      <c r="R267" s="5" t="str">
        <f>AVERAGEIFS('Data Combined - all-runs'!$R:$R, 'Data Combined - all-runs'!$A:$A, A267,'Data Combined - all-runs'!$B:$B, B267,'Data Combined - all-runs'!$C:$C, C267, 'Data Combined - all-runs'!$D:$D, D267, 'Data Combined - all-runs'!$E:$E, E267)</f>
        <v>#DIV/0!</v>
      </c>
      <c r="S267" s="5">
        <f>AVERAGEIFS('Data Combined - all-runs'!$S:$S, 'Data Combined - all-runs'!$A:$A, A267,'Data Combined - all-runs'!$B:$B, B267,'Data Combined - all-runs'!$C:$C, C267, 'Data Combined - all-runs'!$D:$D, D267, 'Data Combined - all-runs'!$E:$E, E267)</f>
        <v>0</v>
      </c>
      <c r="T267" s="5">
        <f>AVERAGEIFS('Data Combined - all-runs'!$T:$T, 'Data Combined - all-runs'!$A:$A, A267,'Data Combined - all-runs'!$B:$B, B267,'Data Combined - all-runs'!$C:$C, C267, 'Data Combined - all-runs'!$D:$D, D267, 'Data Combined - all-runs'!$E:$E, E267)</f>
        <v>0</v>
      </c>
      <c r="U267" s="5" t="b">
        <f t="shared" si="1"/>
        <v>1</v>
      </c>
      <c r="V267" s="5" t="b">
        <f t="shared" si="2"/>
        <v>1</v>
      </c>
      <c r="W267" s="5" t="b">
        <f t="shared" si="3"/>
        <v>0</v>
      </c>
    </row>
    <row r="268">
      <c r="A268" s="2" t="s">
        <v>460</v>
      </c>
      <c r="B268" s="2" t="s">
        <v>114</v>
      </c>
      <c r="C268" s="2" t="s">
        <v>35</v>
      </c>
      <c r="D268" s="2" t="s">
        <v>72</v>
      </c>
      <c r="E268" s="2" t="s">
        <v>43</v>
      </c>
      <c r="H268" s="5">
        <f>AVERAGEIFS('Data Combined - all-runs'!$H:$H, 'Data Combined - all-runs'!$A:$A, A268,'Data Combined - all-runs'!$B:$B, B268,'Data Combined - all-runs'!$C:$C, C268, 'Data Combined - all-runs'!$D:$D, D268, 'Data Combined - all-runs'!$E:$E, E268)</f>
        <v>990</v>
      </c>
      <c r="I268" s="5">
        <f>AVERAGEIFS('Data Combined - all-runs'!$I:$I, 'Data Combined - all-runs'!$A:$A, A268,'Data Combined - all-runs'!$B:$B, B268,'Data Combined - all-runs'!$C:$C, C268, 'Data Combined - all-runs'!$D:$D, D268, 'Data Combined - all-runs'!$E:$E, E268)</f>
        <v>0</v>
      </c>
      <c r="J268" s="5">
        <f>AVERAGEIFS('Data Combined - all-runs'!$J:$J, 'Data Combined - all-runs'!$A:$A, A268,'Data Combined - all-runs'!$B:$B, B268,'Data Combined - all-runs'!$C:$C, C268, 'Data Combined - all-runs'!$D:$D, D268, 'Data Combined - all-runs'!$E:$E, E268)</f>
        <v>0</v>
      </c>
      <c r="K268" s="5">
        <f>AVERAGEIFS('Data Combined - all-runs'!$K:$K, 'Data Combined - all-runs'!$A:$A, A268,'Data Combined - all-runs'!$B:$B, B268,'Data Combined - all-runs'!$C:$C, C268, 'Data Combined - all-runs'!$D:$D, D268, 'Data Combined - all-runs'!$E:$E, E268)</f>
        <v>0.1467569787</v>
      </c>
      <c r="L268" s="5">
        <f>AVERAGEIFS('Data Combined - all-runs'!$L:$L, 'Data Combined - all-runs'!$A:$A, A268,'Data Combined - all-runs'!$B:$B, B268,'Data Combined - all-runs'!$C:$C, C268, 'Data Combined - all-runs'!$D:$D, D268, 'Data Combined - all-runs'!$E:$E, E268)</f>
        <v>2773.819988</v>
      </c>
      <c r="M268" s="5">
        <f>AVERAGEIFS('Data Combined - all-runs'!$M:$M, 'Data Combined - all-runs'!$A:$A, A268,'Data Combined - all-runs'!$B:$B, B268,'Data Combined - all-runs'!$C:$C, C268, 'Data Combined - all-runs'!$D:$D, D268, 'Data Combined - all-runs'!$E:$E, E268)</f>
        <v>41</v>
      </c>
      <c r="N268" s="5">
        <f>AVERAGEIFS('Data Combined - all-runs'!$N:$N, 'Data Combined - all-runs'!$A:$A, A268,'Data Combined - all-runs'!$B:$B, B268,'Data Combined - all-runs'!$C:$C, C268, 'Data Combined - all-runs'!$D:$D, D268, 'Data Combined - all-runs'!$E:$E, E268)</f>
        <v>6</v>
      </c>
      <c r="O268" s="5">
        <f>AVERAGEIFS('Data Combined - all-runs'!$O:$O, 'Data Combined - all-runs'!$A:$A, A268,'Data Combined - all-runs'!$B:$B, B268,'Data Combined - all-runs'!$C:$C, C268, 'Data Combined - all-runs'!$D:$D, D268, 'Data Combined - all-runs'!$E:$E, E268)</f>
        <v>812</v>
      </c>
      <c r="P268" s="5">
        <f>AVERAGEIFS('Data Combined - all-runs'!$P:$P, 'Data Combined - all-runs'!$A:$A, A268,'Data Combined - all-runs'!$B:$B, B268,'Data Combined - all-runs'!$C:$C, C268, 'Data Combined - all-runs'!$D:$D, D268, 'Data Combined - all-runs'!$E:$E, E268)</f>
        <v>7.389162562</v>
      </c>
      <c r="Q268" s="5">
        <f>AVERAGEIFS('Data Combined - all-runs'!$Q:$Q, 'Data Combined - all-runs'!$A:$A, A268,'Data Combined - all-runs'!$B:$B, B268,'Data Combined - all-runs'!$C:$C, C268, 'Data Combined - all-runs'!$D:$D, D268, 'Data Combined - all-runs'!$E:$E, E268)</f>
        <v>1219.211823</v>
      </c>
      <c r="R268" s="5">
        <f>AVERAGEIFS('Data Combined - all-runs'!$R:$R, 'Data Combined - all-runs'!$A:$A, A268,'Data Combined - all-runs'!$B:$B, B268,'Data Combined - all-runs'!$C:$C, C268, 'Data Combined - all-runs'!$D:$D, D268, 'Data Combined - all-runs'!$E:$E, E268)</f>
        <v>165</v>
      </c>
      <c r="S268" s="5">
        <f>AVERAGEIFS('Data Combined - all-runs'!$S:$S, 'Data Combined - all-runs'!$A:$A, A268,'Data Combined - all-runs'!$B:$B, B268,'Data Combined - all-runs'!$C:$C, C268, 'Data Combined - all-runs'!$D:$D, D268, 'Data Combined - all-runs'!$E:$E, E268)</f>
        <v>0</v>
      </c>
      <c r="T268" s="5">
        <f>AVERAGEIFS('Data Combined - all-runs'!$T:$T, 'Data Combined - all-runs'!$A:$A, A268,'Data Combined - all-runs'!$B:$B, B268,'Data Combined - all-runs'!$C:$C, C268, 'Data Combined - all-runs'!$D:$D, D268, 'Data Combined - all-runs'!$E:$E, E268)</f>
        <v>0</v>
      </c>
      <c r="U268" s="5" t="b">
        <f t="shared" si="1"/>
        <v>1</v>
      </c>
      <c r="V268" s="5" t="b">
        <f t="shared" si="2"/>
        <v>1</v>
      </c>
      <c r="W268" s="5" t="b">
        <f t="shared" si="3"/>
        <v>0</v>
      </c>
    </row>
    <row r="269">
      <c r="A269" s="2" t="s">
        <v>460</v>
      </c>
      <c r="B269" s="2" t="s">
        <v>114</v>
      </c>
      <c r="C269" s="2" t="s">
        <v>35</v>
      </c>
      <c r="D269" s="2" t="s">
        <v>72</v>
      </c>
      <c r="E269" s="2" t="s">
        <v>34</v>
      </c>
      <c r="H269" s="5">
        <f>AVERAGEIFS('Data Combined - all-runs'!$H:$H, 'Data Combined - all-runs'!$A:$A, A269,'Data Combined - all-runs'!$B:$B, B269,'Data Combined - all-runs'!$C:$C, C269, 'Data Combined - all-runs'!$D:$D, D269, 'Data Combined - all-runs'!$E:$E, E269)</f>
        <v>2166</v>
      </c>
      <c r="I269" s="5">
        <f>AVERAGEIFS('Data Combined - all-runs'!$I:$I, 'Data Combined - all-runs'!$A:$A, A269,'Data Combined - all-runs'!$B:$B, B269,'Data Combined - all-runs'!$C:$C, C269, 'Data Combined - all-runs'!$D:$D, D269, 'Data Combined - all-runs'!$E:$E, E269)</f>
        <v>0</v>
      </c>
      <c r="J269" s="5">
        <f>AVERAGEIFS('Data Combined - all-runs'!$J:$J, 'Data Combined - all-runs'!$A:$A, A269,'Data Combined - all-runs'!$B:$B, B269,'Data Combined - all-runs'!$C:$C, C269, 'Data Combined - all-runs'!$D:$D, D269, 'Data Combined - all-runs'!$E:$E, E269)</f>
        <v>28</v>
      </c>
      <c r="K269" s="5">
        <f>AVERAGEIFS('Data Combined - all-runs'!$K:$K, 'Data Combined - all-runs'!$A:$A, A269,'Data Combined - all-runs'!$B:$B, B269,'Data Combined - all-runs'!$C:$C, C269, 'Data Combined - all-runs'!$D:$D, D269, 'Data Combined - all-runs'!$E:$E, E269)</f>
        <v>0.4468085106</v>
      </c>
      <c r="L269" s="5">
        <f>AVERAGEIFS('Data Combined - all-runs'!$L:$L, 'Data Combined - all-runs'!$A:$A, A269,'Data Combined - all-runs'!$B:$B, B269,'Data Combined - all-runs'!$C:$C, C269, 'Data Combined - all-runs'!$D:$D, D269, 'Data Combined - all-runs'!$E:$E, E269)</f>
        <v>4310.323833</v>
      </c>
      <c r="M269" s="5">
        <f>AVERAGEIFS('Data Combined - all-runs'!$M:$M, 'Data Combined - all-runs'!$A:$A, A269,'Data Combined - all-runs'!$B:$B, B269,'Data Combined - all-runs'!$C:$C, C269, 'Data Combined - all-runs'!$D:$D, D269, 'Data Combined - all-runs'!$E:$E, E269)</f>
        <v>24</v>
      </c>
      <c r="N269" s="5">
        <f>AVERAGEIFS('Data Combined - all-runs'!$N:$N, 'Data Combined - all-runs'!$A:$A, A269,'Data Combined - all-runs'!$B:$B, B269,'Data Combined - all-runs'!$C:$C, C269, 'Data Combined - all-runs'!$D:$D, D269, 'Data Combined - all-runs'!$E:$E, E269)</f>
        <v>4</v>
      </c>
      <c r="O269" s="5">
        <f>AVERAGEIFS('Data Combined - all-runs'!$O:$O, 'Data Combined - all-runs'!$A:$A, A269,'Data Combined - all-runs'!$B:$B, B269,'Data Combined - all-runs'!$C:$C, C269, 'Data Combined - all-runs'!$D:$D, D269, 'Data Combined - all-runs'!$E:$E, E269)</f>
        <v>705</v>
      </c>
      <c r="P269" s="5">
        <f>AVERAGEIFS('Data Combined - all-runs'!$P:$P, 'Data Combined - all-runs'!$A:$A, A269,'Data Combined - all-runs'!$B:$B, B269,'Data Combined - all-runs'!$C:$C, C269, 'Data Combined - all-runs'!$D:$D, D269, 'Data Combined - all-runs'!$E:$E, E269)</f>
        <v>5.673758865</v>
      </c>
      <c r="Q269" s="5">
        <f>AVERAGEIFS('Data Combined - all-runs'!$Q:$Q, 'Data Combined - all-runs'!$A:$A, A269,'Data Combined - all-runs'!$B:$B, B269,'Data Combined - all-runs'!$C:$C, C269, 'Data Combined - all-runs'!$D:$D, D269, 'Data Combined - all-runs'!$E:$E, E269)</f>
        <v>3072.340426</v>
      </c>
      <c r="R269" s="5">
        <f>AVERAGEIFS('Data Combined - all-runs'!$R:$R, 'Data Combined - all-runs'!$A:$A, A269,'Data Combined - all-runs'!$B:$B, B269,'Data Combined - all-runs'!$C:$C, C269, 'Data Combined - all-runs'!$D:$D, D269, 'Data Combined - all-runs'!$E:$E, E269)</f>
        <v>541.5</v>
      </c>
      <c r="S269" s="5">
        <f>AVERAGEIFS('Data Combined - all-runs'!$S:$S, 'Data Combined - all-runs'!$A:$A, A269,'Data Combined - all-runs'!$B:$B, B269,'Data Combined - all-runs'!$C:$C, C269, 'Data Combined - all-runs'!$D:$D, D269, 'Data Combined - all-runs'!$E:$E, E269)</f>
        <v>0.01292705448</v>
      </c>
      <c r="T269" s="5">
        <f>AVERAGEIFS('Data Combined - all-runs'!$T:$T, 'Data Combined - all-runs'!$A:$A, A269,'Data Combined - all-runs'!$B:$B, B269,'Data Combined - all-runs'!$C:$C, C269, 'Data Combined - all-runs'!$D:$D, D269, 'Data Combined - all-runs'!$E:$E, E269)</f>
        <v>0</v>
      </c>
      <c r="U269" s="5" t="b">
        <f t="shared" si="1"/>
        <v>1</v>
      </c>
      <c r="V269" s="5" t="b">
        <f t="shared" si="2"/>
        <v>1</v>
      </c>
      <c r="W269" s="5" t="b">
        <f t="shared" si="3"/>
        <v>0</v>
      </c>
    </row>
    <row r="270">
      <c r="A270" s="2" t="s">
        <v>460</v>
      </c>
      <c r="B270" s="2" t="s">
        <v>114</v>
      </c>
      <c r="C270" s="2" t="s">
        <v>35</v>
      </c>
      <c r="D270" s="2" t="s">
        <v>72</v>
      </c>
      <c r="E270" s="2" t="s">
        <v>47</v>
      </c>
      <c r="H270" s="5">
        <f>AVERAGEIFS('Data Combined - all-runs'!$H:$H, 'Data Combined - all-runs'!$A:$A, A270,'Data Combined - all-runs'!$B:$B, B270,'Data Combined - all-runs'!$C:$C, C270, 'Data Combined - all-runs'!$D:$D, D270, 'Data Combined - all-runs'!$E:$E, E270)</f>
        <v>1224</v>
      </c>
      <c r="I270" s="5">
        <f>AVERAGEIFS('Data Combined - all-runs'!$I:$I, 'Data Combined - all-runs'!$A:$A, A270,'Data Combined - all-runs'!$B:$B, B270,'Data Combined - all-runs'!$C:$C, C270, 'Data Combined - all-runs'!$D:$D, D270, 'Data Combined - all-runs'!$E:$E, E270)</f>
        <v>0</v>
      </c>
      <c r="J270" s="5">
        <f>AVERAGEIFS('Data Combined - all-runs'!$J:$J, 'Data Combined - all-runs'!$A:$A, A270,'Data Combined - all-runs'!$B:$B, B270,'Data Combined - all-runs'!$C:$C, C270, 'Data Combined - all-runs'!$D:$D, D270, 'Data Combined - all-runs'!$E:$E, E270)</f>
        <v>7</v>
      </c>
      <c r="K270" s="5">
        <f>AVERAGEIFS('Data Combined - all-runs'!$K:$K, 'Data Combined - all-runs'!$A:$A, A270,'Data Combined - all-runs'!$B:$B, B270,'Data Combined - all-runs'!$C:$C, C270, 'Data Combined - all-runs'!$D:$D, D270, 'Data Combined - all-runs'!$E:$E, E270)</f>
        <v>0.1232100239</v>
      </c>
      <c r="L270" s="5">
        <f>AVERAGEIFS('Data Combined - all-runs'!$L:$L, 'Data Combined - all-runs'!$A:$A, A270,'Data Combined - all-runs'!$B:$B, B270,'Data Combined - all-runs'!$C:$C, C270, 'Data Combined - all-runs'!$D:$D, D270, 'Data Combined - all-runs'!$E:$E, E270)</f>
        <v>4329.185943</v>
      </c>
      <c r="M270" s="5">
        <f>AVERAGEIFS('Data Combined - all-runs'!$M:$M, 'Data Combined - all-runs'!$A:$A, A270,'Data Combined - all-runs'!$B:$B, B270,'Data Combined - all-runs'!$C:$C, C270, 'Data Combined - all-runs'!$D:$D, D270, 'Data Combined - all-runs'!$E:$E, E270)</f>
        <v>46</v>
      </c>
      <c r="N270" s="5">
        <f>AVERAGEIFS('Data Combined - all-runs'!$N:$N, 'Data Combined - all-runs'!$A:$A, A270,'Data Combined - all-runs'!$B:$B, B270,'Data Combined - all-runs'!$C:$C, C270, 'Data Combined - all-runs'!$D:$D, D270, 'Data Combined - all-runs'!$E:$E, E270)</f>
        <v>7</v>
      </c>
      <c r="O270" s="5">
        <f>AVERAGEIFS('Data Combined - all-runs'!$O:$O, 'Data Combined - all-runs'!$A:$A, A270,'Data Combined - all-runs'!$B:$B, B270,'Data Combined - all-runs'!$C:$C, C270, 'Data Combined - all-runs'!$D:$D, D270, 'Data Combined - all-runs'!$E:$E, E270)</f>
        <v>838</v>
      </c>
      <c r="P270" s="5">
        <f>AVERAGEIFS('Data Combined - all-runs'!$P:$P, 'Data Combined - all-runs'!$A:$A, A270,'Data Combined - all-runs'!$B:$B, B270,'Data Combined - all-runs'!$C:$C, C270, 'Data Combined - all-runs'!$D:$D, D270, 'Data Combined - all-runs'!$E:$E, E270)</f>
        <v>8.353221957</v>
      </c>
      <c r="Q270" s="5">
        <f>AVERAGEIFS('Data Combined - all-runs'!$Q:$Q, 'Data Combined - all-runs'!$A:$A, A270,'Data Combined - all-runs'!$B:$B, B270,'Data Combined - all-runs'!$C:$C, C270, 'Data Combined - all-runs'!$D:$D, D270, 'Data Combined - all-runs'!$E:$E, E270)</f>
        <v>1460.620525</v>
      </c>
      <c r="R270" s="5">
        <f>AVERAGEIFS('Data Combined - all-runs'!$R:$R, 'Data Combined - all-runs'!$A:$A, A270,'Data Combined - all-runs'!$B:$B, B270,'Data Combined - all-runs'!$C:$C, C270, 'Data Combined - all-runs'!$D:$D, D270, 'Data Combined - all-runs'!$E:$E, E270)</f>
        <v>174.8571429</v>
      </c>
      <c r="S270" s="5">
        <f>AVERAGEIFS('Data Combined - all-runs'!$S:$S, 'Data Combined - all-runs'!$A:$A, A270,'Data Combined - all-runs'!$B:$B, B270,'Data Combined - all-runs'!$C:$C, C270, 'Data Combined - all-runs'!$D:$D, D270, 'Data Combined - all-runs'!$E:$E, E270)</f>
        <v>0.005718954248</v>
      </c>
      <c r="T270" s="5">
        <f>AVERAGEIFS('Data Combined - all-runs'!$T:$T, 'Data Combined - all-runs'!$A:$A, A270,'Data Combined - all-runs'!$B:$B, B270,'Data Combined - all-runs'!$C:$C, C270, 'Data Combined - all-runs'!$D:$D, D270, 'Data Combined - all-runs'!$E:$E, E270)</f>
        <v>0</v>
      </c>
      <c r="U270" s="5" t="b">
        <f t="shared" si="1"/>
        <v>1</v>
      </c>
      <c r="V270" s="5" t="b">
        <f t="shared" si="2"/>
        <v>1</v>
      </c>
      <c r="W270" s="5" t="b">
        <f t="shared" si="3"/>
        <v>0</v>
      </c>
    </row>
    <row r="271">
      <c r="A271" s="2" t="s">
        <v>460</v>
      </c>
      <c r="B271" s="2" t="s">
        <v>114</v>
      </c>
      <c r="C271" s="2" t="s">
        <v>35</v>
      </c>
      <c r="D271" s="2" t="s">
        <v>72</v>
      </c>
      <c r="E271" s="2" t="s">
        <v>51</v>
      </c>
      <c r="H271" s="5">
        <f>AVERAGEIFS('Data Combined - all-runs'!$H:$H, 'Data Combined - all-runs'!$A:$A, A271,'Data Combined - all-runs'!$B:$B, B271,'Data Combined - all-runs'!$C:$C, C271, 'Data Combined - all-runs'!$D:$D, D271, 'Data Combined - all-runs'!$E:$E, E271)</f>
        <v>608</v>
      </c>
      <c r="I271" s="5">
        <f>AVERAGEIFS('Data Combined - all-runs'!$I:$I, 'Data Combined - all-runs'!$A:$A, A271,'Data Combined - all-runs'!$B:$B, B271,'Data Combined - all-runs'!$C:$C, C271, 'Data Combined - all-runs'!$D:$D, D271, 'Data Combined - all-runs'!$E:$E, E271)</f>
        <v>0</v>
      </c>
      <c r="J271" s="5">
        <f>AVERAGEIFS('Data Combined - all-runs'!$J:$J, 'Data Combined - all-runs'!$A:$A, A271,'Data Combined - all-runs'!$B:$B, B271,'Data Combined - all-runs'!$C:$C, C271, 'Data Combined - all-runs'!$D:$D, D271, 'Data Combined - all-runs'!$E:$E, E271)</f>
        <v>3</v>
      </c>
      <c r="K271" s="5">
        <f>AVERAGEIFS('Data Combined - all-runs'!$K:$K, 'Data Combined - all-runs'!$A:$A, A271,'Data Combined - all-runs'!$B:$B, B271,'Data Combined - all-runs'!$C:$C, C271, 'Data Combined - all-runs'!$D:$D, D271, 'Data Combined - all-runs'!$E:$E, E271)</f>
        <v>0.07566225166</v>
      </c>
      <c r="L271" s="5">
        <f>AVERAGEIFS('Data Combined - all-runs'!$L:$L, 'Data Combined - all-runs'!$A:$A, A271,'Data Combined - all-runs'!$B:$B, B271,'Data Combined - all-runs'!$C:$C, C271, 'Data Combined - all-runs'!$D:$D, D271, 'Data Combined - all-runs'!$E:$E, E271)</f>
        <v>2338.45288</v>
      </c>
      <c r="M271" s="5">
        <f>AVERAGEIFS('Data Combined - all-runs'!$M:$M, 'Data Combined - all-runs'!$A:$A, A271,'Data Combined - all-runs'!$B:$B, B271,'Data Combined - all-runs'!$C:$C, C271, 'Data Combined - all-runs'!$D:$D, D271, 'Data Combined - all-runs'!$E:$E, E271)</f>
        <v>39</v>
      </c>
      <c r="N271" s="5">
        <f>AVERAGEIFS('Data Combined - all-runs'!$N:$N, 'Data Combined - all-runs'!$A:$A, A271,'Data Combined - all-runs'!$B:$B, B271,'Data Combined - all-runs'!$C:$C, C271, 'Data Combined - all-runs'!$D:$D, D271, 'Data Combined - all-runs'!$E:$E, E271)</f>
        <v>5</v>
      </c>
      <c r="O271" s="5">
        <f>AVERAGEIFS('Data Combined - all-runs'!$O:$O, 'Data Combined - all-runs'!$A:$A, A271,'Data Combined - all-runs'!$B:$B, B271,'Data Combined - all-runs'!$C:$C, C271, 'Data Combined - all-runs'!$D:$D, D271, 'Data Combined - all-runs'!$E:$E, E271)</f>
        <v>755</v>
      </c>
      <c r="P271" s="5">
        <f>AVERAGEIFS('Data Combined - all-runs'!$P:$P, 'Data Combined - all-runs'!$A:$A, A271,'Data Combined - all-runs'!$B:$B, B271,'Data Combined - all-runs'!$C:$C, C271, 'Data Combined - all-runs'!$D:$D, D271, 'Data Combined - all-runs'!$E:$E, E271)</f>
        <v>6.622516556</v>
      </c>
      <c r="Q271" s="5">
        <f>AVERAGEIFS('Data Combined - all-runs'!$Q:$Q, 'Data Combined - all-runs'!$A:$A, A271,'Data Combined - all-runs'!$B:$B, B271,'Data Combined - all-runs'!$C:$C, C271, 'Data Combined - all-runs'!$D:$D, D271, 'Data Combined - all-runs'!$E:$E, E271)</f>
        <v>805.2980132</v>
      </c>
      <c r="R271" s="5">
        <f>AVERAGEIFS('Data Combined - all-runs'!$R:$R, 'Data Combined - all-runs'!$A:$A, A271,'Data Combined - all-runs'!$B:$B, B271,'Data Combined - all-runs'!$C:$C, C271, 'Data Combined - all-runs'!$D:$D, D271, 'Data Combined - all-runs'!$E:$E, E271)</f>
        <v>121.6</v>
      </c>
      <c r="S271" s="5">
        <f>AVERAGEIFS('Data Combined - all-runs'!$S:$S, 'Data Combined - all-runs'!$A:$A, A271,'Data Combined - all-runs'!$B:$B, B271,'Data Combined - all-runs'!$C:$C, C271, 'Data Combined - all-runs'!$D:$D, D271, 'Data Combined - all-runs'!$E:$E, E271)</f>
        <v>0.004934210526</v>
      </c>
      <c r="T271" s="5">
        <f>AVERAGEIFS('Data Combined - all-runs'!$T:$T, 'Data Combined - all-runs'!$A:$A, A271,'Data Combined - all-runs'!$B:$B, B271,'Data Combined - all-runs'!$C:$C, C271, 'Data Combined - all-runs'!$D:$D, D271, 'Data Combined - all-runs'!$E:$E, E271)</f>
        <v>0</v>
      </c>
      <c r="U271" s="5" t="b">
        <f t="shared" si="1"/>
        <v>1</v>
      </c>
      <c r="V271" s="5" t="b">
        <f t="shared" si="2"/>
        <v>1</v>
      </c>
      <c r="W271" s="5" t="b">
        <f t="shared" si="3"/>
        <v>0</v>
      </c>
    </row>
    <row r="272">
      <c r="A272" s="2" t="s">
        <v>460</v>
      </c>
      <c r="B272" s="2" t="s">
        <v>114</v>
      </c>
      <c r="C272" s="2" t="s">
        <v>35</v>
      </c>
      <c r="D272" s="2" t="s">
        <v>64</v>
      </c>
      <c r="E272" s="2" t="s">
        <v>25</v>
      </c>
      <c r="H272" s="5">
        <f>AVERAGEIFS('Data Combined - all-runs'!$H:$H, 'Data Combined - all-runs'!$A:$A, A272,'Data Combined - all-runs'!$B:$B, B272,'Data Combined - all-runs'!$C:$C, C272, 'Data Combined - all-runs'!$D:$D, D272, 'Data Combined - all-runs'!$E:$E, E272)</f>
        <v>1687</v>
      </c>
      <c r="I272" s="5">
        <f>AVERAGEIFS('Data Combined - all-runs'!$I:$I, 'Data Combined - all-runs'!$A:$A, A272,'Data Combined - all-runs'!$B:$B, B272,'Data Combined - all-runs'!$C:$C, C272, 'Data Combined - all-runs'!$D:$D, D272, 'Data Combined - all-runs'!$E:$E, E272)</f>
        <v>0</v>
      </c>
      <c r="J272" s="5">
        <f>AVERAGEIFS('Data Combined - all-runs'!$J:$J, 'Data Combined - all-runs'!$A:$A, A272,'Data Combined - all-runs'!$B:$B, B272,'Data Combined - all-runs'!$C:$C, C272, 'Data Combined - all-runs'!$D:$D, D272, 'Data Combined - all-runs'!$E:$E, E272)</f>
        <v>0</v>
      </c>
      <c r="K272" s="5">
        <f>AVERAGEIFS('Data Combined - all-runs'!$K:$K, 'Data Combined - all-runs'!$A:$A, A272,'Data Combined - all-runs'!$B:$B, B272,'Data Combined - all-runs'!$C:$C, C272, 'Data Combined - all-runs'!$D:$D, D272, 'Data Combined - all-runs'!$E:$E, E272)</f>
        <v>0.0843220339</v>
      </c>
      <c r="L272" s="5">
        <f>AVERAGEIFS('Data Combined - all-runs'!$L:$L, 'Data Combined - all-runs'!$A:$A, A272,'Data Combined - all-runs'!$B:$B, B272,'Data Combined - all-runs'!$C:$C, C272, 'Data Combined - all-runs'!$D:$D, D272, 'Data Combined - all-runs'!$E:$E, E272)</f>
        <v>5413.009065</v>
      </c>
      <c r="M272" s="5">
        <f>AVERAGEIFS('Data Combined - all-runs'!$M:$M, 'Data Combined - all-runs'!$A:$A, A272,'Data Combined - all-runs'!$B:$B, B272,'Data Combined - all-runs'!$C:$C, C272, 'Data Combined - all-runs'!$D:$D, D272, 'Data Combined - all-runs'!$E:$E, E272)</f>
        <v>35</v>
      </c>
      <c r="N272" s="5">
        <f>AVERAGEIFS('Data Combined - all-runs'!$N:$N, 'Data Combined - all-runs'!$A:$A, A272,'Data Combined - all-runs'!$B:$B, B272,'Data Combined - all-runs'!$C:$C, C272, 'Data Combined - all-runs'!$D:$D, D272, 'Data Combined - all-runs'!$E:$E, E272)</f>
        <v>6</v>
      </c>
      <c r="O272" s="5">
        <f>AVERAGEIFS('Data Combined - all-runs'!$O:$O, 'Data Combined - all-runs'!$A:$A, A272,'Data Combined - all-runs'!$B:$B, B272,'Data Combined - all-runs'!$C:$C, C272, 'Data Combined - all-runs'!$D:$D, D272, 'Data Combined - all-runs'!$E:$E, E272)</f>
        <v>1180</v>
      </c>
      <c r="P272" s="5">
        <f>AVERAGEIFS('Data Combined - all-runs'!$P:$P, 'Data Combined - all-runs'!$A:$A, A272,'Data Combined - all-runs'!$B:$B, B272,'Data Combined - all-runs'!$C:$C, C272, 'Data Combined - all-runs'!$D:$D, D272, 'Data Combined - all-runs'!$E:$E, E272)</f>
        <v>5.084745763</v>
      </c>
      <c r="Q272" s="5">
        <f>AVERAGEIFS('Data Combined - all-runs'!$Q:$Q, 'Data Combined - all-runs'!$A:$A, A272,'Data Combined - all-runs'!$B:$B, B272,'Data Combined - all-runs'!$C:$C, C272, 'Data Combined - all-runs'!$D:$D, D272, 'Data Combined - all-runs'!$E:$E, E272)</f>
        <v>1429.661017</v>
      </c>
      <c r="R272" s="5">
        <f>AVERAGEIFS('Data Combined - all-runs'!$R:$R, 'Data Combined - all-runs'!$A:$A, A272,'Data Combined - all-runs'!$B:$B, B272,'Data Combined - all-runs'!$C:$C, C272, 'Data Combined - all-runs'!$D:$D, D272, 'Data Combined - all-runs'!$E:$E, E272)</f>
        <v>281.1666667</v>
      </c>
      <c r="S272" s="5">
        <f>AVERAGEIFS('Data Combined - all-runs'!$S:$S, 'Data Combined - all-runs'!$A:$A, A272,'Data Combined - all-runs'!$B:$B, B272,'Data Combined - all-runs'!$C:$C, C272, 'Data Combined - all-runs'!$D:$D, D272, 'Data Combined - all-runs'!$E:$E, E272)</f>
        <v>0</v>
      </c>
      <c r="T272" s="5">
        <f>AVERAGEIFS('Data Combined - all-runs'!$T:$T, 'Data Combined - all-runs'!$A:$A, A272,'Data Combined - all-runs'!$B:$B, B272,'Data Combined - all-runs'!$C:$C, C272, 'Data Combined - all-runs'!$D:$D, D272, 'Data Combined - all-runs'!$E:$E, E272)</f>
        <v>0</v>
      </c>
      <c r="U272" s="5" t="b">
        <f t="shared" si="1"/>
        <v>1</v>
      </c>
      <c r="V272" s="5" t="b">
        <f t="shared" si="2"/>
        <v>1</v>
      </c>
      <c r="W272" s="5" t="b">
        <f t="shared" si="3"/>
        <v>0</v>
      </c>
    </row>
    <row r="273">
      <c r="A273" s="2" t="s">
        <v>460</v>
      </c>
      <c r="B273" s="2" t="s">
        <v>114</v>
      </c>
      <c r="C273" s="2" t="s">
        <v>35</v>
      </c>
      <c r="D273" s="2" t="s">
        <v>64</v>
      </c>
      <c r="E273" s="2" t="s">
        <v>39</v>
      </c>
      <c r="H273" s="5">
        <f>AVERAGEIFS('Data Combined - all-runs'!$H:$H, 'Data Combined - all-runs'!$A:$A, A273,'Data Combined - all-runs'!$B:$B, B273,'Data Combined - all-runs'!$C:$C, C273, 'Data Combined - all-runs'!$D:$D, D273, 'Data Combined - all-runs'!$E:$E, E273)</f>
        <v>289</v>
      </c>
      <c r="I273" s="5">
        <f>AVERAGEIFS('Data Combined - all-runs'!$I:$I, 'Data Combined - all-runs'!$A:$A, A273,'Data Combined - all-runs'!$B:$B, B273,'Data Combined - all-runs'!$C:$C, C273, 'Data Combined - all-runs'!$D:$D, D273, 'Data Combined - all-runs'!$E:$E, E273)</f>
        <v>0</v>
      </c>
      <c r="J273" s="5">
        <f>AVERAGEIFS('Data Combined - all-runs'!$J:$J, 'Data Combined - all-runs'!$A:$A, A273,'Data Combined - all-runs'!$B:$B, B273,'Data Combined - all-runs'!$C:$C, C273, 'Data Combined - all-runs'!$D:$D, D273, 'Data Combined - all-runs'!$E:$E, E273)</f>
        <v>0</v>
      </c>
      <c r="K273" s="5">
        <f>AVERAGEIFS('Data Combined - all-runs'!$K:$K, 'Data Combined - all-runs'!$A:$A, A273,'Data Combined - all-runs'!$B:$B, B273,'Data Combined - all-runs'!$C:$C, C273, 'Data Combined - all-runs'!$D:$D, D273, 'Data Combined - all-runs'!$E:$E, E273)</f>
        <v>0.1072006472</v>
      </c>
      <c r="L273" s="5">
        <f>AVERAGEIFS('Data Combined - all-runs'!$L:$L, 'Data Combined - all-runs'!$A:$A, A273,'Data Combined - all-runs'!$B:$B, B273,'Data Combined - all-runs'!$C:$C, C273, 'Data Combined - all-runs'!$D:$D, D273, 'Data Combined - all-runs'!$E:$E, E273)</f>
        <v>1063.377665</v>
      </c>
      <c r="M273" s="5">
        <f>AVERAGEIFS('Data Combined - all-runs'!$M:$M, 'Data Combined - all-runs'!$A:$A, A273,'Data Combined - all-runs'!$B:$B, B273,'Data Combined - all-runs'!$C:$C, C273, 'Data Combined - all-runs'!$D:$D, D273, 'Data Combined - all-runs'!$E:$E, E273)</f>
        <v>118</v>
      </c>
      <c r="N273" s="5">
        <f>AVERAGEIFS('Data Combined - all-runs'!$N:$N, 'Data Combined - all-runs'!$A:$A, A273,'Data Combined - all-runs'!$B:$B, B273,'Data Combined - all-runs'!$C:$C, C273, 'Data Combined - all-runs'!$D:$D, D273, 'Data Combined - all-runs'!$E:$E, E273)</f>
        <v>1</v>
      </c>
      <c r="O273" s="5">
        <f>AVERAGEIFS('Data Combined - all-runs'!$O:$O, 'Data Combined - all-runs'!$A:$A, A273,'Data Combined - all-runs'!$B:$B, B273,'Data Combined - all-runs'!$C:$C, C273, 'Data Combined - all-runs'!$D:$D, D273, 'Data Combined - all-runs'!$E:$E, E273)</f>
        <v>618</v>
      </c>
      <c r="P273" s="5">
        <f>AVERAGEIFS('Data Combined - all-runs'!$P:$P, 'Data Combined - all-runs'!$A:$A, A273,'Data Combined - all-runs'!$B:$B, B273,'Data Combined - all-runs'!$C:$C, C273, 'Data Combined - all-runs'!$D:$D, D273, 'Data Combined - all-runs'!$E:$E, E273)</f>
        <v>1.618122977</v>
      </c>
      <c r="Q273" s="5">
        <f>AVERAGEIFS('Data Combined - all-runs'!$Q:$Q, 'Data Combined - all-runs'!$A:$A, A273,'Data Combined - all-runs'!$B:$B, B273,'Data Combined - all-runs'!$C:$C, C273, 'Data Combined - all-runs'!$D:$D, D273, 'Data Combined - all-runs'!$E:$E, E273)</f>
        <v>467.6375405</v>
      </c>
      <c r="R273" s="5">
        <f>AVERAGEIFS('Data Combined - all-runs'!$R:$R, 'Data Combined - all-runs'!$A:$A, A273,'Data Combined - all-runs'!$B:$B, B273,'Data Combined - all-runs'!$C:$C, C273, 'Data Combined - all-runs'!$D:$D, D273, 'Data Combined - all-runs'!$E:$E, E273)</f>
        <v>289</v>
      </c>
      <c r="S273" s="5">
        <f>AVERAGEIFS('Data Combined - all-runs'!$S:$S, 'Data Combined - all-runs'!$A:$A, A273,'Data Combined - all-runs'!$B:$B, B273,'Data Combined - all-runs'!$C:$C, C273, 'Data Combined - all-runs'!$D:$D, D273, 'Data Combined - all-runs'!$E:$E, E273)</f>
        <v>0</v>
      </c>
      <c r="T273" s="5">
        <f>AVERAGEIFS('Data Combined - all-runs'!$T:$T, 'Data Combined - all-runs'!$A:$A, A273,'Data Combined - all-runs'!$B:$B, B273,'Data Combined - all-runs'!$C:$C, C273, 'Data Combined - all-runs'!$D:$D, D273, 'Data Combined - all-runs'!$E:$E, E273)</f>
        <v>0</v>
      </c>
      <c r="U273" s="5" t="b">
        <f t="shared" si="1"/>
        <v>1</v>
      </c>
      <c r="V273" s="5" t="b">
        <f t="shared" si="2"/>
        <v>1</v>
      </c>
      <c r="W273" s="5" t="b">
        <f t="shared" si="3"/>
        <v>0</v>
      </c>
    </row>
    <row r="274">
      <c r="A274" s="2" t="s">
        <v>460</v>
      </c>
      <c r="B274" s="2" t="s">
        <v>114</v>
      </c>
      <c r="C274" s="2" t="s">
        <v>35</v>
      </c>
      <c r="D274" s="2" t="s">
        <v>64</v>
      </c>
      <c r="E274" s="2" t="s">
        <v>43</v>
      </c>
      <c r="H274" s="5">
        <f>AVERAGEIFS('Data Combined - all-runs'!$H:$H, 'Data Combined - all-runs'!$A:$A, A274,'Data Combined - all-runs'!$B:$B, B274,'Data Combined - all-runs'!$C:$C, C274, 'Data Combined - all-runs'!$D:$D, D274, 'Data Combined - all-runs'!$E:$E, E274)</f>
        <v>1364</v>
      </c>
      <c r="I274" s="5">
        <f>AVERAGEIFS('Data Combined - all-runs'!$I:$I, 'Data Combined - all-runs'!$A:$A, A274,'Data Combined - all-runs'!$B:$B, B274,'Data Combined - all-runs'!$C:$C, C274, 'Data Combined - all-runs'!$D:$D, D274, 'Data Combined - all-runs'!$E:$E, E274)</f>
        <v>0</v>
      </c>
      <c r="J274" s="5">
        <f>AVERAGEIFS('Data Combined - all-runs'!$J:$J, 'Data Combined - all-runs'!$A:$A, A274,'Data Combined - all-runs'!$B:$B, B274,'Data Combined - all-runs'!$C:$C, C274, 'Data Combined - all-runs'!$D:$D, D274, 'Data Combined - all-runs'!$E:$E, E274)</f>
        <v>0</v>
      </c>
      <c r="K274" s="5">
        <f>AVERAGEIFS('Data Combined - all-runs'!$K:$K, 'Data Combined - all-runs'!$A:$A, A274,'Data Combined - all-runs'!$B:$B, B274,'Data Combined - all-runs'!$C:$C, C274, 'Data Combined - all-runs'!$D:$D, D274, 'Data Combined - all-runs'!$E:$E, E274)</f>
        <v>0.1087043722</v>
      </c>
      <c r="L274" s="5">
        <f>AVERAGEIFS('Data Combined - all-runs'!$L:$L, 'Data Combined - all-runs'!$A:$A, A274,'Data Combined - all-runs'!$B:$B, B274,'Data Combined - all-runs'!$C:$C, C274, 'Data Combined - all-runs'!$D:$D, D274, 'Data Combined - all-runs'!$E:$E, E274)</f>
        <v>5299.085296</v>
      </c>
      <c r="M274" s="5">
        <f>AVERAGEIFS('Data Combined - all-runs'!$M:$M, 'Data Combined - all-runs'!$A:$A, A274,'Data Combined - all-runs'!$B:$B, B274,'Data Combined - all-runs'!$C:$C, C274, 'Data Combined - all-runs'!$D:$D, D274, 'Data Combined - all-runs'!$E:$E, E274)</f>
        <v>84</v>
      </c>
      <c r="N274" s="5">
        <f>AVERAGEIFS('Data Combined - all-runs'!$N:$N, 'Data Combined - all-runs'!$A:$A, A274,'Data Combined - all-runs'!$B:$B, B274,'Data Combined - all-runs'!$C:$C, C274, 'Data Combined - all-runs'!$D:$D, D274, 'Data Combined - all-runs'!$E:$E, E274)</f>
        <v>6</v>
      </c>
      <c r="O274" s="5">
        <f>AVERAGEIFS('Data Combined - all-runs'!$O:$O, 'Data Combined - all-runs'!$A:$A, A274,'Data Combined - all-runs'!$B:$B, B274,'Data Combined - all-runs'!$C:$C, C274, 'Data Combined - all-runs'!$D:$D, D274, 'Data Combined - all-runs'!$E:$E, E274)</f>
        <v>831</v>
      </c>
      <c r="P274" s="5">
        <f>AVERAGEIFS('Data Combined - all-runs'!$P:$P, 'Data Combined - all-runs'!$A:$A, A274,'Data Combined - all-runs'!$B:$B, B274,'Data Combined - all-runs'!$C:$C, C274, 'Data Combined - all-runs'!$D:$D, D274, 'Data Combined - all-runs'!$E:$E, E274)</f>
        <v>7.220216607</v>
      </c>
      <c r="Q274" s="5">
        <f>AVERAGEIFS('Data Combined - all-runs'!$Q:$Q, 'Data Combined - all-runs'!$A:$A, A274,'Data Combined - all-runs'!$B:$B, B274,'Data Combined - all-runs'!$C:$C, C274, 'Data Combined - all-runs'!$D:$D, D274, 'Data Combined - all-runs'!$E:$E, E274)</f>
        <v>1641.395909</v>
      </c>
      <c r="R274" s="5">
        <f>AVERAGEIFS('Data Combined - all-runs'!$R:$R, 'Data Combined - all-runs'!$A:$A, A274,'Data Combined - all-runs'!$B:$B, B274,'Data Combined - all-runs'!$C:$C, C274, 'Data Combined - all-runs'!$D:$D, D274, 'Data Combined - all-runs'!$E:$E, E274)</f>
        <v>227.3333333</v>
      </c>
      <c r="S274" s="5">
        <f>AVERAGEIFS('Data Combined - all-runs'!$S:$S, 'Data Combined - all-runs'!$A:$A, A274,'Data Combined - all-runs'!$B:$B, B274,'Data Combined - all-runs'!$C:$C, C274, 'Data Combined - all-runs'!$D:$D, D274, 'Data Combined - all-runs'!$E:$E, E274)</f>
        <v>0</v>
      </c>
      <c r="T274" s="5">
        <f>AVERAGEIFS('Data Combined - all-runs'!$T:$T, 'Data Combined - all-runs'!$A:$A, A274,'Data Combined - all-runs'!$B:$B, B274,'Data Combined - all-runs'!$C:$C, C274, 'Data Combined - all-runs'!$D:$D, D274, 'Data Combined - all-runs'!$E:$E, E274)</f>
        <v>0</v>
      </c>
      <c r="U274" s="5" t="b">
        <f t="shared" si="1"/>
        <v>1</v>
      </c>
      <c r="V274" s="5" t="b">
        <f t="shared" si="2"/>
        <v>1</v>
      </c>
      <c r="W274" s="5" t="b">
        <f t="shared" si="3"/>
        <v>0</v>
      </c>
    </row>
    <row r="275">
      <c r="A275" s="2" t="s">
        <v>460</v>
      </c>
      <c r="B275" s="2" t="s">
        <v>114</v>
      </c>
      <c r="C275" s="2" t="s">
        <v>35</v>
      </c>
      <c r="D275" s="2" t="s">
        <v>64</v>
      </c>
      <c r="E275" s="2" t="s">
        <v>34</v>
      </c>
      <c r="H275" s="5">
        <f>AVERAGEIFS('Data Combined - all-runs'!$H:$H, 'Data Combined - all-runs'!$A:$A, A275,'Data Combined - all-runs'!$B:$B, B275,'Data Combined - all-runs'!$C:$C, C275, 'Data Combined - all-runs'!$D:$D, D275, 'Data Combined - all-runs'!$E:$E, E275)</f>
        <v>2021</v>
      </c>
      <c r="I275" s="5">
        <f>AVERAGEIFS('Data Combined - all-runs'!$I:$I, 'Data Combined - all-runs'!$A:$A, A275,'Data Combined - all-runs'!$B:$B, B275,'Data Combined - all-runs'!$C:$C, C275, 'Data Combined - all-runs'!$D:$D, D275, 'Data Combined - all-runs'!$E:$E, E275)</f>
        <v>0</v>
      </c>
      <c r="J275" s="5">
        <f>AVERAGEIFS('Data Combined - all-runs'!$J:$J, 'Data Combined - all-runs'!$A:$A, A275,'Data Combined - all-runs'!$B:$B, B275,'Data Combined - all-runs'!$C:$C, C275, 'Data Combined - all-runs'!$D:$D, D275, 'Data Combined - all-runs'!$E:$E, E275)</f>
        <v>0</v>
      </c>
      <c r="K275" s="5">
        <f>AVERAGEIFS('Data Combined - all-runs'!$K:$K, 'Data Combined - all-runs'!$A:$A, A275,'Data Combined - all-runs'!$B:$B, B275,'Data Combined - all-runs'!$C:$C, C275, 'Data Combined - all-runs'!$D:$D, D275, 'Data Combined - all-runs'!$E:$E, E275)</f>
        <v>0.3223333333</v>
      </c>
      <c r="L275" s="5">
        <f>AVERAGEIFS('Data Combined - all-runs'!$L:$L, 'Data Combined - all-runs'!$A:$A, A275,'Data Combined - all-runs'!$B:$B, B275,'Data Combined - all-runs'!$C:$C, C275, 'Data Combined - all-runs'!$D:$D, D275, 'Data Combined - all-runs'!$E:$E, E275)</f>
        <v>6094.144878</v>
      </c>
      <c r="M275" s="5" t="str">
        <f>AVERAGEIFS('Data Combined - all-runs'!$M:$M, 'Data Combined - all-runs'!$A:$A, A275,'Data Combined - all-runs'!$B:$B, B275,'Data Combined - all-runs'!$C:$C, C275, 'Data Combined - all-runs'!$D:$D, D275, 'Data Combined - all-runs'!$E:$E, E275)</f>
        <v>#DIV/0!</v>
      </c>
      <c r="N275" s="5">
        <f>AVERAGEIFS('Data Combined - all-runs'!$N:$N, 'Data Combined - all-runs'!$A:$A, A275,'Data Combined - all-runs'!$B:$B, B275,'Data Combined - all-runs'!$C:$C, C275, 'Data Combined - all-runs'!$D:$D, D275, 'Data Combined - all-runs'!$E:$E, E275)</f>
        <v>0</v>
      </c>
      <c r="O275" s="5">
        <f>AVERAGEIFS('Data Combined - all-runs'!$O:$O, 'Data Combined - all-runs'!$A:$A, A275,'Data Combined - all-runs'!$B:$B, B275,'Data Combined - all-runs'!$C:$C, C275, 'Data Combined - all-runs'!$D:$D, D275, 'Data Combined - all-runs'!$E:$E, E275)</f>
        <v>500</v>
      </c>
      <c r="P275" s="5">
        <f>AVERAGEIFS('Data Combined - all-runs'!$P:$P, 'Data Combined - all-runs'!$A:$A, A275,'Data Combined - all-runs'!$B:$B, B275,'Data Combined - all-runs'!$C:$C, C275, 'Data Combined - all-runs'!$D:$D, D275, 'Data Combined - all-runs'!$E:$E, E275)</f>
        <v>0</v>
      </c>
      <c r="Q275" s="5">
        <f>AVERAGEIFS('Data Combined - all-runs'!$Q:$Q, 'Data Combined - all-runs'!$A:$A, A275,'Data Combined - all-runs'!$B:$B, B275,'Data Combined - all-runs'!$C:$C, C275, 'Data Combined - all-runs'!$D:$D, D275, 'Data Combined - all-runs'!$E:$E, E275)</f>
        <v>4042</v>
      </c>
      <c r="R275" s="5" t="str">
        <f>AVERAGEIFS('Data Combined - all-runs'!$R:$R, 'Data Combined - all-runs'!$A:$A, A275,'Data Combined - all-runs'!$B:$B, B275,'Data Combined - all-runs'!$C:$C, C275, 'Data Combined - all-runs'!$D:$D, D275, 'Data Combined - all-runs'!$E:$E, E275)</f>
        <v>#DIV/0!</v>
      </c>
      <c r="S275" s="5">
        <f>AVERAGEIFS('Data Combined - all-runs'!$S:$S, 'Data Combined - all-runs'!$A:$A, A275,'Data Combined - all-runs'!$B:$B, B275,'Data Combined - all-runs'!$C:$C, C275, 'Data Combined - all-runs'!$D:$D, D275, 'Data Combined - all-runs'!$E:$E, E275)</f>
        <v>0</v>
      </c>
      <c r="T275" s="5">
        <f>AVERAGEIFS('Data Combined - all-runs'!$T:$T, 'Data Combined - all-runs'!$A:$A, A275,'Data Combined - all-runs'!$B:$B, B275,'Data Combined - all-runs'!$C:$C, C275, 'Data Combined - all-runs'!$D:$D, D275, 'Data Combined - all-runs'!$E:$E, E275)</f>
        <v>0</v>
      </c>
      <c r="U275" s="5" t="b">
        <f t="shared" si="1"/>
        <v>1</v>
      </c>
      <c r="V275" s="5" t="b">
        <f t="shared" si="2"/>
        <v>1</v>
      </c>
      <c r="W275" s="5" t="b">
        <f t="shared" si="3"/>
        <v>0</v>
      </c>
    </row>
    <row r="276">
      <c r="A276" s="2" t="s">
        <v>460</v>
      </c>
      <c r="B276" s="2" t="s">
        <v>114</v>
      </c>
      <c r="C276" s="2" t="s">
        <v>35</v>
      </c>
      <c r="D276" s="2" t="s">
        <v>64</v>
      </c>
      <c r="E276" s="2" t="s">
        <v>47</v>
      </c>
      <c r="H276" s="5">
        <f>AVERAGEIFS('Data Combined - all-runs'!$H:$H, 'Data Combined - all-runs'!$A:$A, A276,'Data Combined - all-runs'!$B:$B, B276,'Data Combined - all-runs'!$C:$C, C276, 'Data Combined - all-runs'!$D:$D, D276, 'Data Combined - all-runs'!$E:$E, E276)</f>
        <v>4953</v>
      </c>
      <c r="I276" s="5">
        <f>AVERAGEIFS('Data Combined - all-runs'!$I:$I, 'Data Combined - all-runs'!$A:$A, A276,'Data Combined - all-runs'!$B:$B, B276,'Data Combined - all-runs'!$C:$C, C276, 'Data Combined - all-runs'!$D:$D, D276, 'Data Combined - all-runs'!$E:$E, E276)</f>
        <v>0</v>
      </c>
      <c r="J276" s="5">
        <f>AVERAGEIFS('Data Combined - all-runs'!$J:$J, 'Data Combined - all-runs'!$A:$A, A276,'Data Combined - all-runs'!$B:$B, B276,'Data Combined - all-runs'!$C:$C, C276, 'Data Combined - all-runs'!$D:$D, D276, 'Data Combined - all-runs'!$E:$E, E276)</f>
        <v>0</v>
      </c>
      <c r="K276" s="5">
        <f>AVERAGEIFS('Data Combined - all-runs'!$K:$K, 'Data Combined - all-runs'!$A:$A, A276,'Data Combined - all-runs'!$B:$B, B276,'Data Combined - all-runs'!$C:$C, C276, 'Data Combined - all-runs'!$D:$D, D276, 'Data Combined - all-runs'!$E:$E, E276)</f>
        <v>0.1367521368</v>
      </c>
      <c r="L276" s="5">
        <f>AVERAGEIFS('Data Combined - all-runs'!$L:$L, 'Data Combined - all-runs'!$A:$A, A276,'Data Combined - all-runs'!$B:$B, B276,'Data Combined - all-runs'!$C:$C, C276, 'Data Combined - all-runs'!$D:$D, D276, 'Data Combined - all-runs'!$E:$E, E276)</f>
        <v>19239.3201</v>
      </c>
      <c r="M276" s="5">
        <f>AVERAGEIFS('Data Combined - all-runs'!$M:$M, 'Data Combined - all-runs'!$A:$A, A276,'Data Combined - all-runs'!$B:$B, B276,'Data Combined - all-runs'!$C:$C, C276, 'Data Combined - all-runs'!$D:$D, D276, 'Data Combined - all-runs'!$E:$E, E276)</f>
        <v>168</v>
      </c>
      <c r="N276" s="5">
        <f>AVERAGEIFS('Data Combined - all-runs'!$N:$N, 'Data Combined - all-runs'!$A:$A, A276,'Data Combined - all-runs'!$B:$B, B276,'Data Combined - all-runs'!$C:$C, C276, 'Data Combined - all-runs'!$D:$D, D276, 'Data Combined - all-runs'!$E:$E, E276)</f>
        <v>2</v>
      </c>
      <c r="O276" s="5">
        <f>AVERAGEIFS('Data Combined - all-runs'!$O:$O, 'Data Combined - all-runs'!$A:$A, A276,'Data Combined - all-runs'!$B:$B, B276,'Data Combined - all-runs'!$C:$C, C276, 'Data Combined - all-runs'!$D:$D, D276, 'Data Combined - all-runs'!$E:$E, E276)</f>
        <v>1053</v>
      </c>
      <c r="P276" s="5">
        <f>AVERAGEIFS('Data Combined - all-runs'!$P:$P, 'Data Combined - all-runs'!$A:$A, A276,'Data Combined - all-runs'!$B:$B, B276,'Data Combined - all-runs'!$C:$C, C276, 'Data Combined - all-runs'!$D:$D, D276, 'Data Combined - all-runs'!$E:$E, E276)</f>
        <v>1.899335233</v>
      </c>
      <c r="Q276" s="5">
        <f>AVERAGEIFS('Data Combined - all-runs'!$Q:$Q, 'Data Combined - all-runs'!$A:$A, A276,'Data Combined - all-runs'!$B:$B, B276,'Data Combined - all-runs'!$C:$C, C276, 'Data Combined - all-runs'!$D:$D, D276, 'Data Combined - all-runs'!$E:$E, E276)</f>
        <v>4703.703704</v>
      </c>
      <c r="R276" s="5">
        <f>AVERAGEIFS('Data Combined - all-runs'!$R:$R, 'Data Combined - all-runs'!$A:$A, A276,'Data Combined - all-runs'!$B:$B, B276,'Data Combined - all-runs'!$C:$C, C276, 'Data Combined - all-runs'!$D:$D, D276, 'Data Combined - all-runs'!$E:$E, E276)</f>
        <v>2476.5</v>
      </c>
      <c r="S276" s="5">
        <f>AVERAGEIFS('Data Combined - all-runs'!$S:$S, 'Data Combined - all-runs'!$A:$A, A276,'Data Combined - all-runs'!$B:$B, B276,'Data Combined - all-runs'!$C:$C, C276, 'Data Combined - all-runs'!$D:$D, D276, 'Data Combined - all-runs'!$E:$E, E276)</f>
        <v>0</v>
      </c>
      <c r="T276" s="5">
        <f>AVERAGEIFS('Data Combined - all-runs'!$T:$T, 'Data Combined - all-runs'!$A:$A, A276,'Data Combined - all-runs'!$B:$B, B276,'Data Combined - all-runs'!$C:$C, C276, 'Data Combined - all-runs'!$D:$D, D276, 'Data Combined - all-runs'!$E:$E, E276)</f>
        <v>0</v>
      </c>
      <c r="U276" s="5" t="b">
        <f t="shared" si="1"/>
        <v>1</v>
      </c>
      <c r="V276" s="5" t="b">
        <f t="shared" si="2"/>
        <v>1</v>
      </c>
      <c r="W276" s="5" t="b">
        <f t="shared" si="3"/>
        <v>0</v>
      </c>
    </row>
    <row r="277">
      <c r="A277" s="2" t="s">
        <v>460</v>
      </c>
      <c r="B277" s="2" t="s">
        <v>114</v>
      </c>
      <c r="C277" s="2" t="s">
        <v>35</v>
      </c>
      <c r="D277" s="2" t="s">
        <v>64</v>
      </c>
      <c r="E277" s="2" t="s">
        <v>51</v>
      </c>
      <c r="H277" s="5">
        <f>AVERAGEIFS('Data Combined - all-runs'!$H:$H, 'Data Combined - all-runs'!$A:$A, A277,'Data Combined - all-runs'!$B:$B, B277,'Data Combined - all-runs'!$C:$C, C277, 'Data Combined - all-runs'!$D:$D, D277, 'Data Combined - all-runs'!$E:$E, E277)</f>
        <v>2812</v>
      </c>
      <c r="I277" s="5">
        <f>AVERAGEIFS('Data Combined - all-runs'!$I:$I, 'Data Combined - all-runs'!$A:$A, A277,'Data Combined - all-runs'!$B:$B, B277,'Data Combined - all-runs'!$C:$C, C277, 'Data Combined - all-runs'!$D:$D, D277, 'Data Combined - all-runs'!$E:$E, E277)</f>
        <v>0</v>
      </c>
      <c r="J277" s="5">
        <f>AVERAGEIFS('Data Combined - all-runs'!$J:$J, 'Data Combined - all-runs'!$A:$A, A277,'Data Combined - all-runs'!$B:$B, B277,'Data Combined - all-runs'!$C:$C, C277, 'Data Combined - all-runs'!$D:$D, D277, 'Data Combined - all-runs'!$E:$E, E277)</f>
        <v>0</v>
      </c>
      <c r="K277" s="5">
        <f>AVERAGEIFS('Data Combined - all-runs'!$K:$K, 'Data Combined - all-runs'!$A:$A, A277,'Data Combined - all-runs'!$B:$B, B277,'Data Combined - all-runs'!$C:$C, C277, 'Data Combined - all-runs'!$D:$D, D277, 'Data Combined - all-runs'!$E:$E, E277)</f>
        <v>0.1622750643</v>
      </c>
      <c r="L277" s="5">
        <f>AVERAGEIFS('Data Combined - all-runs'!$L:$L, 'Data Combined - all-runs'!$A:$A, A277,'Data Combined - all-runs'!$B:$B, B277,'Data Combined - all-runs'!$C:$C, C277, 'Data Combined - all-runs'!$D:$D, D277, 'Data Combined - all-runs'!$E:$E, E277)</f>
        <v>10330.53779</v>
      </c>
      <c r="M277" s="5">
        <f>AVERAGEIFS('Data Combined - all-runs'!$M:$M, 'Data Combined - all-runs'!$A:$A, A277,'Data Combined - all-runs'!$B:$B, B277,'Data Combined - all-runs'!$C:$C, C277, 'Data Combined - all-runs'!$D:$D, D277, 'Data Combined - all-runs'!$E:$E, E277)</f>
        <v>278</v>
      </c>
      <c r="N277" s="5">
        <f>AVERAGEIFS('Data Combined - all-runs'!$N:$N, 'Data Combined - all-runs'!$A:$A, A277,'Data Combined - all-runs'!$B:$B, B277,'Data Combined - all-runs'!$C:$C, C277, 'Data Combined - all-runs'!$D:$D, D277, 'Data Combined - all-runs'!$E:$E, E277)</f>
        <v>1</v>
      </c>
      <c r="O277" s="5">
        <f>AVERAGEIFS('Data Combined - all-runs'!$O:$O, 'Data Combined - all-runs'!$A:$A, A277,'Data Combined - all-runs'!$B:$B, B277,'Data Combined - all-runs'!$C:$C, C277, 'Data Combined - all-runs'!$D:$D, D277, 'Data Combined - all-runs'!$E:$E, E277)</f>
        <v>778</v>
      </c>
      <c r="P277" s="5">
        <f>AVERAGEIFS('Data Combined - all-runs'!$P:$P, 'Data Combined - all-runs'!$A:$A, A277,'Data Combined - all-runs'!$B:$B, B277,'Data Combined - all-runs'!$C:$C, C277, 'Data Combined - all-runs'!$D:$D, D277, 'Data Combined - all-runs'!$E:$E, E277)</f>
        <v>1.285347044</v>
      </c>
      <c r="Q277" s="5">
        <f>AVERAGEIFS('Data Combined - all-runs'!$Q:$Q, 'Data Combined - all-runs'!$A:$A, A277,'Data Combined - all-runs'!$B:$B, B277,'Data Combined - all-runs'!$C:$C, C277, 'Data Combined - all-runs'!$D:$D, D277, 'Data Combined - all-runs'!$E:$E, E277)</f>
        <v>3614.395887</v>
      </c>
      <c r="R277" s="5">
        <f>AVERAGEIFS('Data Combined - all-runs'!$R:$R, 'Data Combined - all-runs'!$A:$A, A277,'Data Combined - all-runs'!$B:$B, B277,'Data Combined - all-runs'!$C:$C, C277, 'Data Combined - all-runs'!$D:$D, D277, 'Data Combined - all-runs'!$E:$E, E277)</f>
        <v>2812</v>
      </c>
      <c r="S277" s="5">
        <f>AVERAGEIFS('Data Combined - all-runs'!$S:$S, 'Data Combined - all-runs'!$A:$A, A277,'Data Combined - all-runs'!$B:$B, B277,'Data Combined - all-runs'!$C:$C, C277, 'Data Combined - all-runs'!$D:$D, D277, 'Data Combined - all-runs'!$E:$E, E277)</f>
        <v>0</v>
      </c>
      <c r="T277" s="5">
        <f>AVERAGEIFS('Data Combined - all-runs'!$T:$T, 'Data Combined - all-runs'!$A:$A, A277,'Data Combined - all-runs'!$B:$B, B277,'Data Combined - all-runs'!$C:$C, C277, 'Data Combined - all-runs'!$D:$D, D277, 'Data Combined - all-runs'!$E:$E, E277)</f>
        <v>0</v>
      </c>
      <c r="U277" s="5" t="b">
        <f t="shared" si="1"/>
        <v>1</v>
      </c>
      <c r="V277" s="5" t="b">
        <f t="shared" si="2"/>
        <v>1</v>
      </c>
      <c r="W277" s="5" t="b">
        <f t="shared" si="3"/>
        <v>0</v>
      </c>
    </row>
    <row r="278">
      <c r="A278" s="2" t="s">
        <v>460</v>
      </c>
      <c r="B278" s="2" t="s">
        <v>114</v>
      </c>
      <c r="C278" s="2" t="s">
        <v>35</v>
      </c>
      <c r="D278" s="2" t="s">
        <v>102</v>
      </c>
      <c r="E278" s="2" t="s">
        <v>25</v>
      </c>
      <c r="H278" s="5">
        <f>AVERAGEIFS('Data Combined - all-runs'!$H:$H, 'Data Combined - all-runs'!$A:$A, A278,'Data Combined - all-runs'!$B:$B, B278,'Data Combined - all-runs'!$C:$C, C278, 'Data Combined - all-runs'!$D:$D, D278, 'Data Combined - all-runs'!$E:$E, E278)</f>
        <v>182</v>
      </c>
      <c r="I278" s="5">
        <f>AVERAGEIFS('Data Combined - all-runs'!$I:$I, 'Data Combined - all-runs'!$A:$A, A278,'Data Combined - all-runs'!$B:$B, B278,'Data Combined - all-runs'!$C:$C, C278, 'Data Combined - all-runs'!$D:$D, D278, 'Data Combined - all-runs'!$E:$E, E278)</f>
        <v>0</v>
      </c>
      <c r="J278" s="5">
        <f>AVERAGEIFS('Data Combined - all-runs'!$J:$J, 'Data Combined - all-runs'!$A:$A, A278,'Data Combined - all-runs'!$B:$B, B278,'Data Combined - all-runs'!$C:$C, C278, 'Data Combined - all-runs'!$D:$D, D278, 'Data Combined - all-runs'!$E:$E, E278)</f>
        <v>0</v>
      </c>
      <c r="K278" s="5">
        <f>AVERAGEIFS('Data Combined - all-runs'!$K:$K, 'Data Combined - all-runs'!$A:$A, A278,'Data Combined - all-runs'!$B:$B, B278,'Data Combined - all-runs'!$C:$C, C278, 'Data Combined - all-runs'!$D:$D, D278, 'Data Combined - all-runs'!$E:$E, E278)</f>
        <v>0.09252336449</v>
      </c>
      <c r="L278" s="5">
        <f>AVERAGEIFS('Data Combined - all-runs'!$L:$L, 'Data Combined - all-runs'!$A:$A, A278,'Data Combined - all-runs'!$B:$B, B278,'Data Combined - all-runs'!$C:$C, C278, 'Data Combined - all-runs'!$D:$D, D278, 'Data Combined - all-runs'!$E:$E, E278)</f>
        <v>752.1875674</v>
      </c>
      <c r="M278" s="5">
        <f>AVERAGEIFS('Data Combined - all-runs'!$M:$M, 'Data Combined - all-runs'!$A:$A, A278,'Data Combined - all-runs'!$B:$B, B278,'Data Combined - all-runs'!$C:$C, C278, 'Data Combined - all-runs'!$D:$D, D278, 'Data Combined - all-runs'!$E:$E, E278)</f>
        <v>35</v>
      </c>
      <c r="N278" s="5">
        <f>AVERAGEIFS('Data Combined - all-runs'!$N:$N, 'Data Combined - all-runs'!$A:$A, A278,'Data Combined - all-runs'!$B:$B, B278,'Data Combined - all-runs'!$C:$C, C278, 'Data Combined - all-runs'!$D:$D, D278, 'Data Combined - all-runs'!$E:$E, E278)</f>
        <v>1</v>
      </c>
      <c r="O278" s="5">
        <f>AVERAGEIFS('Data Combined - all-runs'!$O:$O, 'Data Combined - all-runs'!$A:$A, A278,'Data Combined - all-runs'!$B:$B, B278,'Data Combined - all-runs'!$C:$C, C278, 'Data Combined - all-runs'!$D:$D, D278, 'Data Combined - all-runs'!$E:$E, E278)</f>
        <v>535</v>
      </c>
      <c r="P278" s="5">
        <f>AVERAGEIFS('Data Combined - all-runs'!$P:$P, 'Data Combined - all-runs'!$A:$A, A278,'Data Combined - all-runs'!$B:$B, B278,'Data Combined - all-runs'!$C:$C, C278, 'Data Combined - all-runs'!$D:$D, D278, 'Data Combined - all-runs'!$E:$E, E278)</f>
        <v>1.869158879</v>
      </c>
      <c r="Q278" s="5">
        <f>AVERAGEIFS('Data Combined - all-runs'!$Q:$Q, 'Data Combined - all-runs'!$A:$A, A278,'Data Combined - all-runs'!$B:$B, B278,'Data Combined - all-runs'!$C:$C, C278, 'Data Combined - all-runs'!$D:$D, D278, 'Data Combined - all-runs'!$E:$E, E278)</f>
        <v>340.1869159</v>
      </c>
      <c r="R278" s="5">
        <f>AVERAGEIFS('Data Combined - all-runs'!$R:$R, 'Data Combined - all-runs'!$A:$A, A278,'Data Combined - all-runs'!$B:$B, B278,'Data Combined - all-runs'!$C:$C, C278, 'Data Combined - all-runs'!$D:$D, D278, 'Data Combined - all-runs'!$E:$E, E278)</f>
        <v>182</v>
      </c>
      <c r="S278" s="5">
        <f>AVERAGEIFS('Data Combined - all-runs'!$S:$S, 'Data Combined - all-runs'!$A:$A, A278,'Data Combined - all-runs'!$B:$B, B278,'Data Combined - all-runs'!$C:$C, C278, 'Data Combined - all-runs'!$D:$D, D278, 'Data Combined - all-runs'!$E:$E, E278)</f>
        <v>0</v>
      </c>
      <c r="T278" s="5">
        <f>AVERAGEIFS('Data Combined - all-runs'!$T:$T, 'Data Combined - all-runs'!$A:$A, A278,'Data Combined - all-runs'!$B:$B, B278,'Data Combined - all-runs'!$C:$C, C278, 'Data Combined - all-runs'!$D:$D, D278, 'Data Combined - all-runs'!$E:$E, E278)</f>
        <v>0</v>
      </c>
      <c r="U278" s="5" t="b">
        <f t="shared" si="1"/>
        <v>1</v>
      </c>
      <c r="V278" s="5" t="b">
        <f t="shared" si="2"/>
        <v>1</v>
      </c>
      <c r="W278" s="5" t="b">
        <f t="shared" si="3"/>
        <v>0</v>
      </c>
    </row>
    <row r="279">
      <c r="A279" s="2" t="s">
        <v>460</v>
      </c>
      <c r="B279" s="2" t="s">
        <v>114</v>
      </c>
      <c r="C279" s="2" t="s">
        <v>35</v>
      </c>
      <c r="D279" s="2" t="s">
        <v>102</v>
      </c>
      <c r="E279" s="2" t="s">
        <v>39</v>
      </c>
      <c r="H279" s="5">
        <f>AVERAGEIFS('Data Combined - all-runs'!$H:$H, 'Data Combined - all-runs'!$A:$A, A279,'Data Combined - all-runs'!$B:$B, B279,'Data Combined - all-runs'!$C:$C, C279, 'Data Combined - all-runs'!$D:$D, D279, 'Data Combined - all-runs'!$E:$E, E279)</f>
        <v>624</v>
      </c>
      <c r="I279" s="5">
        <f>AVERAGEIFS('Data Combined - all-runs'!$I:$I, 'Data Combined - all-runs'!$A:$A, A279,'Data Combined - all-runs'!$B:$B, B279,'Data Combined - all-runs'!$C:$C, C279, 'Data Combined - all-runs'!$D:$D, D279, 'Data Combined - all-runs'!$E:$E, E279)</f>
        <v>0</v>
      </c>
      <c r="J279" s="5">
        <f>AVERAGEIFS('Data Combined - all-runs'!$J:$J, 'Data Combined - all-runs'!$A:$A, A279,'Data Combined - all-runs'!$B:$B, B279,'Data Combined - all-runs'!$C:$C, C279, 'Data Combined - all-runs'!$D:$D, D279, 'Data Combined - all-runs'!$E:$E, E279)</f>
        <v>0</v>
      </c>
      <c r="K279" s="5">
        <f>AVERAGEIFS('Data Combined - all-runs'!$K:$K, 'Data Combined - all-runs'!$A:$A, A279,'Data Combined - all-runs'!$B:$B, B279,'Data Combined - all-runs'!$C:$C, C279, 'Data Combined - all-runs'!$D:$D, D279, 'Data Combined - all-runs'!$E:$E, E279)</f>
        <v>0.08895303422</v>
      </c>
      <c r="L279" s="5">
        <f>AVERAGEIFS('Data Combined - all-runs'!$L:$L, 'Data Combined - all-runs'!$A:$A, A279,'Data Combined - all-runs'!$B:$B, B279,'Data Combined - all-runs'!$C:$C, C279, 'Data Combined - all-runs'!$D:$D, D279, 'Data Combined - all-runs'!$E:$E, E279)</f>
        <v>3075.390982</v>
      </c>
      <c r="M279" s="5">
        <f>AVERAGEIFS('Data Combined - all-runs'!$M:$M, 'Data Combined - all-runs'!$A:$A, A279,'Data Combined - all-runs'!$B:$B, B279,'Data Combined - all-runs'!$C:$C, C279, 'Data Combined - all-runs'!$D:$D, D279, 'Data Combined - all-runs'!$E:$E, E279)</f>
        <v>72</v>
      </c>
      <c r="N279" s="5">
        <f>AVERAGEIFS('Data Combined - all-runs'!$N:$N, 'Data Combined - all-runs'!$A:$A, A279,'Data Combined - all-runs'!$B:$B, B279,'Data Combined - all-runs'!$C:$C, C279, 'Data Combined - all-runs'!$D:$D, D279, 'Data Combined - all-runs'!$E:$E, E279)</f>
        <v>2.5</v>
      </c>
      <c r="O279" s="5">
        <f>AVERAGEIFS('Data Combined - all-runs'!$O:$O, 'Data Combined - all-runs'!$A:$A, A279,'Data Combined - all-runs'!$B:$B, B279,'Data Combined - all-runs'!$C:$C, C279, 'Data Combined - all-runs'!$D:$D, D279, 'Data Combined - all-runs'!$E:$E, E279)</f>
        <v>1024.5</v>
      </c>
      <c r="P279" s="5">
        <f>AVERAGEIFS('Data Combined - all-runs'!$P:$P, 'Data Combined - all-runs'!$A:$A, A279,'Data Combined - all-runs'!$B:$B, B279,'Data Combined - all-runs'!$C:$C, C279, 'Data Combined - all-runs'!$D:$D, D279, 'Data Combined - all-runs'!$E:$E, E279)</f>
        <v>1.61394448</v>
      </c>
      <c r="Q279" s="5">
        <f>AVERAGEIFS('Data Combined - all-runs'!$Q:$Q, 'Data Combined - all-runs'!$A:$A, A279,'Data Combined - all-runs'!$B:$B, B279,'Data Combined - all-runs'!$C:$C, C279, 'Data Combined - all-runs'!$D:$D, D279, 'Data Combined - all-runs'!$E:$E, E279)</f>
        <v>505.7766301</v>
      </c>
      <c r="R279" s="5">
        <f>AVERAGEIFS('Data Combined - all-runs'!$R:$R, 'Data Combined - all-runs'!$A:$A, A279,'Data Combined - all-runs'!$B:$B, B279,'Data Combined - all-runs'!$C:$C, C279, 'Data Combined - all-runs'!$D:$D, D279, 'Data Combined - all-runs'!$E:$E, E279)</f>
        <v>219.2</v>
      </c>
      <c r="S279" s="5">
        <f>AVERAGEIFS('Data Combined - all-runs'!$S:$S, 'Data Combined - all-runs'!$A:$A, A279,'Data Combined - all-runs'!$B:$B, B279,'Data Combined - all-runs'!$C:$C, C279, 'Data Combined - all-runs'!$D:$D, D279, 'Data Combined - all-runs'!$E:$E, E279)</f>
        <v>0</v>
      </c>
      <c r="T279" s="5">
        <f>AVERAGEIFS('Data Combined - all-runs'!$T:$T, 'Data Combined - all-runs'!$A:$A, A279,'Data Combined - all-runs'!$B:$B, B279,'Data Combined - all-runs'!$C:$C, C279, 'Data Combined - all-runs'!$D:$D, D279, 'Data Combined - all-runs'!$E:$E, E279)</f>
        <v>0</v>
      </c>
      <c r="U279" s="5" t="b">
        <f t="shared" si="1"/>
        <v>1</v>
      </c>
      <c r="V279" s="5" t="b">
        <f t="shared" si="2"/>
        <v>1</v>
      </c>
      <c r="W279" s="5" t="b">
        <f t="shared" si="3"/>
        <v>0</v>
      </c>
    </row>
    <row r="280">
      <c r="A280" s="2" t="s">
        <v>460</v>
      </c>
      <c r="B280" s="2" t="s">
        <v>114</v>
      </c>
      <c r="C280" s="2" t="s">
        <v>35</v>
      </c>
      <c r="D280" s="2" t="s">
        <v>102</v>
      </c>
      <c r="E280" s="2" t="s">
        <v>43</v>
      </c>
      <c r="H280" s="5">
        <f>AVERAGEIFS('Data Combined - all-runs'!$H:$H, 'Data Combined - all-runs'!$A:$A, A280,'Data Combined - all-runs'!$B:$B, B280,'Data Combined - all-runs'!$C:$C, C280, 'Data Combined - all-runs'!$D:$D, D280, 'Data Combined - all-runs'!$E:$E, E280)</f>
        <v>1110</v>
      </c>
      <c r="I280" s="5">
        <f>AVERAGEIFS('Data Combined - all-runs'!$I:$I, 'Data Combined - all-runs'!$A:$A, A280,'Data Combined - all-runs'!$B:$B, B280,'Data Combined - all-runs'!$C:$C, C280, 'Data Combined - all-runs'!$D:$D, D280, 'Data Combined - all-runs'!$E:$E, E280)</f>
        <v>0</v>
      </c>
      <c r="J280" s="5">
        <f>AVERAGEIFS('Data Combined - all-runs'!$J:$J, 'Data Combined - all-runs'!$A:$A, A280,'Data Combined - all-runs'!$B:$B, B280,'Data Combined - all-runs'!$C:$C, C280, 'Data Combined - all-runs'!$D:$D, D280, 'Data Combined - all-runs'!$E:$E, E280)</f>
        <v>0</v>
      </c>
      <c r="K280" s="5">
        <f>AVERAGEIFS('Data Combined - all-runs'!$K:$K, 'Data Combined - all-runs'!$A:$A, A280,'Data Combined - all-runs'!$B:$B, B280,'Data Combined - all-runs'!$C:$C, C280, 'Data Combined - all-runs'!$D:$D, D280, 'Data Combined - all-runs'!$E:$E, E280)</f>
        <v>0.0719079583</v>
      </c>
      <c r="L280" s="5">
        <f>AVERAGEIFS('Data Combined - all-runs'!$L:$L, 'Data Combined - all-runs'!$A:$A, A280,'Data Combined - all-runs'!$B:$B, B280,'Data Combined - all-runs'!$C:$C, C280, 'Data Combined - all-runs'!$D:$D, D280, 'Data Combined - all-runs'!$E:$E, E280)</f>
        <v>6164.37316</v>
      </c>
      <c r="M280" s="5">
        <f>AVERAGEIFS('Data Combined - all-runs'!$M:$M, 'Data Combined - all-runs'!$A:$A, A280,'Data Combined - all-runs'!$B:$B, B280,'Data Combined - all-runs'!$C:$C, C280, 'Data Combined - all-runs'!$D:$D, D280, 'Data Combined - all-runs'!$E:$E, E280)</f>
        <v>41</v>
      </c>
      <c r="N280" s="5">
        <f>AVERAGEIFS('Data Combined - all-runs'!$N:$N, 'Data Combined - all-runs'!$A:$A, A280,'Data Combined - all-runs'!$B:$B, B280,'Data Combined - all-runs'!$C:$C, C280, 'Data Combined - all-runs'!$D:$D, D280, 'Data Combined - all-runs'!$E:$E, E280)</f>
        <v>9.5</v>
      </c>
      <c r="O280" s="5">
        <f>AVERAGEIFS('Data Combined - all-runs'!$O:$O, 'Data Combined - all-runs'!$A:$A, A280,'Data Combined - all-runs'!$B:$B, B280,'Data Combined - all-runs'!$C:$C, C280, 'Data Combined - all-runs'!$D:$D, D280, 'Data Combined - all-runs'!$E:$E, E280)</f>
        <v>1155.5</v>
      </c>
      <c r="P280" s="5">
        <f>AVERAGEIFS('Data Combined - all-runs'!$P:$P, 'Data Combined - all-runs'!$A:$A, A280,'Data Combined - all-runs'!$B:$B, B280,'Data Combined - all-runs'!$C:$C, C280, 'Data Combined - all-runs'!$D:$D, D280, 'Data Combined - all-runs'!$E:$E, E280)</f>
        <v>8.313882532</v>
      </c>
      <c r="Q280" s="5">
        <f>AVERAGEIFS('Data Combined - all-runs'!$Q:$Q, 'Data Combined - all-runs'!$A:$A, A280,'Data Combined - all-runs'!$B:$B, B280,'Data Combined - all-runs'!$C:$C, C280, 'Data Combined - all-runs'!$D:$D, D280, 'Data Combined - all-runs'!$E:$E, E280)</f>
        <v>960.0747521</v>
      </c>
      <c r="R280" s="5">
        <f>AVERAGEIFS('Data Combined - all-runs'!$R:$R, 'Data Combined - all-runs'!$A:$A, A280,'Data Combined - all-runs'!$B:$B, B280,'Data Combined - all-runs'!$C:$C, C280, 'Data Combined - all-runs'!$D:$D, D280, 'Data Combined - all-runs'!$E:$E, E280)</f>
        <v>116.3111111</v>
      </c>
      <c r="S280" s="5">
        <f>AVERAGEIFS('Data Combined - all-runs'!$S:$S, 'Data Combined - all-runs'!$A:$A, A280,'Data Combined - all-runs'!$B:$B, B280,'Data Combined - all-runs'!$C:$C, C280, 'Data Combined - all-runs'!$D:$D, D280, 'Data Combined - all-runs'!$E:$E, E280)</f>
        <v>0</v>
      </c>
      <c r="T280" s="5">
        <f>AVERAGEIFS('Data Combined - all-runs'!$T:$T, 'Data Combined - all-runs'!$A:$A, A280,'Data Combined - all-runs'!$B:$B, B280,'Data Combined - all-runs'!$C:$C, C280, 'Data Combined - all-runs'!$D:$D, D280, 'Data Combined - all-runs'!$E:$E, E280)</f>
        <v>0</v>
      </c>
      <c r="U280" s="5" t="b">
        <f t="shared" si="1"/>
        <v>1</v>
      </c>
      <c r="V280" s="5" t="b">
        <f t="shared" si="2"/>
        <v>1</v>
      </c>
      <c r="W280" s="5" t="b">
        <f t="shared" si="3"/>
        <v>0</v>
      </c>
    </row>
    <row r="281">
      <c r="A281" s="2" t="s">
        <v>460</v>
      </c>
      <c r="B281" s="2" t="s">
        <v>114</v>
      </c>
      <c r="C281" s="2" t="s">
        <v>35</v>
      </c>
      <c r="D281" s="2" t="s">
        <v>102</v>
      </c>
      <c r="E281" s="2" t="s">
        <v>34</v>
      </c>
      <c r="H281" s="5">
        <f>AVERAGEIFS('Data Combined - all-runs'!$H:$H, 'Data Combined - all-runs'!$A:$A, A281,'Data Combined - all-runs'!$B:$B, B281,'Data Combined - all-runs'!$C:$C, C281, 'Data Combined - all-runs'!$D:$D, D281, 'Data Combined - all-runs'!$E:$E, E281)</f>
        <v>1718</v>
      </c>
      <c r="I281" s="5">
        <f>AVERAGEIFS('Data Combined - all-runs'!$I:$I, 'Data Combined - all-runs'!$A:$A, A281,'Data Combined - all-runs'!$B:$B, B281,'Data Combined - all-runs'!$C:$C, C281, 'Data Combined - all-runs'!$D:$D, D281, 'Data Combined - all-runs'!$E:$E, E281)</f>
        <v>0</v>
      </c>
      <c r="J281" s="5">
        <f>AVERAGEIFS('Data Combined - all-runs'!$J:$J, 'Data Combined - all-runs'!$A:$A, A281,'Data Combined - all-runs'!$B:$B, B281,'Data Combined - all-runs'!$C:$C, C281, 'Data Combined - all-runs'!$D:$D, D281, 'Data Combined - all-runs'!$E:$E, E281)</f>
        <v>0</v>
      </c>
      <c r="K281" s="5">
        <f>AVERAGEIFS('Data Combined - all-runs'!$K:$K, 'Data Combined - all-runs'!$A:$A, A281,'Data Combined - all-runs'!$B:$B, B281,'Data Combined - all-runs'!$C:$C, C281, 'Data Combined - all-runs'!$D:$D, D281, 'Data Combined - all-runs'!$E:$E, E281)</f>
        <v>0.1355539737</v>
      </c>
      <c r="L281" s="5">
        <f>AVERAGEIFS('Data Combined - all-runs'!$L:$L, 'Data Combined - all-runs'!$A:$A, A281,'Data Combined - all-runs'!$B:$B, B281,'Data Combined - all-runs'!$C:$C, C281, 'Data Combined - all-runs'!$D:$D, D281, 'Data Combined - all-runs'!$E:$E, E281)</f>
        <v>8891.537254</v>
      </c>
      <c r="M281" s="5">
        <f>AVERAGEIFS('Data Combined - all-runs'!$M:$M, 'Data Combined - all-runs'!$A:$A, A281,'Data Combined - all-runs'!$B:$B, B281,'Data Combined - all-runs'!$C:$C, C281, 'Data Combined - all-runs'!$D:$D, D281, 'Data Combined - all-runs'!$E:$E, E281)</f>
        <v>24</v>
      </c>
      <c r="N281" s="5">
        <f>AVERAGEIFS('Data Combined - all-runs'!$N:$N, 'Data Combined - all-runs'!$A:$A, A281,'Data Combined - all-runs'!$B:$B, B281,'Data Combined - all-runs'!$C:$C, C281, 'Data Combined - all-runs'!$D:$D, D281, 'Data Combined - all-runs'!$E:$E, E281)</f>
        <v>6.5</v>
      </c>
      <c r="O281" s="5">
        <f>AVERAGEIFS('Data Combined - all-runs'!$O:$O, 'Data Combined - all-runs'!$A:$A, A281,'Data Combined - all-runs'!$B:$B, B281,'Data Combined - all-runs'!$C:$C, C281, 'Data Combined - all-runs'!$D:$D, D281, 'Data Combined - all-runs'!$E:$E, E281)</f>
        <v>1586.5</v>
      </c>
      <c r="P281" s="5">
        <f>AVERAGEIFS('Data Combined - all-runs'!$P:$P, 'Data Combined - all-runs'!$A:$A, A281,'Data Combined - all-runs'!$B:$B, B281,'Data Combined - all-runs'!$C:$C, C281, 'Data Combined - all-runs'!$D:$D, D281, 'Data Combined - all-runs'!$E:$E, E281)</f>
        <v>4.119917404</v>
      </c>
      <c r="Q281" s="5">
        <f>AVERAGEIFS('Data Combined - all-runs'!$Q:$Q, 'Data Combined - all-runs'!$A:$A, A281,'Data Combined - all-runs'!$B:$B, B281,'Data Combined - all-runs'!$C:$C, C281, 'Data Combined - all-runs'!$D:$D, D281, 'Data Combined - all-runs'!$E:$E, E281)</f>
        <v>1083.006929</v>
      </c>
      <c r="R281" s="5">
        <f>AVERAGEIFS('Data Combined - all-runs'!$R:$R, 'Data Combined - all-runs'!$A:$A, A281,'Data Combined - all-runs'!$B:$B, B281,'Data Combined - all-runs'!$C:$C, C281, 'Data Combined - all-runs'!$D:$D, D281, 'Data Combined - all-runs'!$E:$E, E281)</f>
        <v>263.4047619</v>
      </c>
      <c r="S281" s="5">
        <f>AVERAGEIFS('Data Combined - all-runs'!$S:$S, 'Data Combined - all-runs'!$A:$A, A281,'Data Combined - all-runs'!$B:$B, B281,'Data Combined - all-runs'!$C:$C, C281, 'Data Combined - all-runs'!$D:$D, D281, 'Data Combined - all-runs'!$E:$E, E281)</f>
        <v>0</v>
      </c>
      <c r="T281" s="5">
        <f>AVERAGEIFS('Data Combined - all-runs'!$T:$T, 'Data Combined - all-runs'!$A:$A, A281,'Data Combined - all-runs'!$B:$B, B281,'Data Combined - all-runs'!$C:$C, C281, 'Data Combined - all-runs'!$D:$D, D281, 'Data Combined - all-runs'!$E:$E, E281)</f>
        <v>0</v>
      </c>
      <c r="U281" s="5" t="b">
        <f t="shared" si="1"/>
        <v>1</v>
      </c>
      <c r="V281" s="5" t="b">
        <f t="shared" si="2"/>
        <v>1</v>
      </c>
      <c r="W281" s="5" t="b">
        <f t="shared" si="3"/>
        <v>0</v>
      </c>
    </row>
    <row r="282">
      <c r="A282" s="2" t="s">
        <v>460</v>
      </c>
      <c r="B282" s="2" t="s">
        <v>114</v>
      </c>
      <c r="C282" s="2" t="s">
        <v>35</v>
      </c>
      <c r="D282" s="2" t="s">
        <v>102</v>
      </c>
      <c r="E282" s="2" t="s">
        <v>47</v>
      </c>
      <c r="H282" s="5">
        <f>AVERAGEIFS('Data Combined - all-runs'!$H:$H, 'Data Combined - all-runs'!$A:$A, A282,'Data Combined - all-runs'!$B:$B, B282,'Data Combined - all-runs'!$C:$C, C282, 'Data Combined - all-runs'!$D:$D, D282, 'Data Combined - all-runs'!$E:$E, E282)</f>
        <v>729.5</v>
      </c>
      <c r="I282" s="5">
        <f>AVERAGEIFS('Data Combined - all-runs'!$I:$I, 'Data Combined - all-runs'!$A:$A, A282,'Data Combined - all-runs'!$B:$B, B282,'Data Combined - all-runs'!$C:$C, C282, 'Data Combined - all-runs'!$D:$D, D282, 'Data Combined - all-runs'!$E:$E, E282)</f>
        <v>0</v>
      </c>
      <c r="J282" s="5">
        <f>AVERAGEIFS('Data Combined - all-runs'!$J:$J, 'Data Combined - all-runs'!$A:$A, A282,'Data Combined - all-runs'!$B:$B, B282,'Data Combined - all-runs'!$C:$C, C282, 'Data Combined - all-runs'!$D:$D, D282, 'Data Combined - all-runs'!$E:$E, E282)</f>
        <v>0</v>
      </c>
      <c r="K282" s="5">
        <f>AVERAGEIFS('Data Combined - all-runs'!$K:$K, 'Data Combined - all-runs'!$A:$A, A282,'Data Combined - all-runs'!$B:$B, B282,'Data Combined - all-runs'!$C:$C, C282, 'Data Combined - all-runs'!$D:$D, D282, 'Data Combined - all-runs'!$E:$E, E282)</f>
        <v>0.1115778689</v>
      </c>
      <c r="L282" s="5">
        <f>AVERAGEIFS('Data Combined - all-runs'!$L:$L, 'Data Combined - all-runs'!$A:$A, A282,'Data Combined - all-runs'!$B:$B, B282,'Data Combined - all-runs'!$C:$C, C282, 'Data Combined - all-runs'!$D:$D, D282, 'Data Combined - all-runs'!$E:$E, E282)</f>
        <v>4743.296324</v>
      </c>
      <c r="M282" s="5">
        <f>AVERAGEIFS('Data Combined - all-runs'!$M:$M, 'Data Combined - all-runs'!$A:$A, A282,'Data Combined - all-runs'!$B:$B, B282,'Data Combined - all-runs'!$C:$C, C282, 'Data Combined - all-runs'!$D:$D, D282, 'Data Combined - all-runs'!$E:$E, E282)</f>
        <v>46</v>
      </c>
      <c r="N282" s="5">
        <f>AVERAGEIFS('Data Combined - all-runs'!$N:$N, 'Data Combined - all-runs'!$A:$A, A282,'Data Combined - all-runs'!$B:$B, B282,'Data Combined - all-runs'!$C:$C, C282, 'Data Combined - all-runs'!$D:$D, D282, 'Data Combined - all-runs'!$E:$E, E282)</f>
        <v>4</v>
      </c>
      <c r="O282" s="5">
        <f>AVERAGEIFS('Data Combined - all-runs'!$O:$O, 'Data Combined - all-runs'!$A:$A, A282,'Data Combined - all-runs'!$B:$B, B282,'Data Combined - all-runs'!$C:$C, C282, 'Data Combined - all-runs'!$D:$D, D282, 'Data Combined - all-runs'!$E:$E, E282)</f>
        <v>610</v>
      </c>
      <c r="P282" s="5">
        <f>AVERAGEIFS('Data Combined - all-runs'!$P:$P, 'Data Combined - all-runs'!$A:$A, A282,'Data Combined - all-runs'!$B:$B, B282,'Data Combined - all-runs'!$C:$C, C282, 'Data Combined - all-runs'!$D:$D, D282, 'Data Combined - all-runs'!$E:$E, E282)</f>
        <v>6.557377049</v>
      </c>
      <c r="Q282" s="5">
        <f>AVERAGEIFS('Data Combined - all-runs'!$Q:$Q, 'Data Combined - all-runs'!$A:$A, A282,'Data Combined - all-runs'!$B:$B, B282,'Data Combined - all-runs'!$C:$C, C282, 'Data Combined - all-runs'!$D:$D, D282, 'Data Combined - all-runs'!$E:$E, E282)</f>
        <v>1195.901639</v>
      </c>
      <c r="R282" s="5">
        <f>AVERAGEIFS('Data Combined - all-runs'!$R:$R, 'Data Combined - all-runs'!$A:$A, A282,'Data Combined - all-runs'!$B:$B, B282,'Data Combined - all-runs'!$C:$C, C282, 'Data Combined - all-runs'!$D:$D, D282, 'Data Combined - all-runs'!$E:$E, E282)</f>
        <v>182.375</v>
      </c>
      <c r="S282" s="5">
        <f>AVERAGEIFS('Data Combined - all-runs'!$S:$S, 'Data Combined - all-runs'!$A:$A, A282,'Data Combined - all-runs'!$B:$B, B282,'Data Combined - all-runs'!$C:$C, C282, 'Data Combined - all-runs'!$D:$D, D282, 'Data Combined - all-runs'!$E:$E, E282)</f>
        <v>0</v>
      </c>
      <c r="T282" s="5">
        <f>AVERAGEIFS('Data Combined - all-runs'!$T:$T, 'Data Combined - all-runs'!$A:$A, A282,'Data Combined - all-runs'!$B:$B, B282,'Data Combined - all-runs'!$C:$C, C282, 'Data Combined - all-runs'!$D:$D, D282, 'Data Combined - all-runs'!$E:$E, E282)</f>
        <v>0</v>
      </c>
      <c r="U282" s="5" t="b">
        <f t="shared" si="1"/>
        <v>1</v>
      </c>
      <c r="V282" s="5" t="b">
        <f t="shared" si="2"/>
        <v>1</v>
      </c>
      <c r="W282" s="5" t="b">
        <f t="shared" si="3"/>
        <v>0</v>
      </c>
    </row>
    <row r="283">
      <c r="A283" s="2" t="s">
        <v>460</v>
      </c>
      <c r="B283" s="2" t="s">
        <v>114</v>
      </c>
      <c r="C283" s="2" t="s">
        <v>35</v>
      </c>
      <c r="D283" s="2" t="s">
        <v>102</v>
      </c>
      <c r="E283" s="2" t="s">
        <v>51</v>
      </c>
      <c r="H283" s="5">
        <f>AVERAGEIFS('Data Combined - all-runs'!$H:$H, 'Data Combined - all-runs'!$A:$A, A283,'Data Combined - all-runs'!$B:$B, B283,'Data Combined - all-runs'!$C:$C, C283, 'Data Combined - all-runs'!$D:$D, D283, 'Data Combined - all-runs'!$E:$E, E283)</f>
        <v>629</v>
      </c>
      <c r="I283" s="5">
        <f>AVERAGEIFS('Data Combined - all-runs'!$I:$I, 'Data Combined - all-runs'!$A:$A, A283,'Data Combined - all-runs'!$B:$B, B283,'Data Combined - all-runs'!$C:$C, C283, 'Data Combined - all-runs'!$D:$D, D283, 'Data Combined - all-runs'!$E:$E, E283)</f>
        <v>0</v>
      </c>
      <c r="J283" s="5">
        <f>AVERAGEIFS('Data Combined - all-runs'!$J:$J, 'Data Combined - all-runs'!$A:$A, A283,'Data Combined - all-runs'!$B:$B, B283,'Data Combined - all-runs'!$C:$C, C283, 'Data Combined - all-runs'!$D:$D, D283, 'Data Combined - all-runs'!$E:$E, E283)</f>
        <v>0</v>
      </c>
      <c r="K283" s="5">
        <f>AVERAGEIFS('Data Combined - all-runs'!$K:$K, 'Data Combined - all-runs'!$A:$A, A283,'Data Combined - all-runs'!$B:$B, B283,'Data Combined - all-runs'!$C:$C, C283, 'Data Combined - all-runs'!$D:$D, D283, 'Data Combined - all-runs'!$E:$E, E283)</f>
        <v>0.06741895423</v>
      </c>
      <c r="L283" s="5">
        <f>AVERAGEIFS('Data Combined - all-runs'!$L:$L, 'Data Combined - all-runs'!$A:$A, A283,'Data Combined - all-runs'!$B:$B, B283,'Data Combined - all-runs'!$C:$C, C283, 'Data Combined - all-runs'!$D:$D, D283, 'Data Combined - all-runs'!$E:$E, E283)</f>
        <v>4283.296432</v>
      </c>
      <c r="M283" s="5">
        <f>AVERAGEIFS('Data Combined - all-runs'!$M:$M, 'Data Combined - all-runs'!$A:$A, A283,'Data Combined - all-runs'!$B:$B, B283,'Data Combined - all-runs'!$C:$C, C283, 'Data Combined - all-runs'!$D:$D, D283, 'Data Combined - all-runs'!$E:$E, E283)</f>
        <v>40</v>
      </c>
      <c r="N283" s="5">
        <f>AVERAGEIFS('Data Combined - all-runs'!$N:$N, 'Data Combined - all-runs'!$A:$A, A283,'Data Combined - all-runs'!$B:$B, B283,'Data Combined - all-runs'!$C:$C, C283, 'Data Combined - all-runs'!$D:$D, D283, 'Data Combined - all-runs'!$E:$E, E283)</f>
        <v>5</v>
      </c>
      <c r="O283" s="5">
        <f>AVERAGEIFS('Data Combined - all-runs'!$O:$O, 'Data Combined - all-runs'!$A:$A, A283,'Data Combined - all-runs'!$B:$B, B283,'Data Combined - all-runs'!$C:$C, C283, 'Data Combined - all-runs'!$D:$D, D283, 'Data Combined - all-runs'!$E:$E, E283)</f>
        <v>969</v>
      </c>
      <c r="P283" s="5">
        <f>AVERAGEIFS('Data Combined - all-runs'!$P:$P, 'Data Combined - all-runs'!$A:$A, A283,'Data Combined - all-runs'!$B:$B, B283,'Data Combined - all-runs'!$C:$C, C283, 'Data Combined - all-runs'!$D:$D, D283, 'Data Combined - all-runs'!$E:$E, E283)</f>
        <v>5.184746038</v>
      </c>
      <c r="Q283" s="5">
        <f>AVERAGEIFS('Data Combined - all-runs'!$Q:$Q, 'Data Combined - all-runs'!$A:$A, A283,'Data Combined - all-runs'!$B:$B, B283,'Data Combined - all-runs'!$C:$C, C283, 'Data Combined - all-runs'!$D:$D, D283, 'Data Combined - all-runs'!$E:$E, E283)</f>
        <v>651.0221815</v>
      </c>
      <c r="R283" s="5">
        <f>AVERAGEIFS('Data Combined - all-runs'!$R:$R, 'Data Combined - all-runs'!$A:$A, A283,'Data Combined - all-runs'!$B:$B, B283,'Data Combined - all-runs'!$C:$C, C283, 'Data Combined - all-runs'!$D:$D, D283, 'Data Combined - all-runs'!$E:$E, E283)</f>
        <v>125.8</v>
      </c>
      <c r="S283" s="5">
        <f>AVERAGEIFS('Data Combined - all-runs'!$S:$S, 'Data Combined - all-runs'!$A:$A, A283,'Data Combined - all-runs'!$B:$B, B283,'Data Combined - all-runs'!$C:$C, C283, 'Data Combined - all-runs'!$D:$D, D283, 'Data Combined - all-runs'!$E:$E, E283)</f>
        <v>0</v>
      </c>
      <c r="T283" s="5">
        <f>AVERAGEIFS('Data Combined - all-runs'!$T:$T, 'Data Combined - all-runs'!$A:$A, A283,'Data Combined - all-runs'!$B:$B, B283,'Data Combined - all-runs'!$C:$C, C283, 'Data Combined - all-runs'!$D:$D, D283, 'Data Combined - all-runs'!$E:$E, E283)</f>
        <v>0</v>
      </c>
      <c r="U283" s="5" t="b">
        <f t="shared" si="1"/>
        <v>1</v>
      </c>
      <c r="V283" s="5" t="b">
        <f t="shared" si="2"/>
        <v>1</v>
      </c>
      <c r="W283" s="5" t="b">
        <f t="shared" si="3"/>
        <v>0</v>
      </c>
    </row>
    <row r="284">
      <c r="A284" s="2" t="s">
        <v>460</v>
      </c>
      <c r="B284" s="2" t="s">
        <v>114</v>
      </c>
      <c r="C284" s="2" t="s">
        <v>35</v>
      </c>
      <c r="D284" s="2" t="s">
        <v>118</v>
      </c>
      <c r="E284" s="2" t="s">
        <v>25</v>
      </c>
      <c r="H284" s="5">
        <f>AVERAGEIFS('Data Combined - all-runs'!$H:$H, 'Data Combined - all-runs'!$A:$A, A284,'Data Combined - all-runs'!$B:$B, B284,'Data Combined - all-runs'!$C:$C, C284, 'Data Combined - all-runs'!$D:$D, D284, 'Data Combined - all-runs'!$E:$E, E284)</f>
        <v>182</v>
      </c>
      <c r="I284" s="5">
        <f>AVERAGEIFS('Data Combined - all-runs'!$I:$I, 'Data Combined - all-runs'!$A:$A, A284,'Data Combined - all-runs'!$B:$B, B284,'Data Combined - all-runs'!$C:$C, C284, 'Data Combined - all-runs'!$D:$D, D284, 'Data Combined - all-runs'!$E:$E, E284)</f>
        <v>0</v>
      </c>
      <c r="J284" s="5">
        <f>AVERAGEIFS('Data Combined - all-runs'!$J:$J, 'Data Combined - all-runs'!$A:$A, A284,'Data Combined - all-runs'!$B:$B, B284,'Data Combined - all-runs'!$C:$C, C284, 'Data Combined - all-runs'!$D:$D, D284, 'Data Combined - all-runs'!$E:$E, E284)</f>
        <v>0</v>
      </c>
      <c r="K284" s="5">
        <f>AVERAGEIFS('Data Combined - all-runs'!$K:$K, 'Data Combined - all-runs'!$A:$A, A284,'Data Combined - all-runs'!$B:$B, B284,'Data Combined - all-runs'!$C:$C, C284, 'Data Combined - all-runs'!$D:$D, D284, 'Data Combined - all-runs'!$E:$E, E284)</f>
        <v>0.09252336449</v>
      </c>
      <c r="L284" s="5">
        <f>AVERAGEIFS('Data Combined - all-runs'!$L:$L, 'Data Combined - all-runs'!$A:$A, A284,'Data Combined - all-runs'!$B:$B, B284,'Data Combined - all-runs'!$C:$C, C284, 'Data Combined - all-runs'!$D:$D, D284, 'Data Combined - all-runs'!$E:$E, E284)</f>
        <v>679.4562907</v>
      </c>
      <c r="M284" s="5">
        <f>AVERAGEIFS('Data Combined - all-runs'!$M:$M, 'Data Combined - all-runs'!$A:$A, A284,'Data Combined - all-runs'!$B:$B, B284,'Data Combined - all-runs'!$C:$C, C284, 'Data Combined - all-runs'!$D:$D, D284, 'Data Combined - all-runs'!$E:$E, E284)</f>
        <v>35</v>
      </c>
      <c r="N284" s="5">
        <f>AVERAGEIFS('Data Combined - all-runs'!$N:$N, 'Data Combined - all-runs'!$A:$A, A284,'Data Combined - all-runs'!$B:$B, B284,'Data Combined - all-runs'!$C:$C, C284, 'Data Combined - all-runs'!$D:$D, D284, 'Data Combined - all-runs'!$E:$E, E284)</f>
        <v>1</v>
      </c>
      <c r="O284" s="5">
        <f>AVERAGEIFS('Data Combined - all-runs'!$O:$O, 'Data Combined - all-runs'!$A:$A, A284,'Data Combined - all-runs'!$B:$B, B284,'Data Combined - all-runs'!$C:$C, C284, 'Data Combined - all-runs'!$D:$D, D284, 'Data Combined - all-runs'!$E:$E, E284)</f>
        <v>535</v>
      </c>
      <c r="P284" s="5">
        <f>AVERAGEIFS('Data Combined - all-runs'!$P:$P, 'Data Combined - all-runs'!$A:$A, A284,'Data Combined - all-runs'!$B:$B, B284,'Data Combined - all-runs'!$C:$C, C284, 'Data Combined - all-runs'!$D:$D, D284, 'Data Combined - all-runs'!$E:$E, E284)</f>
        <v>1.869158879</v>
      </c>
      <c r="Q284" s="5">
        <f>AVERAGEIFS('Data Combined - all-runs'!$Q:$Q, 'Data Combined - all-runs'!$A:$A, A284,'Data Combined - all-runs'!$B:$B, B284,'Data Combined - all-runs'!$C:$C, C284, 'Data Combined - all-runs'!$D:$D, D284, 'Data Combined - all-runs'!$E:$E, E284)</f>
        <v>340.1869159</v>
      </c>
      <c r="R284" s="5">
        <f>AVERAGEIFS('Data Combined - all-runs'!$R:$R, 'Data Combined - all-runs'!$A:$A, A284,'Data Combined - all-runs'!$B:$B, B284,'Data Combined - all-runs'!$C:$C, C284, 'Data Combined - all-runs'!$D:$D, D284, 'Data Combined - all-runs'!$E:$E, E284)</f>
        <v>182</v>
      </c>
      <c r="S284" s="5">
        <f>AVERAGEIFS('Data Combined - all-runs'!$S:$S, 'Data Combined - all-runs'!$A:$A, A284,'Data Combined - all-runs'!$B:$B, B284,'Data Combined - all-runs'!$C:$C, C284, 'Data Combined - all-runs'!$D:$D, D284, 'Data Combined - all-runs'!$E:$E, E284)</f>
        <v>0</v>
      </c>
      <c r="T284" s="5">
        <f>AVERAGEIFS('Data Combined - all-runs'!$T:$T, 'Data Combined - all-runs'!$A:$A, A284,'Data Combined - all-runs'!$B:$B, B284,'Data Combined - all-runs'!$C:$C, C284, 'Data Combined - all-runs'!$D:$D, D284, 'Data Combined - all-runs'!$E:$E, E284)</f>
        <v>0</v>
      </c>
      <c r="U284" s="5" t="b">
        <f t="shared" si="1"/>
        <v>1</v>
      </c>
      <c r="V284" s="5" t="b">
        <f t="shared" si="2"/>
        <v>1</v>
      </c>
      <c r="W284" s="5" t="b">
        <f t="shared" si="3"/>
        <v>0</v>
      </c>
    </row>
    <row r="285">
      <c r="A285" s="2" t="s">
        <v>460</v>
      </c>
      <c r="B285" s="2" t="s">
        <v>114</v>
      </c>
      <c r="C285" s="2" t="s">
        <v>35</v>
      </c>
      <c r="D285" s="2" t="s">
        <v>118</v>
      </c>
      <c r="E285" s="2" t="s">
        <v>39</v>
      </c>
      <c r="H285" s="5">
        <f>AVERAGEIFS('Data Combined - all-runs'!$H:$H, 'Data Combined - all-runs'!$A:$A, A285,'Data Combined - all-runs'!$B:$B, B285,'Data Combined - all-runs'!$C:$C, C285, 'Data Combined - all-runs'!$D:$D, D285, 'Data Combined - all-runs'!$E:$E, E285)</f>
        <v>466</v>
      </c>
      <c r="I285" s="5">
        <f>AVERAGEIFS('Data Combined - all-runs'!$I:$I, 'Data Combined - all-runs'!$A:$A, A285,'Data Combined - all-runs'!$B:$B, B285,'Data Combined - all-runs'!$C:$C, C285, 'Data Combined - all-runs'!$D:$D, D285, 'Data Combined - all-runs'!$E:$E, E285)</f>
        <v>0</v>
      </c>
      <c r="J285" s="5">
        <f>AVERAGEIFS('Data Combined - all-runs'!$J:$J, 'Data Combined - all-runs'!$A:$A, A285,'Data Combined - all-runs'!$B:$B, B285,'Data Combined - all-runs'!$C:$C, C285, 'Data Combined - all-runs'!$D:$D, D285, 'Data Combined - all-runs'!$E:$E, E285)</f>
        <v>0</v>
      </c>
      <c r="K285" s="5">
        <f>AVERAGEIFS('Data Combined - all-runs'!$K:$K, 'Data Combined - all-runs'!$A:$A, A285,'Data Combined - all-runs'!$B:$B, B285,'Data Combined - all-runs'!$C:$C, C285, 'Data Combined - all-runs'!$D:$D, D285, 'Data Combined - all-runs'!$E:$E, E285)</f>
        <v>0.1089595376</v>
      </c>
      <c r="L285" s="5">
        <f>AVERAGEIFS('Data Combined - all-runs'!$L:$L, 'Data Combined - all-runs'!$A:$A, A285,'Data Combined - all-runs'!$B:$B, B285,'Data Combined - all-runs'!$C:$C, C285, 'Data Combined - all-runs'!$D:$D, D285, 'Data Combined - all-runs'!$E:$E, E285)</f>
        <v>2206.177079</v>
      </c>
      <c r="M285" s="5">
        <f>AVERAGEIFS('Data Combined - all-runs'!$M:$M, 'Data Combined - all-runs'!$A:$A, A285,'Data Combined - all-runs'!$B:$B, B285,'Data Combined - all-runs'!$C:$C, C285, 'Data Combined - all-runs'!$D:$D, D285, 'Data Combined - all-runs'!$E:$E, E285)</f>
        <v>72</v>
      </c>
      <c r="N285" s="5">
        <f>AVERAGEIFS('Data Combined - all-runs'!$N:$N, 'Data Combined - all-runs'!$A:$A, A285,'Data Combined - all-runs'!$B:$B, B285,'Data Combined - all-runs'!$C:$C, C285, 'Data Combined - all-runs'!$D:$D, D285, 'Data Combined - all-runs'!$E:$E, E285)</f>
        <v>2</v>
      </c>
      <c r="O285" s="5">
        <f>AVERAGEIFS('Data Combined - all-runs'!$O:$O, 'Data Combined - all-runs'!$A:$A, A285,'Data Combined - all-runs'!$B:$B, B285,'Data Combined - all-runs'!$C:$C, C285, 'Data Combined - all-runs'!$D:$D, D285, 'Data Combined - all-runs'!$E:$E, E285)</f>
        <v>865</v>
      </c>
      <c r="P285" s="5">
        <f>AVERAGEIFS('Data Combined - all-runs'!$P:$P, 'Data Combined - all-runs'!$A:$A, A285,'Data Combined - all-runs'!$B:$B, B285,'Data Combined - all-runs'!$C:$C, C285, 'Data Combined - all-runs'!$D:$D, D285, 'Data Combined - all-runs'!$E:$E, E285)</f>
        <v>2.312138728</v>
      </c>
      <c r="Q285" s="5">
        <f>AVERAGEIFS('Data Combined - all-runs'!$Q:$Q, 'Data Combined - all-runs'!$A:$A, A285,'Data Combined - all-runs'!$B:$B, B285,'Data Combined - all-runs'!$C:$C, C285, 'Data Combined - all-runs'!$D:$D, D285, 'Data Combined - all-runs'!$E:$E, E285)</f>
        <v>538.7283237</v>
      </c>
      <c r="R285" s="5">
        <f>AVERAGEIFS('Data Combined - all-runs'!$R:$R, 'Data Combined - all-runs'!$A:$A, A285,'Data Combined - all-runs'!$B:$B, B285,'Data Combined - all-runs'!$C:$C, C285, 'Data Combined - all-runs'!$D:$D, D285, 'Data Combined - all-runs'!$E:$E, E285)</f>
        <v>233</v>
      </c>
      <c r="S285" s="5">
        <f>AVERAGEIFS('Data Combined - all-runs'!$S:$S, 'Data Combined - all-runs'!$A:$A, A285,'Data Combined - all-runs'!$B:$B, B285,'Data Combined - all-runs'!$C:$C, C285, 'Data Combined - all-runs'!$D:$D, D285, 'Data Combined - all-runs'!$E:$E, E285)</f>
        <v>0</v>
      </c>
      <c r="T285" s="5">
        <f>AVERAGEIFS('Data Combined - all-runs'!$T:$T, 'Data Combined - all-runs'!$A:$A, A285,'Data Combined - all-runs'!$B:$B, B285,'Data Combined - all-runs'!$C:$C, C285, 'Data Combined - all-runs'!$D:$D, D285, 'Data Combined - all-runs'!$E:$E, E285)</f>
        <v>0</v>
      </c>
      <c r="U285" s="5" t="b">
        <f t="shared" si="1"/>
        <v>1</v>
      </c>
      <c r="V285" s="5" t="b">
        <f t="shared" si="2"/>
        <v>1</v>
      </c>
      <c r="W285" s="5" t="b">
        <f t="shared" si="3"/>
        <v>0</v>
      </c>
    </row>
    <row r="286">
      <c r="A286" s="2" t="s">
        <v>460</v>
      </c>
      <c r="B286" s="2" t="s">
        <v>114</v>
      </c>
      <c r="C286" s="2" t="s">
        <v>35</v>
      </c>
      <c r="D286" s="2" t="s">
        <v>118</v>
      </c>
      <c r="E286" s="2" t="s">
        <v>43</v>
      </c>
      <c r="H286" s="5">
        <f>AVERAGEIFS('Data Combined - all-runs'!$H:$H, 'Data Combined - all-runs'!$A:$A, A286,'Data Combined - all-runs'!$B:$B, B286,'Data Combined - all-runs'!$C:$C, C286, 'Data Combined - all-runs'!$D:$D, D286, 'Data Combined - all-runs'!$E:$E, E286)</f>
        <v>1165</v>
      </c>
      <c r="I286" s="5">
        <f>AVERAGEIFS('Data Combined - all-runs'!$I:$I, 'Data Combined - all-runs'!$A:$A, A286,'Data Combined - all-runs'!$B:$B, B286,'Data Combined - all-runs'!$C:$C, C286, 'Data Combined - all-runs'!$D:$D, D286, 'Data Combined - all-runs'!$E:$E, E286)</f>
        <v>0</v>
      </c>
      <c r="J286" s="5">
        <f>AVERAGEIFS('Data Combined - all-runs'!$J:$J, 'Data Combined - all-runs'!$A:$A, A286,'Data Combined - all-runs'!$B:$B, B286,'Data Combined - all-runs'!$C:$C, C286, 'Data Combined - all-runs'!$D:$D, D286, 'Data Combined - all-runs'!$E:$E, E286)</f>
        <v>0</v>
      </c>
      <c r="K286" s="5">
        <f>AVERAGEIFS('Data Combined - all-runs'!$K:$K, 'Data Combined - all-runs'!$A:$A, A286,'Data Combined - all-runs'!$B:$B, B286,'Data Combined - all-runs'!$C:$C, C286, 'Data Combined - all-runs'!$D:$D, D286, 'Data Combined - all-runs'!$E:$E, E286)</f>
        <v>0.03910068426</v>
      </c>
      <c r="L286" s="5">
        <f>AVERAGEIFS('Data Combined - all-runs'!$L:$L, 'Data Combined - all-runs'!$A:$A, A286,'Data Combined - all-runs'!$B:$B, B286,'Data Combined - all-runs'!$C:$C, C286, 'Data Combined - all-runs'!$D:$D, D286, 'Data Combined - all-runs'!$E:$E, E286)</f>
        <v>6829.108938</v>
      </c>
      <c r="M286" s="5">
        <f>AVERAGEIFS('Data Combined - all-runs'!$M:$M, 'Data Combined - all-runs'!$A:$A, A286,'Data Combined - all-runs'!$B:$B, B286,'Data Combined - all-runs'!$C:$C, C286, 'Data Combined - all-runs'!$D:$D, D286, 'Data Combined - all-runs'!$E:$E, E286)</f>
        <v>24</v>
      </c>
      <c r="N286" s="5">
        <f>AVERAGEIFS('Data Combined - all-runs'!$N:$N, 'Data Combined - all-runs'!$A:$A, A286,'Data Combined - all-runs'!$B:$B, B286,'Data Combined - all-runs'!$C:$C, C286, 'Data Combined - all-runs'!$D:$D, D286, 'Data Combined - all-runs'!$E:$E, E286)</f>
        <v>6</v>
      </c>
      <c r="O286" s="5">
        <f>AVERAGEIFS('Data Combined - all-runs'!$O:$O, 'Data Combined - all-runs'!$A:$A, A286,'Data Combined - all-runs'!$B:$B, B286,'Data Combined - all-runs'!$C:$C, C286, 'Data Combined - all-runs'!$D:$D, D286, 'Data Combined - all-runs'!$E:$E, E286)</f>
        <v>682</v>
      </c>
      <c r="P286" s="5">
        <f>AVERAGEIFS('Data Combined - all-runs'!$P:$P, 'Data Combined - all-runs'!$A:$A, A286,'Data Combined - all-runs'!$B:$B, B286,'Data Combined - all-runs'!$C:$C, C286, 'Data Combined - all-runs'!$D:$D, D286, 'Data Combined - all-runs'!$E:$E, E286)</f>
        <v>8.797653959</v>
      </c>
      <c r="Q286" s="5">
        <f>AVERAGEIFS('Data Combined - all-runs'!$Q:$Q, 'Data Combined - all-runs'!$A:$A, A286,'Data Combined - all-runs'!$B:$B, B286,'Data Combined - all-runs'!$C:$C, C286, 'Data Combined - all-runs'!$D:$D, D286, 'Data Combined - all-runs'!$E:$E, E286)</f>
        <v>1708.211144</v>
      </c>
      <c r="R286" s="5">
        <f>AVERAGEIFS('Data Combined - all-runs'!$R:$R, 'Data Combined - all-runs'!$A:$A, A286,'Data Combined - all-runs'!$B:$B, B286,'Data Combined - all-runs'!$C:$C, C286, 'Data Combined - all-runs'!$D:$D, D286, 'Data Combined - all-runs'!$E:$E, E286)</f>
        <v>194.1666667</v>
      </c>
      <c r="S286" s="5">
        <f>AVERAGEIFS('Data Combined - all-runs'!$S:$S, 'Data Combined - all-runs'!$A:$A, A286,'Data Combined - all-runs'!$B:$B, B286,'Data Combined - all-runs'!$C:$C, C286, 'Data Combined - all-runs'!$D:$D, D286, 'Data Combined - all-runs'!$E:$E, E286)</f>
        <v>0</v>
      </c>
      <c r="T286" s="5">
        <f>AVERAGEIFS('Data Combined - all-runs'!$T:$T, 'Data Combined - all-runs'!$A:$A, A286,'Data Combined - all-runs'!$B:$B, B286,'Data Combined - all-runs'!$C:$C, C286, 'Data Combined - all-runs'!$D:$D, D286, 'Data Combined - all-runs'!$E:$E, E286)</f>
        <v>0</v>
      </c>
      <c r="U286" s="5" t="b">
        <f t="shared" si="1"/>
        <v>1</v>
      </c>
      <c r="V286" s="5" t="b">
        <f t="shared" si="2"/>
        <v>1</v>
      </c>
      <c r="W286" s="5" t="b">
        <f t="shared" si="3"/>
        <v>0</v>
      </c>
    </row>
    <row r="287">
      <c r="A287" s="2" t="s">
        <v>460</v>
      </c>
      <c r="B287" s="2" t="s">
        <v>114</v>
      </c>
      <c r="C287" s="2" t="s">
        <v>35</v>
      </c>
      <c r="D287" s="2" t="s">
        <v>118</v>
      </c>
      <c r="E287" s="2" t="s">
        <v>34</v>
      </c>
      <c r="H287" s="5">
        <f>AVERAGEIFS('Data Combined - all-runs'!$H:$H, 'Data Combined - all-runs'!$A:$A, A287,'Data Combined - all-runs'!$B:$B, B287,'Data Combined - all-runs'!$C:$C, C287, 'Data Combined - all-runs'!$D:$D, D287, 'Data Combined - all-runs'!$E:$E, E287)</f>
        <v>3672</v>
      </c>
      <c r="I287" s="5">
        <f>AVERAGEIFS('Data Combined - all-runs'!$I:$I, 'Data Combined - all-runs'!$A:$A, A287,'Data Combined - all-runs'!$B:$B, B287,'Data Combined - all-runs'!$C:$C, C287, 'Data Combined - all-runs'!$D:$D, D287, 'Data Combined - all-runs'!$E:$E, E287)</f>
        <v>0</v>
      </c>
      <c r="J287" s="5">
        <f>AVERAGEIFS('Data Combined - all-runs'!$J:$J, 'Data Combined - all-runs'!$A:$A, A287,'Data Combined - all-runs'!$B:$B, B287,'Data Combined - all-runs'!$C:$C, C287, 'Data Combined - all-runs'!$D:$D, D287, 'Data Combined - all-runs'!$E:$E, E287)</f>
        <v>0</v>
      </c>
      <c r="K287" s="5">
        <f>AVERAGEIFS('Data Combined - all-runs'!$K:$K, 'Data Combined - all-runs'!$A:$A, A287,'Data Combined - all-runs'!$B:$B, B287,'Data Combined - all-runs'!$C:$C, C287, 'Data Combined - all-runs'!$D:$D, D287, 'Data Combined - all-runs'!$E:$E, E287)</f>
        <v>0.3124378109</v>
      </c>
      <c r="L287" s="5">
        <f>AVERAGEIFS('Data Combined - all-runs'!$L:$L, 'Data Combined - all-runs'!$A:$A, A287,'Data Combined - all-runs'!$B:$B, B287,'Data Combined - all-runs'!$C:$C, C287, 'Data Combined - all-runs'!$D:$D, D287, 'Data Combined - all-runs'!$E:$E, E287)</f>
        <v>16911.0092</v>
      </c>
      <c r="M287" s="5">
        <f>AVERAGEIFS('Data Combined - all-runs'!$M:$M, 'Data Combined - all-runs'!$A:$A, A287,'Data Combined - all-runs'!$B:$B, B287,'Data Combined - all-runs'!$C:$C, C287, 'Data Combined - all-runs'!$D:$D, D287, 'Data Combined - all-runs'!$E:$E, E287)</f>
        <v>24</v>
      </c>
      <c r="N287" s="5">
        <f>AVERAGEIFS('Data Combined - all-runs'!$N:$N, 'Data Combined - all-runs'!$A:$A, A287,'Data Combined - all-runs'!$B:$B, B287,'Data Combined - all-runs'!$C:$C, C287, 'Data Combined - all-runs'!$D:$D, D287, 'Data Combined - all-runs'!$E:$E, E287)</f>
        <v>10</v>
      </c>
      <c r="O287" s="5">
        <f>AVERAGEIFS('Data Combined - all-runs'!$O:$O, 'Data Combined - all-runs'!$A:$A, A287,'Data Combined - all-runs'!$B:$B, B287,'Data Combined - all-runs'!$C:$C, C287, 'Data Combined - all-runs'!$D:$D, D287, 'Data Combined - all-runs'!$E:$E, E287)</f>
        <v>1340</v>
      </c>
      <c r="P287" s="5">
        <f>AVERAGEIFS('Data Combined - all-runs'!$P:$P, 'Data Combined - all-runs'!$A:$A, A287,'Data Combined - all-runs'!$B:$B, B287,'Data Combined - all-runs'!$C:$C, C287, 'Data Combined - all-runs'!$D:$D, D287, 'Data Combined - all-runs'!$E:$E, E287)</f>
        <v>7.462686567</v>
      </c>
      <c r="Q287" s="5">
        <f>AVERAGEIFS('Data Combined - all-runs'!$Q:$Q, 'Data Combined - all-runs'!$A:$A, A287,'Data Combined - all-runs'!$B:$B, B287,'Data Combined - all-runs'!$C:$C, C287, 'Data Combined - all-runs'!$D:$D, D287, 'Data Combined - all-runs'!$E:$E, E287)</f>
        <v>2740.298507</v>
      </c>
      <c r="R287" s="5">
        <f>AVERAGEIFS('Data Combined - all-runs'!$R:$R, 'Data Combined - all-runs'!$A:$A, A287,'Data Combined - all-runs'!$B:$B, B287,'Data Combined - all-runs'!$C:$C, C287, 'Data Combined - all-runs'!$D:$D, D287, 'Data Combined - all-runs'!$E:$E, E287)</f>
        <v>367.2</v>
      </c>
      <c r="S287" s="5">
        <f>AVERAGEIFS('Data Combined - all-runs'!$S:$S, 'Data Combined - all-runs'!$A:$A, A287,'Data Combined - all-runs'!$B:$B, B287,'Data Combined - all-runs'!$C:$C, C287, 'Data Combined - all-runs'!$D:$D, D287, 'Data Combined - all-runs'!$E:$E, E287)</f>
        <v>0</v>
      </c>
      <c r="T287" s="5">
        <f>AVERAGEIFS('Data Combined - all-runs'!$T:$T, 'Data Combined - all-runs'!$A:$A, A287,'Data Combined - all-runs'!$B:$B, B287,'Data Combined - all-runs'!$C:$C, C287, 'Data Combined - all-runs'!$D:$D, D287, 'Data Combined - all-runs'!$E:$E, E287)</f>
        <v>0</v>
      </c>
      <c r="U287" s="5" t="b">
        <f t="shared" si="1"/>
        <v>1</v>
      </c>
      <c r="V287" s="5" t="b">
        <f t="shared" si="2"/>
        <v>1</v>
      </c>
      <c r="W287" s="5" t="b">
        <f t="shared" si="3"/>
        <v>0</v>
      </c>
    </row>
    <row r="288">
      <c r="A288" s="2" t="s">
        <v>460</v>
      </c>
      <c r="B288" s="2" t="s">
        <v>114</v>
      </c>
      <c r="C288" s="2" t="s">
        <v>35</v>
      </c>
      <c r="D288" s="2" t="s">
        <v>118</v>
      </c>
      <c r="E288" s="2" t="s">
        <v>47</v>
      </c>
      <c r="H288" s="5">
        <f>AVERAGEIFS('Data Combined - all-runs'!$H:$H, 'Data Combined - all-runs'!$A:$A, A288,'Data Combined - all-runs'!$B:$B, B288,'Data Combined - all-runs'!$C:$C, C288, 'Data Combined - all-runs'!$D:$D, D288, 'Data Combined - all-runs'!$E:$E, E288)</f>
        <v>945</v>
      </c>
      <c r="I288" s="5">
        <f>AVERAGEIFS('Data Combined - all-runs'!$I:$I, 'Data Combined - all-runs'!$A:$A, A288,'Data Combined - all-runs'!$B:$B, B288,'Data Combined - all-runs'!$C:$C, C288, 'Data Combined - all-runs'!$D:$D, D288, 'Data Combined - all-runs'!$E:$E, E288)</f>
        <v>0</v>
      </c>
      <c r="J288" s="5">
        <f>AVERAGEIFS('Data Combined - all-runs'!$J:$J, 'Data Combined - all-runs'!$A:$A, A288,'Data Combined - all-runs'!$B:$B, B288,'Data Combined - all-runs'!$C:$C, C288, 'Data Combined - all-runs'!$D:$D, D288, 'Data Combined - all-runs'!$E:$E, E288)</f>
        <v>0</v>
      </c>
      <c r="K288" s="5">
        <f>AVERAGEIFS('Data Combined - all-runs'!$K:$K, 'Data Combined - all-runs'!$A:$A, A288,'Data Combined - all-runs'!$B:$B, B288,'Data Combined - all-runs'!$C:$C, C288, 'Data Combined - all-runs'!$D:$D, D288, 'Data Combined - all-runs'!$E:$E, E288)</f>
        <v>0.1241694352</v>
      </c>
      <c r="L288" s="5">
        <f>AVERAGEIFS('Data Combined - all-runs'!$L:$L, 'Data Combined - all-runs'!$A:$A, A288,'Data Combined - all-runs'!$B:$B, B288,'Data Combined - all-runs'!$C:$C, C288, 'Data Combined - all-runs'!$D:$D, D288, 'Data Combined - all-runs'!$E:$E, E288)</f>
        <v>5947.310853</v>
      </c>
      <c r="M288" s="5">
        <f>AVERAGEIFS('Data Combined - all-runs'!$M:$M, 'Data Combined - all-runs'!$A:$A, A288,'Data Combined - all-runs'!$B:$B, B288,'Data Combined - all-runs'!$C:$C, C288, 'Data Combined - all-runs'!$D:$D, D288, 'Data Combined - all-runs'!$E:$E, E288)</f>
        <v>49</v>
      </c>
      <c r="N288" s="5">
        <f>AVERAGEIFS('Data Combined - all-runs'!$N:$N, 'Data Combined - all-runs'!$A:$A, A288,'Data Combined - all-runs'!$B:$B, B288,'Data Combined - all-runs'!$C:$C, C288, 'Data Combined - all-runs'!$D:$D, D288, 'Data Combined - all-runs'!$E:$E, E288)</f>
        <v>4</v>
      </c>
      <c r="O288" s="5">
        <f>AVERAGEIFS('Data Combined - all-runs'!$O:$O, 'Data Combined - all-runs'!$A:$A, A288,'Data Combined - all-runs'!$B:$B, B288,'Data Combined - all-runs'!$C:$C, C288, 'Data Combined - all-runs'!$D:$D, D288, 'Data Combined - all-runs'!$E:$E, E288)</f>
        <v>602</v>
      </c>
      <c r="P288" s="5">
        <f>AVERAGEIFS('Data Combined - all-runs'!$P:$P, 'Data Combined - all-runs'!$A:$A, A288,'Data Combined - all-runs'!$B:$B, B288,'Data Combined - all-runs'!$C:$C, C288, 'Data Combined - all-runs'!$D:$D, D288, 'Data Combined - all-runs'!$E:$E, E288)</f>
        <v>6.644518272</v>
      </c>
      <c r="Q288" s="5">
        <f>AVERAGEIFS('Data Combined - all-runs'!$Q:$Q, 'Data Combined - all-runs'!$A:$A, A288,'Data Combined - all-runs'!$B:$B, B288,'Data Combined - all-runs'!$C:$C, C288, 'Data Combined - all-runs'!$D:$D, D288, 'Data Combined - all-runs'!$E:$E, E288)</f>
        <v>1569.767442</v>
      </c>
      <c r="R288" s="5">
        <f>AVERAGEIFS('Data Combined - all-runs'!$R:$R, 'Data Combined - all-runs'!$A:$A, A288,'Data Combined - all-runs'!$B:$B, B288,'Data Combined - all-runs'!$C:$C, C288, 'Data Combined - all-runs'!$D:$D, D288, 'Data Combined - all-runs'!$E:$E, E288)</f>
        <v>236.25</v>
      </c>
      <c r="S288" s="5">
        <f>AVERAGEIFS('Data Combined - all-runs'!$S:$S, 'Data Combined - all-runs'!$A:$A, A288,'Data Combined - all-runs'!$B:$B, B288,'Data Combined - all-runs'!$C:$C, C288, 'Data Combined - all-runs'!$D:$D, D288, 'Data Combined - all-runs'!$E:$E, E288)</f>
        <v>0</v>
      </c>
      <c r="T288" s="5">
        <f>AVERAGEIFS('Data Combined - all-runs'!$T:$T, 'Data Combined - all-runs'!$A:$A, A288,'Data Combined - all-runs'!$B:$B, B288,'Data Combined - all-runs'!$C:$C, C288, 'Data Combined - all-runs'!$D:$D, D288, 'Data Combined - all-runs'!$E:$E, E288)</f>
        <v>0</v>
      </c>
      <c r="U288" s="5" t="b">
        <f t="shared" si="1"/>
        <v>1</v>
      </c>
      <c r="V288" s="5" t="b">
        <f t="shared" si="2"/>
        <v>1</v>
      </c>
      <c r="W288" s="5" t="b">
        <f t="shared" si="3"/>
        <v>0</v>
      </c>
    </row>
    <row r="289">
      <c r="A289" s="2" t="s">
        <v>460</v>
      </c>
      <c r="B289" s="2" t="s">
        <v>114</v>
      </c>
      <c r="C289" s="2" t="s">
        <v>35</v>
      </c>
      <c r="D289" s="2" t="s">
        <v>118</v>
      </c>
      <c r="E289" s="2" t="s">
        <v>51</v>
      </c>
      <c r="H289" s="5">
        <f>AVERAGEIFS('Data Combined - all-runs'!$H:$H, 'Data Combined - all-runs'!$A:$A, A289,'Data Combined - all-runs'!$B:$B, B289,'Data Combined - all-runs'!$C:$C, C289, 'Data Combined - all-runs'!$D:$D, D289, 'Data Combined - all-runs'!$E:$E, E289)</f>
        <v>1916</v>
      </c>
      <c r="I289" s="5">
        <f>AVERAGEIFS('Data Combined - all-runs'!$I:$I, 'Data Combined - all-runs'!$A:$A, A289,'Data Combined - all-runs'!$B:$B, B289,'Data Combined - all-runs'!$C:$C, C289, 'Data Combined - all-runs'!$D:$D, D289, 'Data Combined - all-runs'!$E:$E, E289)</f>
        <v>0</v>
      </c>
      <c r="J289" s="5">
        <f>AVERAGEIFS('Data Combined - all-runs'!$J:$J, 'Data Combined - all-runs'!$A:$A, A289,'Data Combined - all-runs'!$B:$B, B289,'Data Combined - all-runs'!$C:$C, C289, 'Data Combined - all-runs'!$D:$D, D289, 'Data Combined - all-runs'!$E:$E, E289)</f>
        <v>0</v>
      </c>
      <c r="K289" s="5">
        <f>AVERAGEIFS('Data Combined - all-runs'!$K:$K, 'Data Combined - all-runs'!$A:$A, A289,'Data Combined - all-runs'!$B:$B, B289,'Data Combined - all-runs'!$C:$C, C289, 'Data Combined - all-runs'!$D:$D, D289, 'Data Combined - all-runs'!$E:$E, E289)</f>
        <v>0.07353730542</v>
      </c>
      <c r="L289" s="5">
        <f>AVERAGEIFS('Data Combined - all-runs'!$L:$L, 'Data Combined - all-runs'!$A:$A, A289,'Data Combined - all-runs'!$B:$B, B289,'Data Combined - all-runs'!$C:$C, C289, 'Data Combined - all-runs'!$D:$D, D289, 'Data Combined - all-runs'!$E:$E, E289)</f>
        <v>12797.91776</v>
      </c>
      <c r="M289" s="5">
        <f>AVERAGEIFS('Data Combined - all-runs'!$M:$M, 'Data Combined - all-runs'!$A:$A, A289,'Data Combined - all-runs'!$B:$B, B289,'Data Combined - all-runs'!$C:$C, C289, 'Data Combined - all-runs'!$D:$D, D289, 'Data Combined - all-runs'!$E:$E, E289)</f>
        <v>40</v>
      </c>
      <c r="N289" s="5">
        <f>AVERAGEIFS('Data Combined - all-runs'!$N:$N, 'Data Combined - all-runs'!$A:$A, A289,'Data Combined - all-runs'!$B:$B, B289,'Data Combined - all-runs'!$C:$C, C289, 'Data Combined - all-runs'!$D:$D, D289, 'Data Combined - all-runs'!$E:$E, E289)</f>
        <v>13</v>
      </c>
      <c r="O289" s="5">
        <f>AVERAGEIFS('Data Combined - all-runs'!$O:$O, 'Data Combined - all-runs'!$A:$A, A289,'Data Combined - all-runs'!$B:$B, B289,'Data Combined - all-runs'!$C:$C, C289, 'Data Combined - all-runs'!$D:$D, D289, 'Data Combined - all-runs'!$E:$E, E289)</f>
        <v>1863</v>
      </c>
      <c r="P289" s="5">
        <f>AVERAGEIFS('Data Combined - all-runs'!$P:$P, 'Data Combined - all-runs'!$A:$A, A289,'Data Combined - all-runs'!$B:$B, B289,'Data Combined - all-runs'!$C:$C, C289, 'Data Combined - all-runs'!$D:$D, D289, 'Data Combined - all-runs'!$E:$E, E289)</f>
        <v>6.977992485</v>
      </c>
      <c r="Q289" s="5">
        <f>AVERAGEIFS('Data Combined - all-runs'!$Q:$Q, 'Data Combined - all-runs'!$A:$A, A289,'Data Combined - all-runs'!$B:$B, B289,'Data Combined - all-runs'!$C:$C, C289, 'Data Combined - all-runs'!$D:$D, D289, 'Data Combined - all-runs'!$E:$E, E289)</f>
        <v>1028.448739</v>
      </c>
      <c r="R289" s="5">
        <f>AVERAGEIFS('Data Combined - all-runs'!$R:$R, 'Data Combined - all-runs'!$A:$A, A289,'Data Combined - all-runs'!$B:$B, B289,'Data Combined - all-runs'!$C:$C, C289, 'Data Combined - all-runs'!$D:$D, D289, 'Data Combined - all-runs'!$E:$E, E289)</f>
        <v>147.3846154</v>
      </c>
      <c r="S289" s="5">
        <f>AVERAGEIFS('Data Combined - all-runs'!$S:$S, 'Data Combined - all-runs'!$A:$A, A289,'Data Combined - all-runs'!$B:$B, B289,'Data Combined - all-runs'!$C:$C, C289, 'Data Combined - all-runs'!$D:$D, D289, 'Data Combined - all-runs'!$E:$E, E289)</f>
        <v>0</v>
      </c>
      <c r="T289" s="5">
        <f>AVERAGEIFS('Data Combined - all-runs'!$T:$T, 'Data Combined - all-runs'!$A:$A, A289,'Data Combined - all-runs'!$B:$B, B289,'Data Combined - all-runs'!$C:$C, C289, 'Data Combined - all-runs'!$D:$D, D289, 'Data Combined - all-runs'!$E:$E, E289)</f>
        <v>0</v>
      </c>
      <c r="U289" s="5" t="b">
        <f t="shared" si="1"/>
        <v>1</v>
      </c>
      <c r="V289" s="5" t="b">
        <f t="shared" si="2"/>
        <v>1</v>
      </c>
      <c r="W289" s="5" t="b">
        <f t="shared" si="3"/>
        <v>0</v>
      </c>
    </row>
    <row r="290">
      <c r="A290" s="2" t="s">
        <v>33</v>
      </c>
      <c r="B290" s="2" t="s">
        <v>22</v>
      </c>
      <c r="C290" s="2" t="s">
        <v>23</v>
      </c>
      <c r="D290" s="2" t="s">
        <v>24</v>
      </c>
      <c r="E290" s="2" t="s">
        <v>25</v>
      </c>
      <c r="H290" s="5">
        <f>AVERAGEIFS('Data Combined - all-runs'!$H:$H, 'Data Combined - all-runs'!$A:$A, A290,'Data Combined - all-runs'!$B:$B, B290,'Data Combined - all-runs'!$C:$C, C290, 'Data Combined - all-runs'!$D:$D, D290, 'Data Combined - all-runs'!$E:$E, E290)</f>
        <v>269</v>
      </c>
      <c r="I290" s="5" t="str">
        <f>AVERAGEIFS('Data Combined - all-runs'!$I:$I, 'Data Combined - all-runs'!$A:$A, A290,'Data Combined - all-runs'!$B:$B, B290,'Data Combined - all-runs'!$C:$C, C290, 'Data Combined - all-runs'!$D:$D, D290, 'Data Combined - all-runs'!$E:$E, E290)</f>
        <v>#DIV/0!</v>
      </c>
      <c r="J290" s="5">
        <f>AVERAGEIFS('Data Combined - all-runs'!$J:$J, 'Data Combined - all-runs'!$A:$A, A290,'Data Combined - all-runs'!$B:$B, B290,'Data Combined - all-runs'!$C:$C, C290, 'Data Combined - all-runs'!$D:$D, D290, 'Data Combined - all-runs'!$E:$E, E290)</f>
        <v>3</v>
      </c>
      <c r="K290" s="5">
        <f>AVERAGEIFS('Data Combined - all-runs'!$K:$K, 'Data Combined - all-runs'!$A:$A, A290,'Data Combined - all-runs'!$B:$B, B290,'Data Combined - all-runs'!$C:$C, C290, 'Data Combined - all-runs'!$D:$D, D290, 'Data Combined - all-runs'!$E:$E, E290)</f>
        <v>0.0285</v>
      </c>
      <c r="L290" s="5">
        <f>AVERAGEIFS('Data Combined - all-runs'!$L:$L, 'Data Combined - all-runs'!$A:$A, A290,'Data Combined - all-runs'!$B:$B, B290,'Data Combined - all-runs'!$C:$C, C290, 'Data Combined - all-runs'!$D:$D, D290, 'Data Combined - all-runs'!$E:$E, E290)</f>
        <v>1794.874317</v>
      </c>
      <c r="M290" s="5" t="str">
        <f>AVERAGEIFS('Data Combined - all-runs'!$M:$M, 'Data Combined - all-runs'!$A:$A, A290,'Data Combined - all-runs'!$B:$B, B290,'Data Combined - all-runs'!$C:$C, C290, 'Data Combined - all-runs'!$D:$D, D290, 'Data Combined - all-runs'!$E:$E, E290)</f>
        <v>#DIV/0!</v>
      </c>
      <c r="N290" s="5">
        <f>AVERAGEIFS('Data Combined - all-runs'!$N:$N, 'Data Combined - all-runs'!$A:$A, A290,'Data Combined - all-runs'!$B:$B, B290,'Data Combined - all-runs'!$C:$C, C290, 'Data Combined - all-runs'!$D:$D, D290, 'Data Combined - all-runs'!$E:$E, E290)</f>
        <v>0</v>
      </c>
      <c r="O290" s="5">
        <f>AVERAGEIFS('Data Combined - all-runs'!$O:$O, 'Data Combined - all-runs'!$A:$A, A290,'Data Combined - all-runs'!$B:$B, B290,'Data Combined - all-runs'!$C:$C, C290, 'Data Combined - all-runs'!$D:$D, D290, 'Data Combined - all-runs'!$E:$E, E290)</f>
        <v>500</v>
      </c>
      <c r="P290" s="5">
        <f>AVERAGEIFS('Data Combined - all-runs'!$P:$P, 'Data Combined - all-runs'!$A:$A, A290,'Data Combined - all-runs'!$B:$B, B290,'Data Combined - all-runs'!$C:$C, C290, 'Data Combined - all-runs'!$D:$D, D290, 'Data Combined - all-runs'!$E:$E, E290)</f>
        <v>0</v>
      </c>
      <c r="Q290" s="5">
        <f>AVERAGEIFS('Data Combined - all-runs'!$Q:$Q, 'Data Combined - all-runs'!$A:$A, A290,'Data Combined - all-runs'!$B:$B, B290,'Data Combined - all-runs'!$C:$C, C290, 'Data Combined - all-runs'!$D:$D, D290, 'Data Combined - all-runs'!$E:$E, E290)</f>
        <v>538</v>
      </c>
      <c r="R290" s="5" t="str">
        <f>AVERAGEIFS('Data Combined - all-runs'!$R:$R, 'Data Combined - all-runs'!$A:$A, A290,'Data Combined - all-runs'!$B:$B, B290,'Data Combined - all-runs'!$C:$C, C290, 'Data Combined - all-runs'!$D:$D, D290, 'Data Combined - all-runs'!$E:$E, E290)</f>
        <v>#DIV/0!</v>
      </c>
      <c r="S290" s="5">
        <f>AVERAGEIFS('Data Combined - all-runs'!$S:$S, 'Data Combined - all-runs'!$A:$A, A290,'Data Combined - all-runs'!$B:$B, B290,'Data Combined - all-runs'!$C:$C, C290, 'Data Combined - all-runs'!$D:$D, D290, 'Data Combined - all-runs'!$E:$E, E290)</f>
        <v>0.008695652174</v>
      </c>
      <c r="T290" s="5" t="str">
        <f>AVERAGEIFS('Data Combined - all-runs'!$T:$T, 'Data Combined - all-runs'!$A:$A, A290,'Data Combined - all-runs'!$B:$B, B290,'Data Combined - all-runs'!$C:$C, C290, 'Data Combined - all-runs'!$D:$D, D290, 'Data Combined - all-runs'!$E:$E, E290)</f>
        <v>#DIV/0!</v>
      </c>
      <c r="U290" s="5" t="b">
        <f t="shared" si="1"/>
        <v>1</v>
      </c>
      <c r="V290" s="5" t="b">
        <f t="shared" si="2"/>
        <v>1</v>
      </c>
      <c r="W290" s="5" t="b">
        <f t="shared" si="3"/>
        <v>1</v>
      </c>
    </row>
    <row r="291">
      <c r="A291" s="2" t="s">
        <v>33</v>
      </c>
      <c r="B291" s="2" t="s">
        <v>22</v>
      </c>
      <c r="C291" s="2" t="s">
        <v>23</v>
      </c>
      <c r="D291" s="2" t="s">
        <v>24</v>
      </c>
      <c r="E291" s="2" t="s">
        <v>39</v>
      </c>
      <c r="H291" s="5">
        <f>AVERAGEIFS('Data Combined - all-runs'!$H:$H, 'Data Combined - all-runs'!$A:$A, A291,'Data Combined - all-runs'!$B:$B, B291,'Data Combined - all-runs'!$C:$C, C291, 'Data Combined - all-runs'!$D:$D, D291, 'Data Combined - all-runs'!$E:$E, E291)</f>
        <v>373.5</v>
      </c>
      <c r="I291" s="5" t="str">
        <f>AVERAGEIFS('Data Combined - all-runs'!$I:$I, 'Data Combined - all-runs'!$A:$A, A291,'Data Combined - all-runs'!$B:$B, B291,'Data Combined - all-runs'!$C:$C, C291, 'Data Combined - all-runs'!$D:$D, D291, 'Data Combined - all-runs'!$E:$E, E291)</f>
        <v>#DIV/0!</v>
      </c>
      <c r="J291" s="5">
        <f>AVERAGEIFS('Data Combined - all-runs'!$J:$J, 'Data Combined - all-runs'!$A:$A, A291,'Data Combined - all-runs'!$B:$B, B291,'Data Combined - all-runs'!$C:$C, C291, 'Data Combined - all-runs'!$D:$D, D291, 'Data Combined - all-runs'!$E:$E, E291)</f>
        <v>150.5</v>
      </c>
      <c r="K291" s="5">
        <f>AVERAGEIFS('Data Combined - all-runs'!$K:$K, 'Data Combined - all-runs'!$A:$A, A291,'Data Combined - all-runs'!$B:$B, B291,'Data Combined - all-runs'!$C:$C, C291, 'Data Combined - all-runs'!$D:$D, D291, 'Data Combined - all-runs'!$E:$E, E291)</f>
        <v>0.13325</v>
      </c>
      <c r="L291" s="5">
        <f>AVERAGEIFS('Data Combined - all-runs'!$L:$L, 'Data Combined - all-runs'!$A:$A, A291,'Data Combined - all-runs'!$B:$B, B291,'Data Combined - all-runs'!$C:$C, C291, 'Data Combined - all-runs'!$D:$D, D291, 'Data Combined - all-runs'!$E:$E, E291)</f>
        <v>4038.758656</v>
      </c>
      <c r="M291" s="5" t="str">
        <f>AVERAGEIFS('Data Combined - all-runs'!$M:$M, 'Data Combined - all-runs'!$A:$A, A291,'Data Combined - all-runs'!$B:$B, B291,'Data Combined - all-runs'!$C:$C, C291, 'Data Combined - all-runs'!$D:$D, D291, 'Data Combined - all-runs'!$E:$E, E291)</f>
        <v>#DIV/0!</v>
      </c>
      <c r="N291" s="5">
        <f>AVERAGEIFS('Data Combined - all-runs'!$N:$N, 'Data Combined - all-runs'!$A:$A, A291,'Data Combined - all-runs'!$B:$B, B291,'Data Combined - all-runs'!$C:$C, C291, 'Data Combined - all-runs'!$D:$D, D291, 'Data Combined - all-runs'!$E:$E, E291)</f>
        <v>0</v>
      </c>
      <c r="O291" s="5">
        <f>AVERAGEIFS('Data Combined - all-runs'!$O:$O, 'Data Combined - all-runs'!$A:$A, A291,'Data Combined - all-runs'!$B:$B, B291,'Data Combined - all-runs'!$C:$C, C291, 'Data Combined - all-runs'!$D:$D, D291, 'Data Combined - all-runs'!$E:$E, E291)</f>
        <v>500</v>
      </c>
      <c r="P291" s="5">
        <f>AVERAGEIFS('Data Combined - all-runs'!$P:$P, 'Data Combined - all-runs'!$A:$A, A291,'Data Combined - all-runs'!$B:$B, B291,'Data Combined - all-runs'!$C:$C, C291, 'Data Combined - all-runs'!$D:$D, D291, 'Data Combined - all-runs'!$E:$E, E291)</f>
        <v>0</v>
      </c>
      <c r="Q291" s="5">
        <f>AVERAGEIFS('Data Combined - all-runs'!$Q:$Q, 'Data Combined - all-runs'!$A:$A, A291,'Data Combined - all-runs'!$B:$B, B291,'Data Combined - all-runs'!$C:$C, C291, 'Data Combined - all-runs'!$D:$D, D291, 'Data Combined - all-runs'!$E:$E, E291)</f>
        <v>747</v>
      </c>
      <c r="R291" s="5" t="str">
        <f>AVERAGEIFS('Data Combined - all-runs'!$R:$R, 'Data Combined - all-runs'!$A:$A, A291,'Data Combined - all-runs'!$B:$B, B291,'Data Combined - all-runs'!$C:$C, C291, 'Data Combined - all-runs'!$D:$D, D291, 'Data Combined - all-runs'!$E:$E, E291)</f>
        <v>#DIV/0!</v>
      </c>
      <c r="S291" s="5">
        <f>AVERAGEIFS('Data Combined - all-runs'!$S:$S, 'Data Combined - all-runs'!$A:$A, A291,'Data Combined - all-runs'!$B:$B, B291,'Data Combined - all-runs'!$C:$C, C291, 'Data Combined - all-runs'!$D:$D, D291, 'Data Combined - all-runs'!$E:$E, E291)</f>
        <v>0.4154585312</v>
      </c>
      <c r="T291" s="5" t="str">
        <f>AVERAGEIFS('Data Combined - all-runs'!$T:$T, 'Data Combined - all-runs'!$A:$A, A291,'Data Combined - all-runs'!$B:$B, B291,'Data Combined - all-runs'!$C:$C, C291, 'Data Combined - all-runs'!$D:$D, D291, 'Data Combined - all-runs'!$E:$E, E291)</f>
        <v>#DIV/0!</v>
      </c>
      <c r="U291" s="5" t="b">
        <f t="shared" si="1"/>
        <v>1</v>
      </c>
      <c r="V291" s="5" t="b">
        <f t="shared" si="2"/>
        <v>1</v>
      </c>
      <c r="W291" s="5" t="b">
        <f t="shared" si="3"/>
        <v>1</v>
      </c>
    </row>
    <row r="292">
      <c r="A292" s="2" t="s">
        <v>33</v>
      </c>
      <c r="B292" s="2" t="s">
        <v>22</v>
      </c>
      <c r="C292" s="2" t="s">
        <v>23</v>
      </c>
      <c r="D292" s="2" t="s">
        <v>24</v>
      </c>
      <c r="E292" s="2" t="s">
        <v>43</v>
      </c>
      <c r="H292" s="5">
        <f>AVERAGEIFS('Data Combined - all-runs'!$H:$H, 'Data Combined - all-runs'!$A:$A, A292,'Data Combined - all-runs'!$B:$B, B292,'Data Combined - all-runs'!$C:$C, C292, 'Data Combined - all-runs'!$D:$D, D292, 'Data Combined - all-runs'!$E:$E, E292)</f>
        <v>393</v>
      </c>
      <c r="I292" s="5" t="str">
        <f>AVERAGEIFS('Data Combined - all-runs'!$I:$I, 'Data Combined - all-runs'!$A:$A, A292,'Data Combined - all-runs'!$B:$B, B292,'Data Combined - all-runs'!$C:$C, C292, 'Data Combined - all-runs'!$D:$D, D292, 'Data Combined - all-runs'!$E:$E, E292)</f>
        <v>#DIV/0!</v>
      </c>
      <c r="J292" s="5">
        <f>AVERAGEIFS('Data Combined - all-runs'!$J:$J, 'Data Combined - all-runs'!$A:$A, A292,'Data Combined - all-runs'!$B:$B, B292,'Data Combined - all-runs'!$C:$C, C292, 'Data Combined - all-runs'!$D:$D, D292, 'Data Combined - all-runs'!$E:$E, E292)</f>
        <v>232</v>
      </c>
      <c r="K292" s="5">
        <f>AVERAGEIFS('Data Combined - all-runs'!$K:$K, 'Data Combined - all-runs'!$A:$A, A292,'Data Combined - all-runs'!$B:$B, B292,'Data Combined - all-runs'!$C:$C, C292, 'Data Combined - all-runs'!$D:$D, D292, 'Data Combined - all-runs'!$E:$E, E292)</f>
        <v>0.09966666667</v>
      </c>
      <c r="L292" s="5">
        <f>AVERAGEIFS('Data Combined - all-runs'!$L:$L, 'Data Combined - all-runs'!$A:$A, A292,'Data Combined - all-runs'!$B:$B, B292,'Data Combined - all-runs'!$C:$C, C292, 'Data Combined - all-runs'!$D:$D, D292, 'Data Combined - all-runs'!$E:$E, E292)</f>
        <v>4835.535566</v>
      </c>
      <c r="M292" s="5" t="str">
        <f>AVERAGEIFS('Data Combined - all-runs'!$M:$M, 'Data Combined - all-runs'!$A:$A, A292,'Data Combined - all-runs'!$B:$B, B292,'Data Combined - all-runs'!$C:$C, C292, 'Data Combined - all-runs'!$D:$D, D292, 'Data Combined - all-runs'!$E:$E, E292)</f>
        <v>#DIV/0!</v>
      </c>
      <c r="N292" s="5">
        <f>AVERAGEIFS('Data Combined - all-runs'!$N:$N, 'Data Combined - all-runs'!$A:$A, A292,'Data Combined - all-runs'!$B:$B, B292,'Data Combined - all-runs'!$C:$C, C292, 'Data Combined - all-runs'!$D:$D, D292, 'Data Combined - all-runs'!$E:$E, E292)</f>
        <v>0</v>
      </c>
      <c r="O292" s="5">
        <f>AVERAGEIFS('Data Combined - all-runs'!$O:$O, 'Data Combined - all-runs'!$A:$A, A292,'Data Combined - all-runs'!$B:$B, B292,'Data Combined - all-runs'!$C:$C, C292, 'Data Combined - all-runs'!$D:$D, D292, 'Data Combined - all-runs'!$E:$E, E292)</f>
        <v>500</v>
      </c>
      <c r="P292" s="5">
        <f>AVERAGEIFS('Data Combined - all-runs'!$P:$P, 'Data Combined - all-runs'!$A:$A, A292,'Data Combined - all-runs'!$B:$B, B292,'Data Combined - all-runs'!$C:$C, C292, 'Data Combined - all-runs'!$D:$D, D292, 'Data Combined - all-runs'!$E:$E, E292)</f>
        <v>0</v>
      </c>
      <c r="Q292" s="5">
        <f>AVERAGEIFS('Data Combined - all-runs'!$Q:$Q, 'Data Combined - all-runs'!$A:$A, A292,'Data Combined - all-runs'!$B:$B, B292,'Data Combined - all-runs'!$C:$C, C292, 'Data Combined - all-runs'!$D:$D, D292, 'Data Combined - all-runs'!$E:$E, E292)</f>
        <v>786</v>
      </c>
      <c r="R292" s="5" t="str">
        <f>AVERAGEIFS('Data Combined - all-runs'!$R:$R, 'Data Combined - all-runs'!$A:$A, A292,'Data Combined - all-runs'!$B:$B, B292,'Data Combined - all-runs'!$C:$C, C292, 'Data Combined - all-runs'!$D:$D, D292, 'Data Combined - all-runs'!$E:$E, E292)</f>
        <v>#DIV/0!</v>
      </c>
      <c r="S292" s="5">
        <f>AVERAGEIFS('Data Combined - all-runs'!$S:$S, 'Data Combined - all-runs'!$A:$A, A292,'Data Combined - all-runs'!$B:$B, B292,'Data Combined - all-runs'!$C:$C, C292, 'Data Combined - all-runs'!$D:$D, D292, 'Data Combined - all-runs'!$E:$E, E292)</f>
        <v>0.5966008449</v>
      </c>
      <c r="T292" s="5" t="str">
        <f>AVERAGEIFS('Data Combined - all-runs'!$T:$T, 'Data Combined - all-runs'!$A:$A, A292,'Data Combined - all-runs'!$B:$B, B292,'Data Combined - all-runs'!$C:$C, C292, 'Data Combined - all-runs'!$D:$D, D292, 'Data Combined - all-runs'!$E:$E, E292)</f>
        <v>#DIV/0!</v>
      </c>
      <c r="U292" s="5" t="b">
        <f t="shared" si="1"/>
        <v>1</v>
      </c>
      <c r="V292" s="5" t="b">
        <f t="shared" si="2"/>
        <v>1</v>
      </c>
      <c r="W292" s="5" t="b">
        <f t="shared" si="3"/>
        <v>1</v>
      </c>
    </row>
    <row r="293">
      <c r="A293" s="2" t="s">
        <v>33</v>
      </c>
      <c r="B293" s="2" t="s">
        <v>22</v>
      </c>
      <c r="C293" s="2" t="s">
        <v>23</v>
      </c>
      <c r="D293" s="2" t="s">
        <v>24</v>
      </c>
      <c r="E293" s="2" t="s">
        <v>34</v>
      </c>
      <c r="H293" s="5">
        <f>AVERAGEIFS('Data Combined - all-runs'!$H:$H, 'Data Combined - all-runs'!$A:$A, A293,'Data Combined - all-runs'!$B:$B, B293,'Data Combined - all-runs'!$C:$C, C293, 'Data Combined - all-runs'!$D:$D, D293, 'Data Combined - all-runs'!$E:$E, E293)</f>
        <v>443</v>
      </c>
      <c r="I293" s="5" t="str">
        <f>AVERAGEIFS('Data Combined - all-runs'!$I:$I, 'Data Combined - all-runs'!$A:$A, A293,'Data Combined - all-runs'!$B:$B, B293,'Data Combined - all-runs'!$C:$C, C293, 'Data Combined - all-runs'!$D:$D, D293, 'Data Combined - all-runs'!$E:$E, E293)</f>
        <v>#DIV/0!</v>
      </c>
      <c r="J293" s="5">
        <f>AVERAGEIFS('Data Combined - all-runs'!$J:$J, 'Data Combined - all-runs'!$A:$A, A293,'Data Combined - all-runs'!$B:$B, B293,'Data Combined - all-runs'!$C:$C, C293, 'Data Combined - all-runs'!$D:$D, D293, 'Data Combined - all-runs'!$E:$E, E293)</f>
        <v>161</v>
      </c>
      <c r="K293" s="5">
        <f>AVERAGEIFS('Data Combined - all-runs'!$K:$K, 'Data Combined - all-runs'!$A:$A, A293,'Data Combined - all-runs'!$B:$B, B293,'Data Combined - all-runs'!$C:$C, C293, 'Data Combined - all-runs'!$D:$D, D293, 'Data Combined - all-runs'!$E:$E, E293)</f>
        <v>0.1243333333</v>
      </c>
      <c r="L293" s="5">
        <f>AVERAGEIFS('Data Combined - all-runs'!$L:$L, 'Data Combined - all-runs'!$A:$A, A293,'Data Combined - all-runs'!$B:$B, B293,'Data Combined - all-runs'!$C:$C, C293, 'Data Combined - all-runs'!$D:$D, D293, 'Data Combined - all-runs'!$E:$E, E293)</f>
        <v>5438.219125</v>
      </c>
      <c r="M293" s="5" t="str">
        <f>AVERAGEIFS('Data Combined - all-runs'!$M:$M, 'Data Combined - all-runs'!$A:$A, A293,'Data Combined - all-runs'!$B:$B, B293,'Data Combined - all-runs'!$C:$C, C293, 'Data Combined - all-runs'!$D:$D, D293, 'Data Combined - all-runs'!$E:$E, E293)</f>
        <v>#DIV/0!</v>
      </c>
      <c r="N293" s="5">
        <f>AVERAGEIFS('Data Combined - all-runs'!$N:$N, 'Data Combined - all-runs'!$A:$A, A293,'Data Combined - all-runs'!$B:$B, B293,'Data Combined - all-runs'!$C:$C, C293, 'Data Combined - all-runs'!$D:$D, D293, 'Data Combined - all-runs'!$E:$E, E293)</f>
        <v>0</v>
      </c>
      <c r="O293" s="5">
        <f>AVERAGEIFS('Data Combined - all-runs'!$O:$O, 'Data Combined - all-runs'!$A:$A, A293,'Data Combined - all-runs'!$B:$B, B293,'Data Combined - all-runs'!$C:$C, C293, 'Data Combined - all-runs'!$D:$D, D293, 'Data Combined - all-runs'!$E:$E, E293)</f>
        <v>500</v>
      </c>
      <c r="P293" s="5">
        <f>AVERAGEIFS('Data Combined - all-runs'!$P:$P, 'Data Combined - all-runs'!$A:$A, A293,'Data Combined - all-runs'!$B:$B, B293,'Data Combined - all-runs'!$C:$C, C293, 'Data Combined - all-runs'!$D:$D, D293, 'Data Combined - all-runs'!$E:$E, E293)</f>
        <v>0</v>
      </c>
      <c r="Q293" s="5">
        <f>AVERAGEIFS('Data Combined - all-runs'!$Q:$Q, 'Data Combined - all-runs'!$A:$A, A293,'Data Combined - all-runs'!$B:$B, B293,'Data Combined - all-runs'!$C:$C, C293, 'Data Combined - all-runs'!$D:$D, D293, 'Data Combined - all-runs'!$E:$E, E293)</f>
        <v>886</v>
      </c>
      <c r="R293" s="5" t="str">
        <f>AVERAGEIFS('Data Combined - all-runs'!$R:$R, 'Data Combined - all-runs'!$A:$A, A293,'Data Combined - all-runs'!$B:$B, B293,'Data Combined - all-runs'!$C:$C, C293, 'Data Combined - all-runs'!$D:$D, D293, 'Data Combined - all-runs'!$E:$E, E293)</f>
        <v>#DIV/0!</v>
      </c>
      <c r="S293" s="5">
        <f>AVERAGEIFS('Data Combined - all-runs'!$S:$S, 'Data Combined - all-runs'!$A:$A, A293,'Data Combined - all-runs'!$B:$B, B293,'Data Combined - all-runs'!$C:$C, C293, 'Data Combined - all-runs'!$D:$D, D293, 'Data Combined - all-runs'!$E:$E, E293)</f>
        <v>0.3634311512</v>
      </c>
      <c r="T293" s="5" t="str">
        <f>AVERAGEIFS('Data Combined - all-runs'!$T:$T, 'Data Combined - all-runs'!$A:$A, A293,'Data Combined - all-runs'!$B:$B, B293,'Data Combined - all-runs'!$C:$C, C293, 'Data Combined - all-runs'!$D:$D, D293, 'Data Combined - all-runs'!$E:$E, E293)</f>
        <v>#DIV/0!</v>
      </c>
      <c r="U293" s="5" t="b">
        <f t="shared" si="1"/>
        <v>1</v>
      </c>
      <c r="V293" s="5" t="b">
        <f t="shared" si="2"/>
        <v>1</v>
      </c>
      <c r="W293" s="5" t="b">
        <f t="shared" si="3"/>
        <v>1</v>
      </c>
    </row>
    <row r="294">
      <c r="A294" s="2" t="s">
        <v>33</v>
      </c>
      <c r="B294" s="2" t="s">
        <v>22</v>
      </c>
      <c r="C294" s="2" t="s">
        <v>23</v>
      </c>
      <c r="D294" s="2" t="s">
        <v>24</v>
      </c>
      <c r="E294" s="2" t="s">
        <v>47</v>
      </c>
      <c r="H294" s="5">
        <f>AVERAGEIFS('Data Combined - all-runs'!$H:$H, 'Data Combined - all-runs'!$A:$A, A294,'Data Combined - all-runs'!$B:$B, B294,'Data Combined - all-runs'!$C:$C, C294, 'Data Combined - all-runs'!$D:$D, D294, 'Data Combined - all-runs'!$E:$E, E294)</f>
        <v>624.5</v>
      </c>
      <c r="I294" s="5" t="str">
        <f>AVERAGEIFS('Data Combined - all-runs'!$I:$I, 'Data Combined - all-runs'!$A:$A, A294,'Data Combined - all-runs'!$B:$B, B294,'Data Combined - all-runs'!$C:$C, C294, 'Data Combined - all-runs'!$D:$D, D294, 'Data Combined - all-runs'!$E:$E, E294)</f>
        <v>#DIV/0!</v>
      </c>
      <c r="J294" s="5">
        <f>AVERAGEIFS('Data Combined - all-runs'!$J:$J, 'Data Combined - all-runs'!$A:$A, A294,'Data Combined - all-runs'!$B:$B, B294,'Data Combined - all-runs'!$C:$C, C294, 'Data Combined - all-runs'!$D:$D, D294, 'Data Combined - all-runs'!$E:$E, E294)</f>
        <v>553</v>
      </c>
      <c r="K294" s="5">
        <f>AVERAGEIFS('Data Combined - all-runs'!$K:$K, 'Data Combined - all-runs'!$A:$A, A294,'Data Combined - all-runs'!$B:$B, B294,'Data Combined - all-runs'!$C:$C, C294, 'Data Combined - all-runs'!$D:$D, D294, 'Data Combined - all-runs'!$E:$E, E294)</f>
        <v>0.123469848</v>
      </c>
      <c r="L294" s="5">
        <f>AVERAGEIFS('Data Combined - all-runs'!$L:$L, 'Data Combined - all-runs'!$A:$A, A294,'Data Combined - all-runs'!$B:$B, B294,'Data Combined - all-runs'!$C:$C, C294, 'Data Combined - all-runs'!$D:$D, D294, 'Data Combined - all-runs'!$E:$E, E294)</f>
        <v>10598.62432</v>
      </c>
      <c r="M294" s="5">
        <f>AVERAGEIFS('Data Combined - all-runs'!$M:$M, 'Data Combined - all-runs'!$A:$A, A294,'Data Combined - all-runs'!$B:$B, B294,'Data Combined - all-runs'!$C:$C, C294, 'Data Combined - all-runs'!$D:$D, D294, 'Data Combined - all-runs'!$E:$E, E294)</f>
        <v>237</v>
      </c>
      <c r="N294" s="5">
        <f>AVERAGEIFS('Data Combined - all-runs'!$N:$N, 'Data Combined - all-runs'!$A:$A, A294,'Data Combined - all-runs'!$B:$B, B294,'Data Combined - all-runs'!$C:$C, C294, 'Data Combined - all-runs'!$D:$D, D294, 'Data Combined - all-runs'!$E:$E, E294)</f>
        <v>1</v>
      </c>
      <c r="O294" s="5">
        <f>AVERAGEIFS('Data Combined - all-runs'!$O:$O, 'Data Combined - all-runs'!$A:$A, A294,'Data Combined - all-runs'!$B:$B, B294,'Data Combined - all-runs'!$C:$C, C294, 'Data Combined - all-runs'!$D:$D, D294, 'Data Combined - all-runs'!$E:$E, E294)</f>
        <v>737</v>
      </c>
      <c r="P294" s="5">
        <f>AVERAGEIFS('Data Combined - all-runs'!$P:$P, 'Data Combined - all-runs'!$A:$A, A294,'Data Combined - all-runs'!$B:$B, B294,'Data Combined - all-runs'!$C:$C, C294, 'Data Combined - all-runs'!$D:$D, D294, 'Data Combined - all-runs'!$E:$E, E294)</f>
        <v>1.356862095</v>
      </c>
      <c r="Q294" s="5">
        <f>AVERAGEIFS('Data Combined - all-runs'!$Q:$Q, 'Data Combined - all-runs'!$A:$A, A294,'Data Combined - all-runs'!$B:$B, B294,'Data Combined - all-runs'!$C:$C, C294, 'Data Combined - all-runs'!$D:$D, D294, 'Data Combined - all-runs'!$E:$E, E294)</f>
        <v>847.1560207</v>
      </c>
      <c r="R294" s="5">
        <f>AVERAGEIFS('Data Combined - all-runs'!$R:$R, 'Data Combined - all-runs'!$A:$A, A294,'Data Combined - all-runs'!$B:$B, B294,'Data Combined - all-runs'!$C:$C, C294, 'Data Combined - all-runs'!$D:$D, D294, 'Data Combined - all-runs'!$E:$E, E294)</f>
        <v>624.5</v>
      </c>
      <c r="S294" s="5">
        <f>AVERAGEIFS('Data Combined - all-runs'!$S:$S, 'Data Combined - all-runs'!$A:$A, A294,'Data Combined - all-runs'!$B:$B, B294,'Data Combined - all-runs'!$C:$C, C294, 'Data Combined - all-runs'!$D:$D, D294, 'Data Combined - all-runs'!$E:$E, E294)</f>
        <v>0.903889693</v>
      </c>
      <c r="T294" s="5" t="str">
        <f>AVERAGEIFS('Data Combined - all-runs'!$T:$T, 'Data Combined - all-runs'!$A:$A, A294,'Data Combined - all-runs'!$B:$B, B294,'Data Combined - all-runs'!$C:$C, C294, 'Data Combined - all-runs'!$D:$D, D294, 'Data Combined - all-runs'!$E:$E, E294)</f>
        <v>#DIV/0!</v>
      </c>
      <c r="U294" s="5" t="b">
        <f t="shared" si="1"/>
        <v>1</v>
      </c>
      <c r="V294" s="5" t="b">
        <f t="shared" si="2"/>
        <v>1</v>
      </c>
      <c r="W294" s="5" t="b">
        <f t="shared" si="3"/>
        <v>1</v>
      </c>
    </row>
    <row r="295">
      <c r="A295" s="2" t="s">
        <v>33</v>
      </c>
      <c r="B295" s="2" t="s">
        <v>22</v>
      </c>
      <c r="C295" s="2" t="s">
        <v>23</v>
      </c>
      <c r="D295" s="2" t="s">
        <v>24</v>
      </c>
      <c r="E295" s="2" t="s">
        <v>51</v>
      </c>
      <c r="H295" s="5">
        <f>AVERAGEIFS('Data Combined - all-runs'!$H:$H, 'Data Combined - all-runs'!$A:$A, A295,'Data Combined - all-runs'!$B:$B, B295,'Data Combined - all-runs'!$C:$C, C295, 'Data Combined - all-runs'!$D:$D, D295, 'Data Combined - all-runs'!$E:$E, E295)</f>
        <v>438</v>
      </c>
      <c r="I295" s="5" t="str">
        <f>AVERAGEIFS('Data Combined - all-runs'!$I:$I, 'Data Combined - all-runs'!$A:$A, A295,'Data Combined - all-runs'!$B:$B, B295,'Data Combined - all-runs'!$C:$C, C295, 'Data Combined - all-runs'!$D:$D, D295, 'Data Combined - all-runs'!$E:$E, E295)</f>
        <v>#DIV/0!</v>
      </c>
      <c r="J295" s="5">
        <f>AVERAGEIFS('Data Combined - all-runs'!$J:$J, 'Data Combined - all-runs'!$A:$A, A295,'Data Combined - all-runs'!$B:$B, B295,'Data Combined - all-runs'!$C:$C, C295, 'Data Combined - all-runs'!$D:$D, D295, 'Data Combined - all-runs'!$E:$E, E295)</f>
        <v>346</v>
      </c>
      <c r="K295" s="5">
        <f>AVERAGEIFS('Data Combined - all-runs'!$K:$K, 'Data Combined - all-runs'!$A:$A, A295,'Data Combined - all-runs'!$B:$B, B295,'Data Combined - all-runs'!$C:$C, C295, 'Data Combined - all-runs'!$D:$D, D295, 'Data Combined - all-runs'!$E:$E, E295)</f>
        <v>0.06125</v>
      </c>
      <c r="L295" s="5">
        <f>AVERAGEIFS('Data Combined - all-runs'!$L:$L, 'Data Combined - all-runs'!$A:$A, A295,'Data Combined - all-runs'!$B:$B, B295,'Data Combined - all-runs'!$C:$C, C295, 'Data Combined - all-runs'!$D:$D, D295, 'Data Combined - all-runs'!$E:$E, E295)</f>
        <v>5798.714832</v>
      </c>
      <c r="M295" s="5" t="str">
        <f>AVERAGEIFS('Data Combined - all-runs'!$M:$M, 'Data Combined - all-runs'!$A:$A, A295,'Data Combined - all-runs'!$B:$B, B295,'Data Combined - all-runs'!$C:$C, C295, 'Data Combined - all-runs'!$D:$D, D295, 'Data Combined - all-runs'!$E:$E, E295)</f>
        <v>#DIV/0!</v>
      </c>
      <c r="N295" s="5">
        <f>AVERAGEIFS('Data Combined - all-runs'!$N:$N, 'Data Combined - all-runs'!$A:$A, A295,'Data Combined - all-runs'!$B:$B, B295,'Data Combined - all-runs'!$C:$C, C295, 'Data Combined - all-runs'!$D:$D, D295, 'Data Combined - all-runs'!$E:$E, E295)</f>
        <v>0</v>
      </c>
      <c r="O295" s="5">
        <f>AVERAGEIFS('Data Combined - all-runs'!$O:$O, 'Data Combined - all-runs'!$A:$A, A295,'Data Combined - all-runs'!$B:$B, B295,'Data Combined - all-runs'!$C:$C, C295, 'Data Combined - all-runs'!$D:$D, D295, 'Data Combined - all-runs'!$E:$E, E295)</f>
        <v>500</v>
      </c>
      <c r="P295" s="5">
        <f>AVERAGEIFS('Data Combined - all-runs'!$P:$P, 'Data Combined - all-runs'!$A:$A, A295,'Data Combined - all-runs'!$B:$B, B295,'Data Combined - all-runs'!$C:$C, C295, 'Data Combined - all-runs'!$D:$D, D295, 'Data Combined - all-runs'!$E:$E, E295)</f>
        <v>0</v>
      </c>
      <c r="Q295" s="5">
        <f>AVERAGEIFS('Data Combined - all-runs'!$Q:$Q, 'Data Combined - all-runs'!$A:$A, A295,'Data Combined - all-runs'!$B:$B, B295,'Data Combined - all-runs'!$C:$C, C295, 'Data Combined - all-runs'!$D:$D, D295, 'Data Combined - all-runs'!$E:$E, E295)</f>
        <v>876</v>
      </c>
      <c r="R295" s="5" t="str">
        <f>AVERAGEIFS('Data Combined - all-runs'!$R:$R, 'Data Combined - all-runs'!$A:$A, A295,'Data Combined - all-runs'!$B:$B, B295,'Data Combined - all-runs'!$C:$C, C295, 'Data Combined - all-runs'!$D:$D, D295, 'Data Combined - all-runs'!$E:$E, E295)</f>
        <v>#DIV/0!</v>
      </c>
      <c r="S295" s="5">
        <f>AVERAGEIFS('Data Combined - all-runs'!$S:$S, 'Data Combined - all-runs'!$A:$A, A295,'Data Combined - all-runs'!$B:$B, B295,'Data Combined - all-runs'!$C:$C, C295, 'Data Combined - all-runs'!$D:$D, D295, 'Data Combined - all-runs'!$E:$E, E295)</f>
        <v>0.7899543379</v>
      </c>
      <c r="T295" s="5" t="str">
        <f>AVERAGEIFS('Data Combined - all-runs'!$T:$T, 'Data Combined - all-runs'!$A:$A, A295,'Data Combined - all-runs'!$B:$B, B295,'Data Combined - all-runs'!$C:$C, C295, 'Data Combined - all-runs'!$D:$D, D295, 'Data Combined - all-runs'!$E:$E, E295)</f>
        <v>#DIV/0!</v>
      </c>
      <c r="U295" s="5" t="b">
        <f t="shared" si="1"/>
        <v>1</v>
      </c>
      <c r="V295" s="5" t="b">
        <f t="shared" si="2"/>
        <v>1</v>
      </c>
      <c r="W295" s="5" t="b">
        <f t="shared" si="3"/>
        <v>1</v>
      </c>
    </row>
    <row r="296">
      <c r="A296" s="2" t="s">
        <v>33</v>
      </c>
      <c r="B296" s="2" t="s">
        <v>22</v>
      </c>
      <c r="C296" s="2" t="s">
        <v>23</v>
      </c>
      <c r="D296" s="2" t="s">
        <v>54</v>
      </c>
      <c r="E296" s="2" t="s">
        <v>25</v>
      </c>
      <c r="H296" s="5">
        <f>AVERAGEIFS('Data Combined - all-runs'!$H:$H, 'Data Combined - all-runs'!$A:$A, A296,'Data Combined - all-runs'!$B:$B, B296,'Data Combined - all-runs'!$C:$C, C296, 'Data Combined - all-runs'!$D:$D, D296, 'Data Combined - all-runs'!$E:$E, E296)</f>
        <v>491</v>
      </c>
      <c r="I296" s="5" t="str">
        <f>AVERAGEIFS('Data Combined - all-runs'!$I:$I, 'Data Combined - all-runs'!$A:$A, A296,'Data Combined - all-runs'!$B:$B, B296,'Data Combined - all-runs'!$C:$C, C296, 'Data Combined - all-runs'!$D:$D, D296, 'Data Combined - all-runs'!$E:$E, E296)</f>
        <v>#DIV/0!</v>
      </c>
      <c r="J296" s="5">
        <f>AVERAGEIFS('Data Combined - all-runs'!$J:$J, 'Data Combined - all-runs'!$A:$A, A296,'Data Combined - all-runs'!$B:$B, B296,'Data Combined - all-runs'!$C:$C, C296, 'Data Combined - all-runs'!$D:$D, D296, 'Data Combined - all-runs'!$E:$E, E296)</f>
        <v>45</v>
      </c>
      <c r="K296" s="5">
        <f>AVERAGEIFS('Data Combined - all-runs'!$K:$K, 'Data Combined - all-runs'!$A:$A, A296,'Data Combined - all-runs'!$B:$B, B296,'Data Combined - all-runs'!$C:$C, C296, 'Data Combined - all-runs'!$D:$D, D296, 'Data Combined - all-runs'!$E:$E, E296)</f>
        <v>0.121274409</v>
      </c>
      <c r="L296" s="5">
        <f>AVERAGEIFS('Data Combined - all-runs'!$L:$L, 'Data Combined - all-runs'!$A:$A, A296,'Data Combined - all-runs'!$B:$B, B296,'Data Combined - all-runs'!$C:$C, C296, 'Data Combined - all-runs'!$D:$D, D296, 'Data Combined - all-runs'!$E:$E, E296)</f>
        <v>5081.873696</v>
      </c>
      <c r="M296" s="5">
        <f>AVERAGEIFS('Data Combined - all-runs'!$M:$M, 'Data Combined - all-runs'!$A:$A, A296,'Data Combined - all-runs'!$B:$B, B296,'Data Combined - all-runs'!$C:$C, C296, 'Data Combined - all-runs'!$D:$D, D296, 'Data Combined - all-runs'!$E:$E, E296)</f>
        <v>473</v>
      </c>
      <c r="N296" s="5">
        <f>AVERAGEIFS('Data Combined - all-runs'!$N:$N, 'Data Combined - all-runs'!$A:$A, A296,'Data Combined - all-runs'!$B:$B, B296,'Data Combined - all-runs'!$C:$C, C296, 'Data Combined - all-runs'!$D:$D, D296, 'Data Combined - all-runs'!$E:$E, E296)</f>
        <v>1</v>
      </c>
      <c r="O296" s="5">
        <f>AVERAGEIFS('Data Combined - all-runs'!$O:$O, 'Data Combined - all-runs'!$A:$A, A296,'Data Combined - all-runs'!$B:$B, B296,'Data Combined - all-runs'!$C:$C, C296, 'Data Combined - all-runs'!$D:$D, D296, 'Data Combined - all-runs'!$E:$E, E296)</f>
        <v>973</v>
      </c>
      <c r="P296" s="5">
        <f>AVERAGEIFS('Data Combined - all-runs'!$P:$P, 'Data Combined - all-runs'!$A:$A, A296,'Data Combined - all-runs'!$B:$B, B296,'Data Combined - all-runs'!$C:$C, C296, 'Data Combined - all-runs'!$D:$D, D296, 'Data Combined - all-runs'!$E:$E, E296)</f>
        <v>1.027749229</v>
      </c>
      <c r="Q296" s="5">
        <f>AVERAGEIFS('Data Combined - all-runs'!$Q:$Q, 'Data Combined - all-runs'!$A:$A, A296,'Data Combined - all-runs'!$B:$B, B296,'Data Combined - all-runs'!$C:$C, C296, 'Data Combined - all-runs'!$D:$D, D296, 'Data Combined - all-runs'!$E:$E, E296)</f>
        <v>504.6248715</v>
      </c>
      <c r="R296" s="5">
        <f>AVERAGEIFS('Data Combined - all-runs'!$R:$R, 'Data Combined - all-runs'!$A:$A, A296,'Data Combined - all-runs'!$B:$B, B296,'Data Combined - all-runs'!$C:$C, C296, 'Data Combined - all-runs'!$D:$D, D296, 'Data Combined - all-runs'!$E:$E, E296)</f>
        <v>491</v>
      </c>
      <c r="S296" s="5">
        <f>AVERAGEIFS('Data Combined - all-runs'!$S:$S, 'Data Combined - all-runs'!$A:$A, A296,'Data Combined - all-runs'!$B:$B, B296,'Data Combined - all-runs'!$C:$C, C296, 'Data Combined - all-runs'!$D:$D, D296, 'Data Combined - all-runs'!$E:$E, E296)</f>
        <v>0.0916496945</v>
      </c>
      <c r="T296" s="5" t="str">
        <f>AVERAGEIFS('Data Combined - all-runs'!$T:$T, 'Data Combined - all-runs'!$A:$A, A296,'Data Combined - all-runs'!$B:$B, B296,'Data Combined - all-runs'!$C:$C, C296, 'Data Combined - all-runs'!$D:$D, D296, 'Data Combined - all-runs'!$E:$E, E296)</f>
        <v>#DIV/0!</v>
      </c>
      <c r="U296" s="5" t="b">
        <f t="shared" si="1"/>
        <v>1</v>
      </c>
      <c r="V296" s="5" t="b">
        <f t="shared" si="2"/>
        <v>1</v>
      </c>
      <c r="W296" s="5" t="b">
        <f t="shared" si="3"/>
        <v>1</v>
      </c>
    </row>
    <row r="297">
      <c r="A297" s="2" t="s">
        <v>33</v>
      </c>
      <c r="B297" s="2" t="s">
        <v>22</v>
      </c>
      <c r="C297" s="2" t="s">
        <v>23</v>
      </c>
      <c r="D297" s="2" t="s">
        <v>54</v>
      </c>
      <c r="E297" s="2" t="s">
        <v>39</v>
      </c>
      <c r="H297" s="5">
        <f>AVERAGEIFS('Data Combined - all-runs'!$H:$H, 'Data Combined - all-runs'!$A:$A, A297,'Data Combined - all-runs'!$B:$B, B297,'Data Combined - all-runs'!$C:$C, C297, 'Data Combined - all-runs'!$D:$D, D297, 'Data Combined - all-runs'!$E:$E, E297)</f>
        <v>574</v>
      </c>
      <c r="I297" s="5" t="str">
        <f>AVERAGEIFS('Data Combined - all-runs'!$I:$I, 'Data Combined - all-runs'!$A:$A, A297,'Data Combined - all-runs'!$B:$B, B297,'Data Combined - all-runs'!$C:$C, C297, 'Data Combined - all-runs'!$D:$D, D297, 'Data Combined - all-runs'!$E:$E, E297)</f>
        <v>#DIV/0!</v>
      </c>
      <c r="J297" s="5">
        <f>AVERAGEIFS('Data Combined - all-runs'!$J:$J, 'Data Combined - all-runs'!$A:$A, A297,'Data Combined - all-runs'!$B:$B, B297,'Data Combined - all-runs'!$C:$C, C297, 'Data Combined - all-runs'!$D:$D, D297, 'Data Combined - all-runs'!$E:$E, E297)</f>
        <v>387</v>
      </c>
      <c r="K297" s="5">
        <f>AVERAGEIFS('Data Combined - all-runs'!$K:$K, 'Data Combined - all-runs'!$A:$A, A297,'Data Combined - all-runs'!$B:$B, B297,'Data Combined - all-runs'!$C:$C, C297, 'Data Combined - all-runs'!$D:$D, D297, 'Data Combined - all-runs'!$E:$E, E297)</f>
        <v>0.1653225806</v>
      </c>
      <c r="L297" s="5">
        <f>AVERAGEIFS('Data Combined - all-runs'!$L:$L, 'Data Combined - all-runs'!$A:$A, A297,'Data Combined - all-runs'!$B:$B, B297,'Data Combined - all-runs'!$C:$C, C297, 'Data Combined - all-runs'!$D:$D, D297, 'Data Combined - all-runs'!$E:$E, E297)</f>
        <v>5611.675332</v>
      </c>
      <c r="M297" s="5">
        <f>AVERAGEIFS('Data Combined - all-runs'!$M:$M, 'Data Combined - all-runs'!$A:$A, A297,'Data Combined - all-runs'!$B:$B, B297,'Data Combined - all-runs'!$C:$C, C297, 'Data Combined - all-runs'!$D:$D, D297, 'Data Combined - all-runs'!$E:$E, E297)</f>
        <v>306</v>
      </c>
      <c r="N297" s="5">
        <f>AVERAGEIFS('Data Combined - all-runs'!$N:$N, 'Data Combined - all-runs'!$A:$A, A297,'Data Combined - all-runs'!$B:$B, B297,'Data Combined - all-runs'!$C:$C, C297, 'Data Combined - all-runs'!$D:$D, D297, 'Data Combined - all-runs'!$E:$E, E297)</f>
        <v>1</v>
      </c>
      <c r="O297" s="5">
        <f>AVERAGEIFS('Data Combined - all-runs'!$O:$O, 'Data Combined - all-runs'!$A:$A, A297,'Data Combined - all-runs'!$B:$B, B297,'Data Combined - all-runs'!$C:$C, C297, 'Data Combined - all-runs'!$D:$D, D297, 'Data Combined - all-runs'!$E:$E, E297)</f>
        <v>806</v>
      </c>
      <c r="P297" s="5">
        <f>AVERAGEIFS('Data Combined - all-runs'!$P:$P, 'Data Combined - all-runs'!$A:$A, A297,'Data Combined - all-runs'!$B:$B, B297,'Data Combined - all-runs'!$C:$C, C297, 'Data Combined - all-runs'!$D:$D, D297, 'Data Combined - all-runs'!$E:$E, E297)</f>
        <v>1.240694789</v>
      </c>
      <c r="Q297" s="5">
        <f>AVERAGEIFS('Data Combined - all-runs'!$Q:$Q, 'Data Combined - all-runs'!$A:$A, A297,'Data Combined - all-runs'!$B:$B, B297,'Data Combined - all-runs'!$C:$C, C297, 'Data Combined - all-runs'!$D:$D, D297, 'Data Combined - all-runs'!$E:$E, E297)</f>
        <v>712.1588089</v>
      </c>
      <c r="R297" s="5">
        <f>AVERAGEIFS('Data Combined - all-runs'!$R:$R, 'Data Combined - all-runs'!$A:$A, A297,'Data Combined - all-runs'!$B:$B, B297,'Data Combined - all-runs'!$C:$C, C297, 'Data Combined - all-runs'!$D:$D, D297, 'Data Combined - all-runs'!$E:$E, E297)</f>
        <v>574</v>
      </c>
      <c r="S297" s="5">
        <f>AVERAGEIFS('Data Combined - all-runs'!$S:$S, 'Data Combined - all-runs'!$A:$A, A297,'Data Combined - all-runs'!$B:$B, B297,'Data Combined - all-runs'!$C:$C, C297, 'Data Combined - all-runs'!$D:$D, D297, 'Data Combined - all-runs'!$E:$E, E297)</f>
        <v>0.6742160279</v>
      </c>
      <c r="T297" s="5" t="str">
        <f>AVERAGEIFS('Data Combined - all-runs'!$T:$T, 'Data Combined - all-runs'!$A:$A, A297,'Data Combined - all-runs'!$B:$B, B297,'Data Combined - all-runs'!$C:$C, C297, 'Data Combined - all-runs'!$D:$D, D297, 'Data Combined - all-runs'!$E:$E, E297)</f>
        <v>#DIV/0!</v>
      </c>
      <c r="U297" s="5" t="b">
        <f t="shared" si="1"/>
        <v>1</v>
      </c>
      <c r="V297" s="5" t="b">
        <f t="shared" si="2"/>
        <v>1</v>
      </c>
      <c r="W297" s="5" t="b">
        <f t="shared" si="3"/>
        <v>1</v>
      </c>
    </row>
    <row r="298">
      <c r="A298" s="2" t="s">
        <v>33</v>
      </c>
      <c r="B298" s="2" t="s">
        <v>22</v>
      </c>
      <c r="C298" s="2" t="s">
        <v>23</v>
      </c>
      <c r="D298" s="2" t="s">
        <v>54</v>
      </c>
      <c r="E298" s="2" t="s">
        <v>43</v>
      </c>
      <c r="H298" s="5">
        <f>AVERAGEIFS('Data Combined - all-runs'!$H:$H, 'Data Combined - all-runs'!$A:$A, A298,'Data Combined - all-runs'!$B:$B, B298,'Data Combined - all-runs'!$C:$C, C298, 'Data Combined - all-runs'!$D:$D, D298, 'Data Combined - all-runs'!$E:$E, E298)</f>
        <v>2457</v>
      </c>
      <c r="I298" s="5" t="str">
        <f>AVERAGEIFS('Data Combined - all-runs'!$I:$I, 'Data Combined - all-runs'!$A:$A, A298,'Data Combined - all-runs'!$B:$B, B298,'Data Combined - all-runs'!$C:$C, C298, 'Data Combined - all-runs'!$D:$D, D298, 'Data Combined - all-runs'!$E:$E, E298)</f>
        <v>#DIV/0!</v>
      </c>
      <c r="J298" s="5">
        <f>AVERAGEIFS('Data Combined - all-runs'!$J:$J, 'Data Combined - all-runs'!$A:$A, A298,'Data Combined - all-runs'!$B:$B, B298,'Data Combined - all-runs'!$C:$C, C298, 'Data Combined - all-runs'!$D:$D, D298, 'Data Combined - all-runs'!$E:$E, E298)</f>
        <v>580</v>
      </c>
      <c r="K298" s="5">
        <f>AVERAGEIFS('Data Combined - all-runs'!$K:$K, 'Data Combined - all-runs'!$A:$A, A298,'Data Combined - all-runs'!$B:$B, B298,'Data Combined - all-runs'!$C:$C, C298, 'Data Combined - all-runs'!$D:$D, D298, 'Data Combined - all-runs'!$E:$E, E298)</f>
        <v>0.1570442422</v>
      </c>
      <c r="L298" s="5">
        <f>AVERAGEIFS('Data Combined - all-runs'!$L:$L, 'Data Combined - all-runs'!$A:$A, A298,'Data Combined - all-runs'!$B:$B, B298,'Data Combined - all-runs'!$C:$C, C298, 'Data Combined - all-runs'!$D:$D, D298, 'Data Combined - all-runs'!$E:$E, E298)</f>
        <v>27384.29538</v>
      </c>
      <c r="M298" s="5">
        <f>AVERAGEIFS('Data Combined - all-runs'!$M:$M, 'Data Combined - all-runs'!$A:$A, A298,'Data Combined - all-runs'!$B:$B, B298,'Data Combined - all-runs'!$C:$C, C298, 'Data Combined - all-runs'!$D:$D, D298, 'Data Combined - all-runs'!$E:$E, E298)</f>
        <v>411</v>
      </c>
      <c r="N298" s="5">
        <f>AVERAGEIFS('Data Combined - all-runs'!$N:$N, 'Data Combined - all-runs'!$A:$A, A298,'Data Combined - all-runs'!$B:$B, B298,'Data Combined - all-runs'!$C:$C, C298, 'Data Combined - all-runs'!$D:$D, D298, 'Data Combined - all-runs'!$E:$E, E298)</f>
        <v>18</v>
      </c>
      <c r="O298" s="5">
        <f>AVERAGEIFS('Data Combined - all-runs'!$O:$O, 'Data Combined - all-runs'!$A:$A, A298,'Data Combined - all-runs'!$B:$B, B298,'Data Combined - all-runs'!$C:$C, C298, 'Data Combined - all-runs'!$D:$D, D298, 'Data Combined - all-runs'!$E:$E, E298)</f>
        <v>3187</v>
      </c>
      <c r="P298" s="5">
        <f>AVERAGEIFS('Data Combined - all-runs'!$P:$P, 'Data Combined - all-runs'!$A:$A, A298,'Data Combined - all-runs'!$B:$B, B298,'Data Combined - all-runs'!$C:$C, C298, 'Data Combined - all-runs'!$D:$D, D298, 'Data Combined - all-runs'!$E:$E, E298)</f>
        <v>5.647944776</v>
      </c>
      <c r="Q298" s="5">
        <f>AVERAGEIFS('Data Combined - all-runs'!$Q:$Q, 'Data Combined - all-runs'!$A:$A, A298,'Data Combined - all-runs'!$B:$B, B298,'Data Combined - all-runs'!$C:$C, C298, 'Data Combined - all-runs'!$D:$D, D298, 'Data Combined - all-runs'!$E:$E, E298)</f>
        <v>770.9444619</v>
      </c>
      <c r="R298" s="5">
        <f>AVERAGEIFS('Data Combined - all-runs'!$R:$R, 'Data Combined - all-runs'!$A:$A, A298,'Data Combined - all-runs'!$B:$B, B298,'Data Combined - all-runs'!$C:$C, C298, 'Data Combined - all-runs'!$D:$D, D298, 'Data Combined - all-runs'!$E:$E, E298)</f>
        <v>136.5</v>
      </c>
      <c r="S298" s="5">
        <f>AVERAGEIFS('Data Combined - all-runs'!$S:$S, 'Data Combined - all-runs'!$A:$A, A298,'Data Combined - all-runs'!$B:$B, B298,'Data Combined - all-runs'!$C:$C, C298, 'Data Combined - all-runs'!$D:$D, D298, 'Data Combined - all-runs'!$E:$E, E298)</f>
        <v>0.2360602361</v>
      </c>
      <c r="T298" s="5" t="str">
        <f>AVERAGEIFS('Data Combined - all-runs'!$T:$T, 'Data Combined - all-runs'!$A:$A, A298,'Data Combined - all-runs'!$B:$B, B298,'Data Combined - all-runs'!$C:$C, C298, 'Data Combined - all-runs'!$D:$D, D298, 'Data Combined - all-runs'!$E:$E, E298)</f>
        <v>#DIV/0!</v>
      </c>
      <c r="U298" s="5" t="b">
        <f t="shared" si="1"/>
        <v>1</v>
      </c>
      <c r="V298" s="5" t="b">
        <f t="shared" si="2"/>
        <v>1</v>
      </c>
      <c r="W298" s="5" t="b">
        <f t="shared" si="3"/>
        <v>1</v>
      </c>
    </row>
    <row r="299">
      <c r="A299" s="2" t="s">
        <v>33</v>
      </c>
      <c r="B299" s="2" t="s">
        <v>22</v>
      </c>
      <c r="C299" s="2" t="s">
        <v>23</v>
      </c>
      <c r="D299" s="2" t="s">
        <v>54</v>
      </c>
      <c r="E299" s="2" t="s">
        <v>34</v>
      </c>
      <c r="H299" s="5">
        <f>AVERAGEIFS('Data Combined - all-runs'!$H:$H, 'Data Combined - all-runs'!$A:$A, A299,'Data Combined - all-runs'!$B:$B, B299,'Data Combined - all-runs'!$C:$C, C299, 'Data Combined - all-runs'!$D:$D, D299, 'Data Combined - all-runs'!$E:$E, E299)</f>
        <v>1358</v>
      </c>
      <c r="I299" s="5" t="str">
        <f>AVERAGEIFS('Data Combined - all-runs'!$I:$I, 'Data Combined - all-runs'!$A:$A, A299,'Data Combined - all-runs'!$B:$B, B299,'Data Combined - all-runs'!$C:$C, C299, 'Data Combined - all-runs'!$D:$D, D299, 'Data Combined - all-runs'!$E:$E, E299)</f>
        <v>#DIV/0!</v>
      </c>
      <c r="J299" s="5">
        <f>AVERAGEIFS('Data Combined - all-runs'!$J:$J, 'Data Combined - all-runs'!$A:$A, A299,'Data Combined - all-runs'!$B:$B, B299,'Data Combined - all-runs'!$C:$C, C299, 'Data Combined - all-runs'!$D:$D, D299, 'Data Combined - all-runs'!$E:$E, E299)</f>
        <v>651</v>
      </c>
      <c r="K299" s="5">
        <f>AVERAGEIFS('Data Combined - all-runs'!$K:$K, 'Data Combined - all-runs'!$A:$A, A299,'Data Combined - all-runs'!$B:$B, B299,'Data Combined - all-runs'!$C:$C, C299, 'Data Combined - all-runs'!$D:$D, D299, 'Data Combined - all-runs'!$E:$E, E299)</f>
        <v>0.2352441614</v>
      </c>
      <c r="L299" s="5">
        <f>AVERAGEIFS('Data Combined - all-runs'!$L:$L, 'Data Combined - all-runs'!$A:$A, A299,'Data Combined - all-runs'!$B:$B, B299,'Data Combined - all-runs'!$C:$C, C299, 'Data Combined - all-runs'!$D:$D, D299, 'Data Combined - all-runs'!$E:$E, E299)</f>
        <v>19751.94437</v>
      </c>
      <c r="M299" s="5">
        <f>AVERAGEIFS('Data Combined - all-runs'!$M:$M, 'Data Combined - all-runs'!$A:$A, A299,'Data Combined - all-runs'!$B:$B, B299,'Data Combined - all-runs'!$C:$C, C299, 'Data Combined - all-runs'!$D:$D, D299, 'Data Combined - all-runs'!$E:$E, E299)</f>
        <v>67</v>
      </c>
      <c r="N299" s="5">
        <f>AVERAGEIFS('Data Combined - all-runs'!$N:$N, 'Data Combined - all-runs'!$A:$A, A299,'Data Combined - all-runs'!$B:$B, B299,'Data Combined - all-runs'!$C:$C, C299, 'Data Combined - all-runs'!$D:$D, D299, 'Data Combined - all-runs'!$E:$E, E299)</f>
        <v>4</v>
      </c>
      <c r="O299" s="5">
        <f>AVERAGEIFS('Data Combined - all-runs'!$O:$O, 'Data Combined - all-runs'!$A:$A, A299,'Data Combined - all-runs'!$B:$B, B299,'Data Combined - all-runs'!$C:$C, C299, 'Data Combined - all-runs'!$D:$D, D299, 'Data Combined - all-runs'!$E:$E, E299)</f>
        <v>1570</v>
      </c>
      <c r="P299" s="5">
        <f>AVERAGEIFS('Data Combined - all-runs'!$P:$P, 'Data Combined - all-runs'!$A:$A, A299,'Data Combined - all-runs'!$B:$B, B299,'Data Combined - all-runs'!$C:$C, C299, 'Data Combined - all-runs'!$D:$D, D299, 'Data Combined - all-runs'!$E:$E, E299)</f>
        <v>2.547770701</v>
      </c>
      <c r="Q299" s="5">
        <f>AVERAGEIFS('Data Combined - all-runs'!$Q:$Q, 'Data Combined - all-runs'!$A:$A, A299,'Data Combined - all-runs'!$B:$B, B299,'Data Combined - all-runs'!$C:$C, C299, 'Data Combined - all-runs'!$D:$D, D299, 'Data Combined - all-runs'!$E:$E, E299)</f>
        <v>864.9681529</v>
      </c>
      <c r="R299" s="5">
        <f>AVERAGEIFS('Data Combined - all-runs'!$R:$R, 'Data Combined - all-runs'!$A:$A, A299,'Data Combined - all-runs'!$B:$B, B299,'Data Combined - all-runs'!$C:$C, C299, 'Data Combined - all-runs'!$D:$D, D299, 'Data Combined - all-runs'!$E:$E, E299)</f>
        <v>339.5</v>
      </c>
      <c r="S299" s="5">
        <f>AVERAGEIFS('Data Combined - all-runs'!$S:$S, 'Data Combined - all-runs'!$A:$A, A299,'Data Combined - all-runs'!$B:$B, B299,'Data Combined - all-runs'!$C:$C, C299, 'Data Combined - all-runs'!$D:$D, D299, 'Data Combined - all-runs'!$E:$E, E299)</f>
        <v>0.4793814433</v>
      </c>
      <c r="T299" s="5" t="str">
        <f>AVERAGEIFS('Data Combined - all-runs'!$T:$T, 'Data Combined - all-runs'!$A:$A, A299,'Data Combined - all-runs'!$B:$B, B299,'Data Combined - all-runs'!$C:$C, C299, 'Data Combined - all-runs'!$D:$D, D299, 'Data Combined - all-runs'!$E:$E, E299)</f>
        <v>#DIV/0!</v>
      </c>
      <c r="U299" s="5" t="b">
        <f t="shared" si="1"/>
        <v>1</v>
      </c>
      <c r="V299" s="5" t="b">
        <f t="shared" si="2"/>
        <v>1</v>
      </c>
      <c r="W299" s="5" t="b">
        <f t="shared" si="3"/>
        <v>1</v>
      </c>
    </row>
    <row r="300">
      <c r="A300" s="2" t="s">
        <v>33</v>
      </c>
      <c r="B300" s="2" t="s">
        <v>22</v>
      </c>
      <c r="C300" s="2" t="s">
        <v>23</v>
      </c>
      <c r="D300" s="2" t="s">
        <v>54</v>
      </c>
      <c r="E300" s="2" t="s">
        <v>47</v>
      </c>
      <c r="H300" s="5">
        <f>AVERAGEIFS('Data Combined - all-runs'!$H:$H, 'Data Combined - all-runs'!$A:$A, A300,'Data Combined - all-runs'!$B:$B, B300,'Data Combined - all-runs'!$C:$C, C300, 'Data Combined - all-runs'!$D:$D, D300, 'Data Combined - all-runs'!$E:$E, E300)</f>
        <v>3292</v>
      </c>
      <c r="I300" s="5" t="str">
        <f>AVERAGEIFS('Data Combined - all-runs'!$I:$I, 'Data Combined - all-runs'!$A:$A, A300,'Data Combined - all-runs'!$B:$B, B300,'Data Combined - all-runs'!$C:$C, C300, 'Data Combined - all-runs'!$D:$D, D300, 'Data Combined - all-runs'!$E:$E, E300)</f>
        <v>#DIV/0!</v>
      </c>
      <c r="J300" s="5">
        <f>AVERAGEIFS('Data Combined - all-runs'!$J:$J, 'Data Combined - all-runs'!$A:$A, A300,'Data Combined - all-runs'!$B:$B, B300,'Data Combined - all-runs'!$C:$C, C300, 'Data Combined - all-runs'!$D:$D, D300, 'Data Combined - all-runs'!$E:$E, E300)</f>
        <v>1193</v>
      </c>
      <c r="K300" s="5">
        <f>AVERAGEIFS('Data Combined - all-runs'!$K:$K, 'Data Combined - all-runs'!$A:$A, A300,'Data Combined - all-runs'!$B:$B, B300,'Data Combined - all-runs'!$C:$C, C300, 'Data Combined - all-runs'!$D:$D, D300, 'Data Combined - all-runs'!$E:$E, E300)</f>
        <v>0.1809480987</v>
      </c>
      <c r="L300" s="5">
        <f>AVERAGEIFS('Data Combined - all-runs'!$L:$L, 'Data Combined - all-runs'!$A:$A, A300,'Data Combined - all-runs'!$B:$B, B300,'Data Combined - all-runs'!$C:$C, C300, 'Data Combined - all-runs'!$D:$D, D300, 'Data Combined - all-runs'!$E:$E, E300)</f>
        <v>49822.22805</v>
      </c>
      <c r="M300" s="5">
        <f>AVERAGEIFS('Data Combined - all-runs'!$M:$M, 'Data Combined - all-runs'!$A:$A, A300,'Data Combined - all-runs'!$B:$B, B300,'Data Combined - all-runs'!$C:$C, C300, 'Data Combined - all-runs'!$D:$D, D300, 'Data Combined - all-runs'!$E:$E, E300)</f>
        <v>261</v>
      </c>
      <c r="N300" s="5">
        <f>AVERAGEIFS('Data Combined - all-runs'!$N:$N, 'Data Combined - all-runs'!$A:$A, A300,'Data Combined - all-runs'!$B:$B, B300,'Data Combined - all-runs'!$C:$C, C300, 'Data Combined - all-runs'!$D:$D, D300, 'Data Combined - all-runs'!$E:$E, E300)</f>
        <v>16</v>
      </c>
      <c r="O300" s="5">
        <f>AVERAGEIFS('Data Combined - all-runs'!$O:$O, 'Data Combined - all-runs'!$A:$A, A300,'Data Combined - all-runs'!$B:$B, B300,'Data Combined - all-runs'!$C:$C, C300, 'Data Combined - all-runs'!$D:$D, D300, 'Data Combined - all-runs'!$E:$E, E300)</f>
        <v>3892</v>
      </c>
      <c r="P300" s="5">
        <f>AVERAGEIFS('Data Combined - all-runs'!$P:$P, 'Data Combined - all-runs'!$A:$A, A300,'Data Combined - all-runs'!$B:$B, B300,'Data Combined - all-runs'!$C:$C, C300, 'Data Combined - all-runs'!$D:$D, D300, 'Data Combined - all-runs'!$E:$E, E300)</f>
        <v>4.110996917</v>
      </c>
      <c r="Q300" s="5">
        <f>AVERAGEIFS('Data Combined - all-runs'!$Q:$Q, 'Data Combined - all-runs'!$A:$A, A300,'Data Combined - all-runs'!$B:$B, B300,'Data Combined - all-runs'!$C:$C, C300, 'Data Combined - all-runs'!$D:$D, D300, 'Data Combined - all-runs'!$E:$E, E300)</f>
        <v>845.8376156</v>
      </c>
      <c r="R300" s="5">
        <f>AVERAGEIFS('Data Combined - all-runs'!$R:$R, 'Data Combined - all-runs'!$A:$A, A300,'Data Combined - all-runs'!$B:$B, B300,'Data Combined - all-runs'!$C:$C, C300, 'Data Combined - all-runs'!$D:$D, D300, 'Data Combined - all-runs'!$E:$E, E300)</f>
        <v>205.75</v>
      </c>
      <c r="S300" s="5">
        <f>AVERAGEIFS('Data Combined - all-runs'!$S:$S, 'Data Combined - all-runs'!$A:$A, A300,'Data Combined - all-runs'!$B:$B, B300,'Data Combined - all-runs'!$C:$C, C300, 'Data Combined - all-runs'!$D:$D, D300, 'Data Combined - all-runs'!$E:$E, E300)</f>
        <v>0.3623936817</v>
      </c>
      <c r="T300" s="5" t="str">
        <f>AVERAGEIFS('Data Combined - all-runs'!$T:$T, 'Data Combined - all-runs'!$A:$A, A300,'Data Combined - all-runs'!$B:$B, B300,'Data Combined - all-runs'!$C:$C, C300, 'Data Combined - all-runs'!$D:$D, D300, 'Data Combined - all-runs'!$E:$E, E300)</f>
        <v>#DIV/0!</v>
      </c>
      <c r="U300" s="5" t="b">
        <f t="shared" si="1"/>
        <v>1</v>
      </c>
      <c r="V300" s="5" t="b">
        <f t="shared" si="2"/>
        <v>1</v>
      </c>
      <c r="W300" s="5" t="b">
        <f t="shared" si="3"/>
        <v>1</v>
      </c>
    </row>
    <row r="301">
      <c r="A301" s="2" t="s">
        <v>33</v>
      </c>
      <c r="B301" s="2" t="s">
        <v>22</v>
      </c>
      <c r="C301" s="2" t="s">
        <v>23</v>
      </c>
      <c r="D301" s="2" t="s">
        <v>54</v>
      </c>
      <c r="E301" s="2" t="s">
        <v>51</v>
      </c>
      <c r="H301" s="5">
        <f>AVERAGEIFS('Data Combined - all-runs'!$H:$H, 'Data Combined - all-runs'!$A:$A, A301,'Data Combined - all-runs'!$B:$B, B301,'Data Combined - all-runs'!$C:$C, C301, 'Data Combined - all-runs'!$D:$D, D301, 'Data Combined - all-runs'!$E:$E, E301)</f>
        <v>2221</v>
      </c>
      <c r="I301" s="5" t="str">
        <f>AVERAGEIFS('Data Combined - all-runs'!$I:$I, 'Data Combined - all-runs'!$A:$A, A301,'Data Combined - all-runs'!$B:$B, B301,'Data Combined - all-runs'!$C:$C, C301, 'Data Combined - all-runs'!$D:$D, D301, 'Data Combined - all-runs'!$E:$E, E301)</f>
        <v>#DIV/0!</v>
      </c>
      <c r="J301" s="5">
        <f>AVERAGEIFS('Data Combined - all-runs'!$J:$J, 'Data Combined - all-runs'!$A:$A, A301,'Data Combined - all-runs'!$B:$B, B301,'Data Combined - all-runs'!$C:$C, C301, 'Data Combined - all-runs'!$D:$D, D301, 'Data Combined - all-runs'!$E:$E, E301)</f>
        <v>554</v>
      </c>
      <c r="K301" s="5">
        <f>AVERAGEIFS('Data Combined - all-runs'!$K:$K, 'Data Combined - all-runs'!$A:$A, A301,'Data Combined - all-runs'!$B:$B, B301,'Data Combined - all-runs'!$C:$C, C301, 'Data Combined - all-runs'!$D:$D, D301, 'Data Combined - all-runs'!$E:$E, E301)</f>
        <v>0.1561598124</v>
      </c>
      <c r="L301" s="5">
        <f>AVERAGEIFS('Data Combined - all-runs'!$L:$L, 'Data Combined - all-runs'!$A:$A, A301,'Data Combined - all-runs'!$B:$B, B301,'Data Combined - all-runs'!$C:$C, C301, 'Data Combined - all-runs'!$D:$D, D301, 'Data Combined - all-runs'!$E:$E, E301)</f>
        <v>28856.35139</v>
      </c>
      <c r="M301" s="5">
        <f>AVERAGEIFS('Data Combined - all-runs'!$M:$M, 'Data Combined - all-runs'!$A:$A, A301,'Data Combined - all-runs'!$B:$B, B301,'Data Combined - all-runs'!$C:$C, C301, 'Data Combined - all-runs'!$D:$D, D301, 'Data Combined - all-runs'!$E:$E, E301)</f>
        <v>50</v>
      </c>
      <c r="N301" s="5">
        <f>AVERAGEIFS('Data Combined - all-runs'!$N:$N, 'Data Combined - all-runs'!$A:$A, A301,'Data Combined - all-runs'!$B:$B, B301,'Data Combined - all-runs'!$C:$C, C301, 'Data Combined - all-runs'!$D:$D, D301, 'Data Combined - all-runs'!$E:$E, E301)</f>
        <v>19</v>
      </c>
      <c r="O301" s="5">
        <f>AVERAGEIFS('Data Combined - all-runs'!$O:$O, 'Data Combined - all-runs'!$A:$A, A301,'Data Combined - all-runs'!$B:$B, B301,'Data Combined - all-runs'!$C:$C, C301, 'Data Combined - all-runs'!$D:$D, D301, 'Data Combined - all-runs'!$E:$E, E301)</f>
        <v>2772</v>
      </c>
      <c r="P301" s="5">
        <f>AVERAGEIFS('Data Combined - all-runs'!$P:$P, 'Data Combined - all-runs'!$A:$A, A301,'Data Combined - all-runs'!$B:$B, B301,'Data Combined - all-runs'!$C:$C, C301, 'Data Combined - all-runs'!$D:$D, D301, 'Data Combined - all-runs'!$E:$E, E301)</f>
        <v>6.854256854</v>
      </c>
      <c r="Q301" s="5">
        <f>AVERAGEIFS('Data Combined - all-runs'!$Q:$Q, 'Data Combined - all-runs'!$A:$A, A301,'Data Combined - all-runs'!$B:$B, B301,'Data Combined - all-runs'!$C:$C, C301, 'Data Combined - all-runs'!$D:$D, D301, 'Data Combined - all-runs'!$E:$E, E301)</f>
        <v>801.2265512</v>
      </c>
      <c r="R301" s="5">
        <f>AVERAGEIFS('Data Combined - all-runs'!$R:$R, 'Data Combined - all-runs'!$A:$A, A301,'Data Combined - all-runs'!$B:$B, B301,'Data Combined - all-runs'!$C:$C, C301, 'Data Combined - all-runs'!$D:$D, D301, 'Data Combined - all-runs'!$E:$E, E301)</f>
        <v>116.8947368</v>
      </c>
      <c r="S301" s="5">
        <f>AVERAGEIFS('Data Combined - all-runs'!$S:$S, 'Data Combined - all-runs'!$A:$A, A301,'Data Combined - all-runs'!$B:$B, B301,'Data Combined - all-runs'!$C:$C, C301, 'Data Combined - all-runs'!$D:$D, D301, 'Data Combined - all-runs'!$E:$E, E301)</f>
        <v>0.2494371905</v>
      </c>
      <c r="T301" s="5" t="str">
        <f>AVERAGEIFS('Data Combined - all-runs'!$T:$T, 'Data Combined - all-runs'!$A:$A, A301,'Data Combined - all-runs'!$B:$B, B301,'Data Combined - all-runs'!$C:$C, C301, 'Data Combined - all-runs'!$D:$D, D301, 'Data Combined - all-runs'!$E:$E, E301)</f>
        <v>#DIV/0!</v>
      </c>
      <c r="U301" s="5" t="b">
        <f t="shared" si="1"/>
        <v>1</v>
      </c>
      <c r="V301" s="5" t="b">
        <f t="shared" si="2"/>
        <v>1</v>
      </c>
      <c r="W301" s="5" t="b">
        <f t="shared" si="3"/>
        <v>1</v>
      </c>
    </row>
    <row r="302">
      <c r="A302" s="2" t="s">
        <v>33</v>
      </c>
      <c r="B302" s="2" t="s">
        <v>22</v>
      </c>
      <c r="C302" s="2" t="s">
        <v>23</v>
      </c>
      <c r="D302" s="2" t="s">
        <v>72</v>
      </c>
      <c r="E302" s="2" t="s">
        <v>25</v>
      </c>
      <c r="H302" s="5">
        <f>AVERAGEIFS('Data Combined - all-runs'!$H:$H, 'Data Combined - all-runs'!$A:$A, A302,'Data Combined - all-runs'!$B:$B, B302,'Data Combined - all-runs'!$C:$C, C302, 'Data Combined - all-runs'!$D:$D, D302, 'Data Combined - all-runs'!$E:$E, E302)</f>
        <v>1220</v>
      </c>
      <c r="I302" s="5" t="str">
        <f>AVERAGEIFS('Data Combined - all-runs'!$I:$I, 'Data Combined - all-runs'!$A:$A, A302,'Data Combined - all-runs'!$B:$B, B302,'Data Combined - all-runs'!$C:$C, C302, 'Data Combined - all-runs'!$D:$D, D302, 'Data Combined - all-runs'!$E:$E, E302)</f>
        <v>#DIV/0!</v>
      </c>
      <c r="J302" s="5">
        <f>AVERAGEIFS('Data Combined - all-runs'!$J:$J, 'Data Combined - all-runs'!$A:$A, A302,'Data Combined - all-runs'!$B:$B, B302,'Data Combined - all-runs'!$C:$C, C302, 'Data Combined - all-runs'!$D:$D, D302, 'Data Combined - all-runs'!$E:$E, E302)</f>
        <v>803</v>
      </c>
      <c r="K302" s="5">
        <f>AVERAGEIFS('Data Combined - all-runs'!$K:$K, 'Data Combined - all-runs'!$A:$A, A302,'Data Combined - all-runs'!$B:$B, B302,'Data Combined - all-runs'!$C:$C, C302, 'Data Combined - all-runs'!$D:$D, D302, 'Data Combined - all-runs'!$E:$E, E302)</f>
        <v>0.2360639845</v>
      </c>
      <c r="L302" s="5">
        <f>AVERAGEIFS('Data Combined - all-runs'!$L:$L, 'Data Combined - all-runs'!$A:$A, A302,'Data Combined - all-runs'!$B:$B, B302,'Data Combined - all-runs'!$C:$C, C302, 'Data Combined - all-runs'!$D:$D, D302, 'Data Combined - all-runs'!$E:$E, E302)</f>
        <v>38112.21188</v>
      </c>
      <c r="M302" s="5">
        <f>AVERAGEIFS('Data Combined - all-runs'!$M:$M, 'Data Combined - all-runs'!$A:$A, A302,'Data Combined - all-runs'!$B:$B, B302,'Data Combined - all-runs'!$C:$C, C302, 'Data Combined - all-runs'!$D:$D, D302, 'Data Combined - all-runs'!$E:$E, E302)</f>
        <v>375</v>
      </c>
      <c r="N302" s="5">
        <f>AVERAGEIFS('Data Combined - all-runs'!$N:$N, 'Data Combined - all-runs'!$A:$A, A302,'Data Combined - all-runs'!$B:$B, B302,'Data Combined - all-runs'!$C:$C, C302, 'Data Combined - all-runs'!$D:$D, D302, 'Data Combined - all-runs'!$E:$E, E302)</f>
        <v>5</v>
      </c>
      <c r="O302" s="5">
        <f>AVERAGEIFS('Data Combined - all-runs'!$O:$O, 'Data Combined - all-runs'!$A:$A, A302,'Data Combined - all-runs'!$B:$B, B302,'Data Combined - all-runs'!$C:$C, C302, 'Data Combined - all-runs'!$D:$D, D302, 'Data Combined - all-runs'!$E:$E, E302)</f>
        <v>2063</v>
      </c>
      <c r="P302" s="5">
        <f>AVERAGEIFS('Data Combined - all-runs'!$P:$P, 'Data Combined - all-runs'!$A:$A, A302,'Data Combined - all-runs'!$B:$B, B302,'Data Combined - all-runs'!$C:$C, C302, 'Data Combined - all-runs'!$D:$D, D302, 'Data Combined - all-runs'!$E:$E, E302)</f>
        <v>2.423654872</v>
      </c>
      <c r="Q302" s="5">
        <f>AVERAGEIFS('Data Combined - all-runs'!$Q:$Q, 'Data Combined - all-runs'!$A:$A, A302,'Data Combined - all-runs'!$B:$B, B302,'Data Combined - all-runs'!$C:$C, C302, 'Data Combined - all-runs'!$D:$D, D302, 'Data Combined - all-runs'!$E:$E, E302)</f>
        <v>591.3717887</v>
      </c>
      <c r="R302" s="5">
        <f>AVERAGEIFS('Data Combined - all-runs'!$R:$R, 'Data Combined - all-runs'!$A:$A, A302,'Data Combined - all-runs'!$B:$B, B302,'Data Combined - all-runs'!$C:$C, C302, 'Data Combined - all-runs'!$D:$D, D302, 'Data Combined - all-runs'!$E:$E, E302)</f>
        <v>244</v>
      </c>
      <c r="S302" s="5">
        <f>AVERAGEIFS('Data Combined - all-runs'!$S:$S, 'Data Combined - all-runs'!$A:$A, A302,'Data Combined - all-runs'!$B:$B, B302,'Data Combined - all-runs'!$C:$C, C302, 'Data Combined - all-runs'!$D:$D, D302, 'Data Combined - all-runs'!$E:$E, E302)</f>
        <v>0.6581967213</v>
      </c>
      <c r="T302" s="5" t="str">
        <f>AVERAGEIFS('Data Combined - all-runs'!$T:$T, 'Data Combined - all-runs'!$A:$A, A302,'Data Combined - all-runs'!$B:$B, B302,'Data Combined - all-runs'!$C:$C, C302, 'Data Combined - all-runs'!$D:$D, D302, 'Data Combined - all-runs'!$E:$E, E302)</f>
        <v>#DIV/0!</v>
      </c>
      <c r="U302" s="5" t="b">
        <f t="shared" si="1"/>
        <v>1</v>
      </c>
      <c r="V302" s="5" t="b">
        <f t="shared" si="2"/>
        <v>1</v>
      </c>
      <c r="W302" s="5" t="b">
        <f t="shared" si="3"/>
        <v>1</v>
      </c>
    </row>
    <row r="303">
      <c r="A303" s="2" t="s">
        <v>33</v>
      </c>
      <c r="B303" s="2" t="s">
        <v>22</v>
      </c>
      <c r="C303" s="2" t="s">
        <v>23</v>
      </c>
      <c r="D303" s="2" t="s">
        <v>72</v>
      </c>
      <c r="E303" s="2" t="s">
        <v>39</v>
      </c>
      <c r="H303" s="5">
        <f>AVERAGEIFS('Data Combined - all-runs'!$H:$H, 'Data Combined - all-runs'!$A:$A, A303,'Data Combined - all-runs'!$B:$B, B303,'Data Combined - all-runs'!$C:$C, C303, 'Data Combined - all-runs'!$D:$D, D303, 'Data Combined - all-runs'!$E:$E, E303)</f>
        <v>1157</v>
      </c>
      <c r="I303" s="5" t="str">
        <f>AVERAGEIFS('Data Combined - all-runs'!$I:$I, 'Data Combined - all-runs'!$A:$A, A303,'Data Combined - all-runs'!$B:$B, B303,'Data Combined - all-runs'!$C:$C, C303, 'Data Combined - all-runs'!$D:$D, D303, 'Data Combined - all-runs'!$E:$E, E303)</f>
        <v>#DIV/0!</v>
      </c>
      <c r="J303" s="5">
        <f>AVERAGEIFS('Data Combined - all-runs'!$J:$J, 'Data Combined - all-runs'!$A:$A, A303,'Data Combined - all-runs'!$B:$B, B303,'Data Combined - all-runs'!$C:$C, C303, 'Data Combined - all-runs'!$D:$D, D303, 'Data Combined - all-runs'!$E:$E, E303)</f>
        <v>1045</v>
      </c>
      <c r="K303" s="5">
        <f>AVERAGEIFS('Data Combined - all-runs'!$K:$K, 'Data Combined - all-runs'!$A:$A, A303,'Data Combined - all-runs'!$B:$B, B303,'Data Combined - all-runs'!$C:$C, C303, 'Data Combined - all-runs'!$D:$D, D303, 'Data Combined - all-runs'!$E:$E, E303)</f>
        <v>0.1978926097</v>
      </c>
      <c r="L303" s="5">
        <f>AVERAGEIFS('Data Combined - all-runs'!$L:$L, 'Data Combined - all-runs'!$A:$A, A303,'Data Combined - all-runs'!$B:$B, B303,'Data Combined - all-runs'!$C:$C, C303, 'Data Combined - all-runs'!$D:$D, D303, 'Data Combined - all-runs'!$E:$E, E303)</f>
        <v>33440.6471</v>
      </c>
      <c r="M303" s="5">
        <f>AVERAGEIFS('Data Combined - all-runs'!$M:$M, 'Data Combined - all-runs'!$A:$A, A303,'Data Combined - all-runs'!$B:$B, B303,'Data Combined - all-runs'!$C:$C, C303, 'Data Combined - all-runs'!$D:$D, D303, 'Data Combined - all-runs'!$E:$E, E303)</f>
        <v>74</v>
      </c>
      <c r="N303" s="5">
        <f>AVERAGEIFS('Data Combined - all-runs'!$N:$N, 'Data Combined - all-runs'!$A:$A, A303,'Data Combined - all-runs'!$B:$B, B303,'Data Combined - all-runs'!$C:$C, C303, 'Data Combined - all-runs'!$D:$D, D303, 'Data Combined - all-runs'!$E:$E, E303)</f>
        <v>6</v>
      </c>
      <c r="O303" s="5">
        <f>AVERAGEIFS('Data Combined - all-runs'!$O:$O, 'Data Combined - all-runs'!$A:$A, A303,'Data Combined - all-runs'!$B:$B, B303,'Data Combined - all-runs'!$C:$C, C303, 'Data Combined - all-runs'!$D:$D, D303, 'Data Combined - all-runs'!$E:$E, E303)</f>
        <v>1732</v>
      </c>
      <c r="P303" s="5">
        <f>AVERAGEIFS('Data Combined - all-runs'!$P:$P, 'Data Combined - all-runs'!$A:$A, A303,'Data Combined - all-runs'!$B:$B, B303,'Data Combined - all-runs'!$C:$C, C303, 'Data Combined - all-runs'!$D:$D, D303, 'Data Combined - all-runs'!$E:$E, E303)</f>
        <v>3.464203233</v>
      </c>
      <c r="Q303" s="5">
        <f>AVERAGEIFS('Data Combined - all-runs'!$Q:$Q, 'Data Combined - all-runs'!$A:$A, A303,'Data Combined - all-runs'!$B:$B, B303,'Data Combined - all-runs'!$C:$C, C303, 'Data Combined - all-runs'!$D:$D, D303, 'Data Combined - all-runs'!$E:$E, E303)</f>
        <v>668.0138568</v>
      </c>
      <c r="R303" s="5">
        <f>AVERAGEIFS('Data Combined - all-runs'!$R:$R, 'Data Combined - all-runs'!$A:$A, A303,'Data Combined - all-runs'!$B:$B, B303,'Data Combined - all-runs'!$C:$C, C303, 'Data Combined - all-runs'!$D:$D, D303, 'Data Combined - all-runs'!$E:$E, E303)</f>
        <v>192.8333333</v>
      </c>
      <c r="S303" s="5">
        <f>AVERAGEIFS('Data Combined - all-runs'!$S:$S, 'Data Combined - all-runs'!$A:$A, A303,'Data Combined - all-runs'!$B:$B, B303,'Data Combined - all-runs'!$C:$C, C303, 'Data Combined - all-runs'!$D:$D, D303, 'Data Combined - all-runs'!$E:$E, E303)</f>
        <v>0.9031979257</v>
      </c>
      <c r="T303" s="5" t="str">
        <f>AVERAGEIFS('Data Combined - all-runs'!$T:$T, 'Data Combined - all-runs'!$A:$A, A303,'Data Combined - all-runs'!$B:$B, B303,'Data Combined - all-runs'!$C:$C, C303, 'Data Combined - all-runs'!$D:$D, D303, 'Data Combined - all-runs'!$E:$E, E303)</f>
        <v>#DIV/0!</v>
      </c>
      <c r="U303" s="5" t="b">
        <f t="shared" si="1"/>
        <v>1</v>
      </c>
      <c r="V303" s="5" t="b">
        <f t="shared" si="2"/>
        <v>1</v>
      </c>
      <c r="W303" s="5" t="b">
        <f t="shared" si="3"/>
        <v>1</v>
      </c>
    </row>
    <row r="304">
      <c r="A304" s="2" t="s">
        <v>33</v>
      </c>
      <c r="B304" s="2" t="s">
        <v>22</v>
      </c>
      <c r="C304" s="2" t="s">
        <v>23</v>
      </c>
      <c r="D304" s="2" t="s">
        <v>72</v>
      </c>
      <c r="E304" s="2" t="s">
        <v>43</v>
      </c>
      <c r="H304" s="5">
        <f>AVERAGEIFS('Data Combined - all-runs'!$H:$H, 'Data Combined - all-runs'!$A:$A, A304,'Data Combined - all-runs'!$B:$B, B304,'Data Combined - all-runs'!$C:$C, C304, 'Data Combined - all-runs'!$D:$D, D304, 'Data Combined - all-runs'!$E:$E, E304)</f>
        <v>500</v>
      </c>
      <c r="I304" s="5" t="str">
        <f>AVERAGEIFS('Data Combined - all-runs'!$I:$I, 'Data Combined - all-runs'!$A:$A, A304,'Data Combined - all-runs'!$B:$B, B304,'Data Combined - all-runs'!$C:$C, C304, 'Data Combined - all-runs'!$D:$D, D304, 'Data Combined - all-runs'!$E:$E, E304)</f>
        <v>#DIV/0!</v>
      </c>
      <c r="J304" s="5">
        <f>AVERAGEIFS('Data Combined - all-runs'!$J:$J, 'Data Combined - all-runs'!$A:$A, A304,'Data Combined - all-runs'!$B:$B, B304,'Data Combined - all-runs'!$C:$C, C304, 'Data Combined - all-runs'!$D:$D, D304, 'Data Combined - all-runs'!$E:$E, E304)</f>
        <v>2958</v>
      </c>
      <c r="K304" s="5">
        <f>AVERAGEIFS('Data Combined - all-runs'!$K:$K, 'Data Combined - all-runs'!$A:$A, A304,'Data Combined - all-runs'!$B:$B, B304,'Data Combined - all-runs'!$C:$C, C304, 'Data Combined - all-runs'!$D:$D, D304, 'Data Combined - all-runs'!$E:$E, E304)</f>
        <v>0</v>
      </c>
      <c r="L304" s="5">
        <f>AVERAGEIFS('Data Combined - all-runs'!$L:$L, 'Data Combined - all-runs'!$A:$A, A304,'Data Combined - all-runs'!$B:$B, B304,'Data Combined - all-runs'!$C:$C, C304, 'Data Combined - all-runs'!$D:$D, D304, 'Data Combined - all-runs'!$E:$E, E304)</f>
        <v>29828.94958</v>
      </c>
      <c r="M304" s="5" t="str">
        <f>AVERAGEIFS('Data Combined - all-runs'!$M:$M, 'Data Combined - all-runs'!$A:$A, A304,'Data Combined - all-runs'!$B:$B, B304,'Data Combined - all-runs'!$C:$C, C304, 'Data Combined - all-runs'!$D:$D, D304, 'Data Combined - all-runs'!$E:$E, E304)</f>
        <v>#DIV/0!</v>
      </c>
      <c r="N304" s="5">
        <f>AVERAGEIFS('Data Combined - all-runs'!$N:$N, 'Data Combined - all-runs'!$A:$A, A304,'Data Combined - all-runs'!$B:$B, B304,'Data Combined - all-runs'!$C:$C, C304, 'Data Combined - all-runs'!$D:$D, D304, 'Data Combined - all-runs'!$E:$E, E304)</f>
        <v>0</v>
      </c>
      <c r="O304" s="5">
        <f>AVERAGEIFS('Data Combined - all-runs'!$O:$O, 'Data Combined - all-runs'!$A:$A, A304,'Data Combined - all-runs'!$B:$B, B304,'Data Combined - all-runs'!$C:$C, C304, 'Data Combined - all-runs'!$D:$D, D304, 'Data Combined - all-runs'!$E:$E, E304)</f>
        <v>500</v>
      </c>
      <c r="P304" s="5">
        <f>AVERAGEIFS('Data Combined - all-runs'!$P:$P, 'Data Combined - all-runs'!$A:$A, A304,'Data Combined - all-runs'!$B:$B, B304,'Data Combined - all-runs'!$C:$C, C304, 'Data Combined - all-runs'!$D:$D, D304, 'Data Combined - all-runs'!$E:$E, E304)</f>
        <v>0</v>
      </c>
      <c r="Q304" s="5">
        <f>AVERAGEIFS('Data Combined - all-runs'!$Q:$Q, 'Data Combined - all-runs'!$A:$A, A304,'Data Combined - all-runs'!$B:$B, B304,'Data Combined - all-runs'!$C:$C, C304, 'Data Combined - all-runs'!$D:$D, D304, 'Data Combined - all-runs'!$E:$E, E304)</f>
        <v>1000</v>
      </c>
      <c r="R304" s="5" t="str">
        <f>AVERAGEIFS('Data Combined - all-runs'!$R:$R, 'Data Combined - all-runs'!$A:$A, A304,'Data Combined - all-runs'!$B:$B, B304,'Data Combined - all-runs'!$C:$C, C304, 'Data Combined - all-runs'!$D:$D, D304, 'Data Combined - all-runs'!$E:$E, E304)</f>
        <v>#DIV/0!</v>
      </c>
      <c r="S304" s="5">
        <f>AVERAGEIFS('Data Combined - all-runs'!$S:$S, 'Data Combined - all-runs'!$A:$A, A304,'Data Combined - all-runs'!$B:$B, B304,'Data Combined - all-runs'!$C:$C, C304, 'Data Combined - all-runs'!$D:$D, D304, 'Data Combined - all-runs'!$E:$E, E304)</f>
        <v>5.916</v>
      </c>
      <c r="T304" s="5" t="str">
        <f>AVERAGEIFS('Data Combined - all-runs'!$T:$T, 'Data Combined - all-runs'!$A:$A, A304,'Data Combined - all-runs'!$B:$B, B304,'Data Combined - all-runs'!$C:$C, C304, 'Data Combined - all-runs'!$D:$D, D304, 'Data Combined - all-runs'!$E:$E, E304)</f>
        <v>#DIV/0!</v>
      </c>
      <c r="U304" s="5" t="b">
        <f t="shared" si="1"/>
        <v>1</v>
      </c>
      <c r="V304" s="5" t="b">
        <f t="shared" si="2"/>
        <v>1</v>
      </c>
      <c r="W304" s="5" t="b">
        <f t="shared" si="3"/>
        <v>1</v>
      </c>
    </row>
    <row r="305">
      <c r="A305" s="2" t="s">
        <v>33</v>
      </c>
      <c r="B305" s="2" t="s">
        <v>22</v>
      </c>
      <c r="C305" s="2" t="s">
        <v>23</v>
      </c>
      <c r="D305" s="2" t="s">
        <v>72</v>
      </c>
      <c r="E305" s="2" t="s">
        <v>34</v>
      </c>
      <c r="H305" s="5">
        <f>AVERAGEIFS('Data Combined - all-runs'!$H:$H, 'Data Combined - all-runs'!$A:$A, A305,'Data Combined - all-runs'!$B:$B, B305,'Data Combined - all-runs'!$C:$C, C305, 'Data Combined - all-runs'!$D:$D, D305, 'Data Combined - all-runs'!$E:$E, E305)</f>
        <v>674</v>
      </c>
      <c r="I305" s="5" t="str">
        <f>AVERAGEIFS('Data Combined - all-runs'!$I:$I, 'Data Combined - all-runs'!$A:$A, A305,'Data Combined - all-runs'!$B:$B, B305,'Data Combined - all-runs'!$C:$C, C305, 'Data Combined - all-runs'!$D:$D, D305, 'Data Combined - all-runs'!$E:$E, E305)</f>
        <v>#DIV/0!</v>
      </c>
      <c r="J305" s="5">
        <f>AVERAGEIFS('Data Combined - all-runs'!$J:$J, 'Data Combined - all-runs'!$A:$A, A305,'Data Combined - all-runs'!$B:$B, B305,'Data Combined - all-runs'!$C:$C, C305, 'Data Combined - all-runs'!$D:$D, D305, 'Data Combined - all-runs'!$E:$E, E305)</f>
        <v>2690</v>
      </c>
      <c r="K305" s="5">
        <f>AVERAGEIFS('Data Combined - all-runs'!$K:$K, 'Data Combined - all-runs'!$A:$A, A305,'Data Combined - all-runs'!$B:$B, B305,'Data Combined - all-runs'!$C:$C, C305, 'Data Combined - all-runs'!$D:$D, D305, 'Data Combined - all-runs'!$E:$E, E305)</f>
        <v>0.2811515969</v>
      </c>
      <c r="L305" s="5">
        <f>AVERAGEIFS('Data Combined - all-runs'!$L:$L, 'Data Combined - all-runs'!$A:$A, A305,'Data Combined - all-runs'!$B:$B, B305,'Data Combined - all-runs'!$C:$C, C305, 'Data Combined - all-runs'!$D:$D, D305, 'Data Combined - all-runs'!$E:$E, E305)</f>
        <v>34329.45179</v>
      </c>
      <c r="M305" s="5">
        <f>AVERAGEIFS('Data Combined - all-runs'!$M:$M, 'Data Combined - all-runs'!$A:$A, A305,'Data Combined - all-runs'!$B:$B, B305,'Data Combined - all-runs'!$C:$C, C305, 'Data Combined - all-runs'!$D:$D, D305, 'Data Combined - all-runs'!$E:$E, E305)</f>
        <v>51</v>
      </c>
      <c r="N305" s="5">
        <f>AVERAGEIFS('Data Combined - all-runs'!$N:$N, 'Data Combined - all-runs'!$A:$A, A305,'Data Combined - all-runs'!$B:$B, B305,'Data Combined - all-runs'!$C:$C, C305, 'Data Combined - all-runs'!$D:$D, D305, 'Data Combined - all-runs'!$E:$E, E305)</f>
        <v>2</v>
      </c>
      <c r="O305" s="5">
        <f>AVERAGEIFS('Data Combined - all-runs'!$O:$O, 'Data Combined - all-runs'!$A:$A, A305,'Data Combined - all-runs'!$B:$B, B305,'Data Combined - all-runs'!$C:$C, C305, 'Data Combined - all-runs'!$D:$D, D305, 'Data Combined - all-runs'!$E:$E, E305)</f>
        <v>741</v>
      </c>
      <c r="P305" s="5">
        <f>AVERAGEIFS('Data Combined - all-runs'!$P:$P, 'Data Combined - all-runs'!$A:$A, A305,'Data Combined - all-runs'!$B:$B, B305,'Data Combined - all-runs'!$C:$C, C305, 'Data Combined - all-runs'!$D:$D, D305, 'Data Combined - all-runs'!$E:$E, E305)</f>
        <v>2.699055331</v>
      </c>
      <c r="Q305" s="5">
        <f>AVERAGEIFS('Data Combined - all-runs'!$Q:$Q, 'Data Combined - all-runs'!$A:$A, A305,'Data Combined - all-runs'!$B:$B, B305,'Data Combined - all-runs'!$C:$C, C305, 'Data Combined - all-runs'!$D:$D, D305, 'Data Combined - all-runs'!$E:$E, E305)</f>
        <v>909.5816464</v>
      </c>
      <c r="R305" s="5">
        <f>AVERAGEIFS('Data Combined - all-runs'!$R:$R, 'Data Combined - all-runs'!$A:$A, A305,'Data Combined - all-runs'!$B:$B, B305,'Data Combined - all-runs'!$C:$C, C305, 'Data Combined - all-runs'!$D:$D, D305, 'Data Combined - all-runs'!$E:$E, E305)</f>
        <v>337</v>
      </c>
      <c r="S305" s="5">
        <f>AVERAGEIFS('Data Combined - all-runs'!$S:$S, 'Data Combined - all-runs'!$A:$A, A305,'Data Combined - all-runs'!$B:$B, B305,'Data Combined - all-runs'!$C:$C, C305, 'Data Combined - all-runs'!$D:$D, D305, 'Data Combined - all-runs'!$E:$E, E305)</f>
        <v>3.991097923</v>
      </c>
      <c r="T305" s="5" t="str">
        <f>AVERAGEIFS('Data Combined - all-runs'!$T:$T, 'Data Combined - all-runs'!$A:$A, A305,'Data Combined - all-runs'!$B:$B, B305,'Data Combined - all-runs'!$C:$C, C305, 'Data Combined - all-runs'!$D:$D, D305, 'Data Combined - all-runs'!$E:$E, E305)</f>
        <v>#DIV/0!</v>
      </c>
      <c r="U305" s="5" t="b">
        <f t="shared" si="1"/>
        <v>1</v>
      </c>
      <c r="V305" s="5" t="b">
        <f t="shared" si="2"/>
        <v>1</v>
      </c>
      <c r="W305" s="5" t="b">
        <f t="shared" si="3"/>
        <v>1</v>
      </c>
    </row>
    <row r="306">
      <c r="A306" s="2" t="s">
        <v>33</v>
      </c>
      <c r="B306" s="2" t="s">
        <v>22</v>
      </c>
      <c r="C306" s="2" t="s">
        <v>23</v>
      </c>
      <c r="D306" s="2" t="s">
        <v>72</v>
      </c>
      <c r="E306" s="2" t="s">
        <v>47</v>
      </c>
      <c r="H306" s="5">
        <f>AVERAGEIFS('Data Combined - all-runs'!$H:$H, 'Data Combined - all-runs'!$A:$A, A306,'Data Combined - all-runs'!$B:$B, B306,'Data Combined - all-runs'!$C:$C, C306, 'Data Combined - all-runs'!$D:$D, D306, 'Data Combined - all-runs'!$E:$E, E306)</f>
        <v>690</v>
      </c>
      <c r="I306" s="5" t="str">
        <f>AVERAGEIFS('Data Combined - all-runs'!$I:$I, 'Data Combined - all-runs'!$A:$A, A306,'Data Combined - all-runs'!$B:$B, B306,'Data Combined - all-runs'!$C:$C, C306, 'Data Combined - all-runs'!$D:$D, D306, 'Data Combined - all-runs'!$E:$E, E306)</f>
        <v>#DIV/0!</v>
      </c>
      <c r="J306" s="5">
        <f>AVERAGEIFS('Data Combined - all-runs'!$J:$J, 'Data Combined - all-runs'!$A:$A, A306,'Data Combined - all-runs'!$B:$B, B306,'Data Combined - all-runs'!$C:$C, C306, 'Data Combined - all-runs'!$D:$D, D306, 'Data Combined - all-runs'!$E:$E, E306)</f>
        <v>4323</v>
      </c>
      <c r="K306" s="5">
        <f>AVERAGEIFS('Data Combined - all-runs'!$K:$K, 'Data Combined - all-runs'!$A:$A, A306,'Data Combined - all-runs'!$B:$B, B306,'Data Combined - all-runs'!$C:$C, C306, 'Data Combined - all-runs'!$D:$D, D306, 'Data Combined - all-runs'!$E:$E, E306)</f>
        <v>0.1385832187</v>
      </c>
      <c r="L306" s="5">
        <f>AVERAGEIFS('Data Combined - all-runs'!$L:$L, 'Data Combined - all-runs'!$A:$A, A306,'Data Combined - all-runs'!$B:$B, B306,'Data Combined - all-runs'!$C:$C, C306, 'Data Combined - all-runs'!$D:$D, D306, 'Data Combined - all-runs'!$E:$E, E306)</f>
        <v>39976.01807</v>
      </c>
      <c r="M306" s="5">
        <f>AVERAGEIFS('Data Combined - all-runs'!$M:$M, 'Data Combined - all-runs'!$A:$A, A306,'Data Combined - all-runs'!$B:$B, B306,'Data Combined - all-runs'!$C:$C, C306, 'Data Combined - all-runs'!$D:$D, D306, 'Data Combined - all-runs'!$E:$E, E306)</f>
        <v>227</v>
      </c>
      <c r="N306" s="5">
        <f>AVERAGEIFS('Data Combined - all-runs'!$N:$N, 'Data Combined - all-runs'!$A:$A, A306,'Data Combined - all-runs'!$B:$B, B306,'Data Combined - all-runs'!$C:$C, C306, 'Data Combined - all-runs'!$D:$D, D306, 'Data Combined - all-runs'!$E:$E, E306)</f>
        <v>1</v>
      </c>
      <c r="O306" s="5">
        <f>AVERAGEIFS('Data Combined - all-runs'!$O:$O, 'Data Combined - all-runs'!$A:$A, A306,'Data Combined - all-runs'!$B:$B, B306,'Data Combined - all-runs'!$C:$C, C306, 'Data Combined - all-runs'!$D:$D, D306, 'Data Combined - all-runs'!$E:$E, E306)</f>
        <v>727</v>
      </c>
      <c r="P306" s="5">
        <f>AVERAGEIFS('Data Combined - all-runs'!$P:$P, 'Data Combined - all-runs'!$A:$A, A306,'Data Combined - all-runs'!$B:$B, B306,'Data Combined - all-runs'!$C:$C, C306, 'Data Combined - all-runs'!$D:$D, D306, 'Data Combined - all-runs'!$E:$E, E306)</f>
        <v>1.375515818</v>
      </c>
      <c r="Q306" s="5">
        <f>AVERAGEIFS('Data Combined - all-runs'!$Q:$Q, 'Data Combined - all-runs'!$A:$A, A306,'Data Combined - all-runs'!$B:$B, B306,'Data Combined - all-runs'!$C:$C, C306, 'Data Combined - all-runs'!$D:$D, D306, 'Data Combined - all-runs'!$E:$E, E306)</f>
        <v>949.1059147</v>
      </c>
      <c r="R306" s="5">
        <f>AVERAGEIFS('Data Combined - all-runs'!$R:$R, 'Data Combined - all-runs'!$A:$A, A306,'Data Combined - all-runs'!$B:$B, B306,'Data Combined - all-runs'!$C:$C, C306, 'Data Combined - all-runs'!$D:$D, D306, 'Data Combined - all-runs'!$E:$E, E306)</f>
        <v>690</v>
      </c>
      <c r="S306" s="5">
        <f>AVERAGEIFS('Data Combined - all-runs'!$S:$S, 'Data Combined - all-runs'!$A:$A, A306,'Data Combined - all-runs'!$B:$B, B306,'Data Combined - all-runs'!$C:$C, C306, 'Data Combined - all-runs'!$D:$D, D306, 'Data Combined - all-runs'!$E:$E, E306)</f>
        <v>6.265217391</v>
      </c>
      <c r="T306" s="5" t="str">
        <f>AVERAGEIFS('Data Combined - all-runs'!$T:$T, 'Data Combined - all-runs'!$A:$A, A306,'Data Combined - all-runs'!$B:$B, B306,'Data Combined - all-runs'!$C:$C, C306, 'Data Combined - all-runs'!$D:$D, D306, 'Data Combined - all-runs'!$E:$E, E306)</f>
        <v>#DIV/0!</v>
      </c>
      <c r="U306" s="5" t="b">
        <f t="shared" si="1"/>
        <v>1</v>
      </c>
      <c r="V306" s="5" t="b">
        <f t="shared" si="2"/>
        <v>1</v>
      </c>
      <c r="W306" s="5" t="b">
        <f t="shared" si="3"/>
        <v>1</v>
      </c>
    </row>
    <row r="307">
      <c r="A307" s="2" t="s">
        <v>33</v>
      </c>
      <c r="B307" s="2" t="s">
        <v>22</v>
      </c>
      <c r="C307" s="2" t="s">
        <v>23</v>
      </c>
      <c r="D307" s="2" t="s">
        <v>72</v>
      </c>
      <c r="E307" s="2" t="s">
        <v>51</v>
      </c>
      <c r="H307" s="5">
        <f>AVERAGEIFS('Data Combined - all-runs'!$H:$H, 'Data Combined - all-runs'!$A:$A, A307,'Data Combined - all-runs'!$B:$B, B307,'Data Combined - all-runs'!$C:$C, C307, 'Data Combined - all-runs'!$D:$D, D307, 'Data Combined - all-runs'!$E:$E, E307)</f>
        <v>623</v>
      </c>
      <c r="I307" s="5" t="str">
        <f>AVERAGEIFS('Data Combined - all-runs'!$I:$I, 'Data Combined - all-runs'!$A:$A, A307,'Data Combined - all-runs'!$B:$B, B307,'Data Combined - all-runs'!$C:$C, C307, 'Data Combined - all-runs'!$D:$D, D307, 'Data Combined - all-runs'!$E:$E, E307)</f>
        <v>#DIV/0!</v>
      </c>
      <c r="J307" s="5">
        <f>AVERAGEIFS('Data Combined - all-runs'!$J:$J, 'Data Combined - all-runs'!$A:$A, A307,'Data Combined - all-runs'!$B:$B, B307,'Data Combined - all-runs'!$C:$C, C307, 'Data Combined - all-runs'!$D:$D, D307, 'Data Combined - all-runs'!$E:$E, E307)</f>
        <v>3842</v>
      </c>
      <c r="K307" s="5">
        <f>AVERAGEIFS('Data Combined - all-runs'!$K:$K, 'Data Combined - all-runs'!$A:$A, A307,'Data Combined - all-runs'!$B:$B, B307,'Data Combined - all-runs'!$C:$C, C307, 'Data Combined - all-runs'!$D:$D, D307, 'Data Combined - all-runs'!$E:$E, E307)</f>
        <v>0.09698932927</v>
      </c>
      <c r="L307" s="5">
        <f>AVERAGEIFS('Data Combined - all-runs'!$L:$L, 'Data Combined - all-runs'!$A:$A, A307,'Data Combined - all-runs'!$B:$B, B307,'Data Combined - all-runs'!$C:$C, C307, 'Data Combined - all-runs'!$D:$D, D307, 'Data Combined - all-runs'!$E:$E, E307)</f>
        <v>35785.42431</v>
      </c>
      <c r="M307" s="5">
        <f>AVERAGEIFS('Data Combined - all-runs'!$M:$M, 'Data Combined - all-runs'!$A:$A, A307,'Data Combined - all-runs'!$B:$B, B307,'Data Combined - all-runs'!$C:$C, C307, 'Data Combined - all-runs'!$D:$D, D307, 'Data Combined - all-runs'!$E:$E, E307)</f>
        <v>76</v>
      </c>
      <c r="N307" s="5">
        <f>AVERAGEIFS('Data Combined - all-runs'!$N:$N, 'Data Combined - all-runs'!$A:$A, A307,'Data Combined - all-runs'!$B:$B, B307,'Data Combined - all-runs'!$C:$C, C307, 'Data Combined - all-runs'!$D:$D, D307, 'Data Combined - all-runs'!$E:$E, E307)</f>
        <v>3</v>
      </c>
      <c r="O307" s="5">
        <f>AVERAGEIFS('Data Combined - all-runs'!$O:$O, 'Data Combined - all-runs'!$A:$A, A307,'Data Combined - all-runs'!$B:$B, B307,'Data Combined - all-runs'!$C:$C, C307, 'Data Combined - all-runs'!$D:$D, D307, 'Data Combined - all-runs'!$E:$E, E307)</f>
        <v>656</v>
      </c>
      <c r="P307" s="5">
        <f>AVERAGEIFS('Data Combined - all-runs'!$P:$P, 'Data Combined - all-runs'!$A:$A, A307,'Data Combined - all-runs'!$B:$B, B307,'Data Combined - all-runs'!$C:$C, C307, 'Data Combined - all-runs'!$D:$D, D307, 'Data Combined - all-runs'!$E:$E, E307)</f>
        <v>4.573170732</v>
      </c>
      <c r="Q307" s="5">
        <f>AVERAGEIFS('Data Combined - all-runs'!$Q:$Q, 'Data Combined - all-runs'!$A:$A, A307,'Data Combined - all-runs'!$B:$B, B307,'Data Combined - all-runs'!$C:$C, C307, 'Data Combined - all-runs'!$D:$D, D307, 'Data Combined - all-runs'!$E:$E, E307)</f>
        <v>949.695122</v>
      </c>
      <c r="R307" s="5">
        <f>AVERAGEIFS('Data Combined - all-runs'!$R:$R, 'Data Combined - all-runs'!$A:$A, A307,'Data Combined - all-runs'!$B:$B, B307,'Data Combined - all-runs'!$C:$C, C307, 'Data Combined - all-runs'!$D:$D, D307, 'Data Combined - all-runs'!$E:$E, E307)</f>
        <v>207.6666667</v>
      </c>
      <c r="S307" s="5">
        <f>AVERAGEIFS('Data Combined - all-runs'!$S:$S, 'Data Combined - all-runs'!$A:$A, A307,'Data Combined - all-runs'!$B:$B, B307,'Data Combined - all-runs'!$C:$C, C307, 'Data Combined - all-runs'!$D:$D, D307, 'Data Combined - all-runs'!$E:$E, E307)</f>
        <v>6.166934189</v>
      </c>
      <c r="T307" s="5" t="str">
        <f>AVERAGEIFS('Data Combined - all-runs'!$T:$T, 'Data Combined - all-runs'!$A:$A, A307,'Data Combined - all-runs'!$B:$B, B307,'Data Combined - all-runs'!$C:$C, C307, 'Data Combined - all-runs'!$D:$D, D307, 'Data Combined - all-runs'!$E:$E, E307)</f>
        <v>#DIV/0!</v>
      </c>
      <c r="U307" s="5" t="b">
        <f t="shared" si="1"/>
        <v>1</v>
      </c>
      <c r="V307" s="5" t="b">
        <f t="shared" si="2"/>
        <v>1</v>
      </c>
      <c r="W307" s="5" t="b">
        <f t="shared" si="3"/>
        <v>1</v>
      </c>
    </row>
    <row r="308">
      <c r="A308" s="2" t="s">
        <v>33</v>
      </c>
      <c r="B308" s="2" t="s">
        <v>22</v>
      </c>
      <c r="C308" s="2" t="s">
        <v>23</v>
      </c>
      <c r="D308" s="2" t="s">
        <v>64</v>
      </c>
      <c r="E308" s="2" t="s">
        <v>25</v>
      </c>
      <c r="H308" s="5">
        <f>AVERAGEIFS('Data Combined - all-runs'!$H:$H, 'Data Combined - all-runs'!$A:$A, A308,'Data Combined - all-runs'!$B:$B, B308,'Data Combined - all-runs'!$C:$C, C308, 'Data Combined - all-runs'!$D:$D, D308, 'Data Combined - all-runs'!$E:$E, E308)</f>
        <v>195</v>
      </c>
      <c r="I308" s="5">
        <f>AVERAGEIFS('Data Combined - all-runs'!$I:$I, 'Data Combined - all-runs'!$A:$A, A308,'Data Combined - all-runs'!$B:$B, B308,'Data Combined - all-runs'!$C:$C, C308, 'Data Combined - all-runs'!$D:$D, D308, 'Data Combined - all-runs'!$E:$E, E308)</f>
        <v>0</v>
      </c>
      <c r="J308" s="5">
        <f>AVERAGEIFS('Data Combined - all-runs'!$J:$J, 'Data Combined - all-runs'!$A:$A, A308,'Data Combined - all-runs'!$B:$B, B308,'Data Combined - all-runs'!$C:$C, C308, 'Data Combined - all-runs'!$D:$D, D308, 'Data Combined - all-runs'!$E:$E, E308)</f>
        <v>0</v>
      </c>
      <c r="K308" s="5">
        <f>AVERAGEIFS('Data Combined - all-runs'!$K:$K, 'Data Combined - all-runs'!$A:$A, A308,'Data Combined - all-runs'!$B:$B, B308,'Data Combined - all-runs'!$C:$C, C308, 'Data Combined - all-runs'!$D:$D, D308, 'Data Combined - all-runs'!$E:$E, E308)</f>
        <v>0.1384615385</v>
      </c>
      <c r="L308" s="5">
        <f>AVERAGEIFS('Data Combined - all-runs'!$L:$L, 'Data Combined - all-runs'!$A:$A, A308,'Data Combined - all-runs'!$B:$B, B308,'Data Combined - all-runs'!$C:$C, C308, 'Data Combined - all-runs'!$D:$D, D308, 'Data Combined - all-runs'!$E:$E, E308)</f>
        <v>936.5191092</v>
      </c>
      <c r="M308" s="5">
        <f>AVERAGEIFS('Data Combined - all-runs'!$M:$M, 'Data Combined - all-runs'!$A:$A, A308,'Data Combined - all-runs'!$B:$B, B308,'Data Combined - all-runs'!$C:$C, C308, 'Data Combined - all-runs'!$D:$D, D308, 'Data Combined - all-runs'!$E:$E, E308)</f>
        <v>61</v>
      </c>
      <c r="N308" s="5">
        <f>AVERAGEIFS('Data Combined - all-runs'!$N:$N, 'Data Combined - all-runs'!$A:$A, A308,'Data Combined - all-runs'!$B:$B, B308,'Data Combined - all-runs'!$C:$C, C308, 'Data Combined - all-runs'!$D:$D, D308, 'Data Combined - all-runs'!$E:$E, E308)</f>
        <v>3</v>
      </c>
      <c r="O308" s="5">
        <f>AVERAGEIFS('Data Combined - all-runs'!$O:$O, 'Data Combined - all-runs'!$A:$A, A308,'Data Combined - all-runs'!$B:$B, B308,'Data Combined - all-runs'!$C:$C, C308, 'Data Combined - all-runs'!$D:$D, D308, 'Data Combined - all-runs'!$E:$E, E308)</f>
        <v>715</v>
      </c>
      <c r="P308" s="5">
        <f>AVERAGEIFS('Data Combined - all-runs'!$P:$P, 'Data Combined - all-runs'!$A:$A, A308,'Data Combined - all-runs'!$B:$B, B308,'Data Combined - all-runs'!$C:$C, C308, 'Data Combined - all-runs'!$D:$D, D308, 'Data Combined - all-runs'!$E:$E, E308)</f>
        <v>4.195804196</v>
      </c>
      <c r="Q308" s="5">
        <f>AVERAGEIFS('Data Combined - all-runs'!$Q:$Q, 'Data Combined - all-runs'!$A:$A, A308,'Data Combined - all-runs'!$B:$B, B308,'Data Combined - all-runs'!$C:$C, C308, 'Data Combined - all-runs'!$D:$D, D308, 'Data Combined - all-runs'!$E:$E, E308)</f>
        <v>272.7272727</v>
      </c>
      <c r="R308" s="5">
        <f>AVERAGEIFS('Data Combined - all-runs'!$R:$R, 'Data Combined - all-runs'!$A:$A, A308,'Data Combined - all-runs'!$B:$B, B308,'Data Combined - all-runs'!$C:$C, C308, 'Data Combined - all-runs'!$D:$D, D308, 'Data Combined - all-runs'!$E:$E, E308)</f>
        <v>65</v>
      </c>
      <c r="S308" s="5">
        <f>AVERAGEIFS('Data Combined - all-runs'!$S:$S, 'Data Combined - all-runs'!$A:$A, A308,'Data Combined - all-runs'!$B:$B, B308,'Data Combined - all-runs'!$C:$C, C308, 'Data Combined - all-runs'!$D:$D, D308, 'Data Combined - all-runs'!$E:$E, E308)</f>
        <v>0</v>
      </c>
      <c r="T308" s="5">
        <f>AVERAGEIFS('Data Combined - all-runs'!$T:$T, 'Data Combined - all-runs'!$A:$A, A308,'Data Combined - all-runs'!$B:$B, B308,'Data Combined - all-runs'!$C:$C, C308, 'Data Combined - all-runs'!$D:$D, D308, 'Data Combined - all-runs'!$E:$E, E308)</f>
        <v>0</v>
      </c>
      <c r="U308" s="5" t="b">
        <f t="shared" si="1"/>
        <v>1</v>
      </c>
      <c r="V308" s="5" t="b">
        <f t="shared" si="2"/>
        <v>1</v>
      </c>
      <c r="W308" s="5" t="b">
        <f t="shared" si="3"/>
        <v>1</v>
      </c>
    </row>
    <row r="309">
      <c r="A309" s="2" t="s">
        <v>33</v>
      </c>
      <c r="B309" s="2" t="s">
        <v>22</v>
      </c>
      <c r="C309" s="2" t="s">
        <v>23</v>
      </c>
      <c r="D309" s="2" t="s">
        <v>64</v>
      </c>
      <c r="E309" s="2" t="s">
        <v>39</v>
      </c>
      <c r="H309" s="5">
        <f>AVERAGEIFS('Data Combined - all-runs'!$H:$H, 'Data Combined - all-runs'!$A:$A, A309,'Data Combined - all-runs'!$B:$B, B309,'Data Combined - all-runs'!$C:$C, C309, 'Data Combined - all-runs'!$D:$D, D309, 'Data Combined - all-runs'!$E:$E, E309)</f>
        <v>957</v>
      </c>
      <c r="I309" s="5">
        <f>AVERAGEIFS('Data Combined - all-runs'!$I:$I, 'Data Combined - all-runs'!$A:$A, A309,'Data Combined - all-runs'!$B:$B, B309,'Data Combined - all-runs'!$C:$C, C309, 'Data Combined - all-runs'!$D:$D, D309, 'Data Combined - all-runs'!$E:$E, E309)</f>
        <v>0</v>
      </c>
      <c r="J309" s="5">
        <f>AVERAGEIFS('Data Combined - all-runs'!$J:$J, 'Data Combined - all-runs'!$A:$A, A309,'Data Combined - all-runs'!$B:$B, B309,'Data Combined - all-runs'!$C:$C, C309, 'Data Combined - all-runs'!$D:$D, D309, 'Data Combined - all-runs'!$E:$E, E309)</f>
        <v>0</v>
      </c>
      <c r="K309" s="5">
        <f>AVERAGEIFS('Data Combined - all-runs'!$K:$K, 'Data Combined - all-runs'!$A:$A, A309,'Data Combined - all-runs'!$B:$B, B309,'Data Combined - all-runs'!$C:$C, C309, 'Data Combined - all-runs'!$D:$D, D309, 'Data Combined - all-runs'!$E:$E, E309)</f>
        <v>0.108858528</v>
      </c>
      <c r="L309" s="5">
        <f>AVERAGEIFS('Data Combined - all-runs'!$L:$L, 'Data Combined - all-runs'!$A:$A, A309,'Data Combined - all-runs'!$B:$B, B309,'Data Combined - all-runs'!$C:$C, C309, 'Data Combined - all-runs'!$D:$D, D309, 'Data Combined - all-runs'!$E:$E, E309)</f>
        <v>4987.982496</v>
      </c>
      <c r="M309" s="5">
        <f>AVERAGEIFS('Data Combined - all-runs'!$M:$M, 'Data Combined - all-runs'!$A:$A, A309,'Data Combined - all-runs'!$B:$B, B309,'Data Combined - all-runs'!$C:$C, C309, 'Data Combined - all-runs'!$D:$D, D309, 'Data Combined - all-runs'!$E:$E, E309)</f>
        <v>152</v>
      </c>
      <c r="N309" s="5">
        <f>AVERAGEIFS('Data Combined - all-runs'!$N:$N, 'Data Combined - all-runs'!$A:$A, A309,'Data Combined - all-runs'!$B:$B, B309,'Data Combined - all-runs'!$C:$C, C309, 'Data Combined - all-runs'!$D:$D, D309, 'Data Combined - all-runs'!$E:$E, E309)</f>
        <v>8</v>
      </c>
      <c r="O309" s="5">
        <f>AVERAGEIFS('Data Combined - all-runs'!$O:$O, 'Data Combined - all-runs'!$A:$A, A309,'Data Combined - all-runs'!$B:$B, B309,'Data Combined - all-runs'!$C:$C, C309, 'Data Combined - all-runs'!$D:$D, D309, 'Data Combined - all-runs'!$E:$E, E309)</f>
        <v>2269</v>
      </c>
      <c r="P309" s="5">
        <f>AVERAGEIFS('Data Combined - all-runs'!$P:$P, 'Data Combined - all-runs'!$A:$A, A309,'Data Combined - all-runs'!$B:$B, B309,'Data Combined - all-runs'!$C:$C, C309, 'Data Combined - all-runs'!$D:$D, D309, 'Data Combined - all-runs'!$E:$E, E309)</f>
        <v>3.525782283</v>
      </c>
      <c r="Q309" s="5">
        <f>AVERAGEIFS('Data Combined - all-runs'!$Q:$Q, 'Data Combined - all-runs'!$A:$A, A309,'Data Combined - all-runs'!$B:$B, B309,'Data Combined - all-runs'!$C:$C, C309, 'Data Combined - all-runs'!$D:$D, D309, 'Data Combined - all-runs'!$E:$E, E309)</f>
        <v>421.7717056</v>
      </c>
      <c r="R309" s="5">
        <f>AVERAGEIFS('Data Combined - all-runs'!$R:$R, 'Data Combined - all-runs'!$A:$A, A309,'Data Combined - all-runs'!$B:$B, B309,'Data Combined - all-runs'!$C:$C, C309, 'Data Combined - all-runs'!$D:$D, D309, 'Data Combined - all-runs'!$E:$E, E309)</f>
        <v>119.625</v>
      </c>
      <c r="S309" s="5">
        <f>AVERAGEIFS('Data Combined - all-runs'!$S:$S, 'Data Combined - all-runs'!$A:$A, A309,'Data Combined - all-runs'!$B:$B, B309,'Data Combined - all-runs'!$C:$C, C309, 'Data Combined - all-runs'!$D:$D, D309, 'Data Combined - all-runs'!$E:$E, E309)</f>
        <v>0</v>
      </c>
      <c r="T309" s="5">
        <f>AVERAGEIFS('Data Combined - all-runs'!$T:$T, 'Data Combined - all-runs'!$A:$A, A309,'Data Combined - all-runs'!$B:$B, B309,'Data Combined - all-runs'!$C:$C, C309, 'Data Combined - all-runs'!$D:$D, D309, 'Data Combined - all-runs'!$E:$E, E309)</f>
        <v>0</v>
      </c>
      <c r="U309" s="5" t="b">
        <f t="shared" si="1"/>
        <v>1</v>
      </c>
      <c r="V309" s="5" t="b">
        <f t="shared" si="2"/>
        <v>1</v>
      </c>
      <c r="W309" s="5" t="b">
        <f t="shared" si="3"/>
        <v>1</v>
      </c>
    </row>
    <row r="310">
      <c r="A310" s="2" t="s">
        <v>33</v>
      </c>
      <c r="B310" s="2" t="s">
        <v>22</v>
      </c>
      <c r="C310" s="2" t="s">
        <v>23</v>
      </c>
      <c r="D310" s="2" t="s">
        <v>64</v>
      </c>
      <c r="E310" s="2" t="s">
        <v>43</v>
      </c>
      <c r="H310" s="5">
        <f>AVERAGEIFS('Data Combined - all-runs'!$H:$H, 'Data Combined - all-runs'!$A:$A, A310,'Data Combined - all-runs'!$B:$B, B310,'Data Combined - all-runs'!$C:$C, C310, 'Data Combined - all-runs'!$D:$D, D310, 'Data Combined - all-runs'!$E:$E, E310)</f>
        <v>564</v>
      </c>
      <c r="I310" s="5">
        <f>AVERAGEIFS('Data Combined - all-runs'!$I:$I, 'Data Combined - all-runs'!$A:$A, A310,'Data Combined - all-runs'!$B:$B, B310,'Data Combined - all-runs'!$C:$C, C310, 'Data Combined - all-runs'!$D:$D, D310, 'Data Combined - all-runs'!$E:$E, E310)</f>
        <v>0</v>
      </c>
      <c r="J310" s="5">
        <f>AVERAGEIFS('Data Combined - all-runs'!$J:$J, 'Data Combined - all-runs'!$A:$A, A310,'Data Combined - all-runs'!$B:$B, B310,'Data Combined - all-runs'!$C:$C, C310, 'Data Combined - all-runs'!$D:$D, D310, 'Data Combined - all-runs'!$E:$E, E310)</f>
        <v>0</v>
      </c>
      <c r="K310" s="5">
        <f>AVERAGEIFS('Data Combined - all-runs'!$K:$K, 'Data Combined - all-runs'!$A:$A, A310,'Data Combined - all-runs'!$B:$B, B310,'Data Combined - all-runs'!$C:$C, C310, 'Data Combined - all-runs'!$D:$D, D310, 'Data Combined - all-runs'!$E:$E, E310)</f>
        <v>0.1099214847</v>
      </c>
      <c r="L310" s="5">
        <f>AVERAGEIFS('Data Combined - all-runs'!$L:$L, 'Data Combined - all-runs'!$A:$A, A310,'Data Combined - all-runs'!$B:$B, B310,'Data Combined - all-runs'!$C:$C, C310, 'Data Combined - all-runs'!$D:$D, D310, 'Data Combined - all-runs'!$E:$E, E310)</f>
        <v>3683.975064</v>
      </c>
      <c r="M310" s="5">
        <f>AVERAGEIFS('Data Combined - all-runs'!$M:$M, 'Data Combined - all-runs'!$A:$A, A310,'Data Combined - all-runs'!$B:$B, B310,'Data Combined - all-runs'!$C:$C, C310, 'Data Combined - all-runs'!$D:$D, D310, 'Data Combined - all-runs'!$E:$E, E310)</f>
        <v>93</v>
      </c>
      <c r="N310" s="5">
        <f>AVERAGEIFS('Data Combined - all-runs'!$N:$N, 'Data Combined - all-runs'!$A:$A, A310,'Data Combined - all-runs'!$B:$B, B310,'Data Combined - all-runs'!$C:$C, C310, 'Data Combined - all-runs'!$D:$D, D310, 'Data Combined - all-runs'!$E:$E, E310)</f>
        <v>9</v>
      </c>
      <c r="O310" s="5">
        <f>AVERAGEIFS('Data Combined - all-runs'!$O:$O, 'Data Combined - all-runs'!$A:$A, A310,'Data Combined - all-runs'!$B:$B, B310,'Data Combined - all-runs'!$C:$C, C310, 'Data Combined - all-runs'!$D:$D, D310, 'Data Combined - all-runs'!$E:$E, E310)</f>
        <v>934</v>
      </c>
      <c r="P310" s="5">
        <f>AVERAGEIFS('Data Combined - all-runs'!$P:$P, 'Data Combined - all-runs'!$A:$A, A310,'Data Combined - all-runs'!$B:$B, B310,'Data Combined - all-runs'!$C:$C, C310, 'Data Combined - all-runs'!$D:$D, D310, 'Data Combined - all-runs'!$E:$E, E310)</f>
        <v>9.635974304</v>
      </c>
      <c r="Q310" s="5">
        <f>AVERAGEIFS('Data Combined - all-runs'!$Q:$Q, 'Data Combined - all-runs'!$A:$A, A310,'Data Combined - all-runs'!$B:$B, B310,'Data Combined - all-runs'!$C:$C, C310, 'Data Combined - all-runs'!$D:$D, D310, 'Data Combined - all-runs'!$E:$E, E310)</f>
        <v>603.8543897</v>
      </c>
      <c r="R310" s="5">
        <f>AVERAGEIFS('Data Combined - all-runs'!$R:$R, 'Data Combined - all-runs'!$A:$A, A310,'Data Combined - all-runs'!$B:$B, B310,'Data Combined - all-runs'!$C:$C, C310, 'Data Combined - all-runs'!$D:$D, D310, 'Data Combined - all-runs'!$E:$E, E310)</f>
        <v>62.66666667</v>
      </c>
      <c r="S310" s="5">
        <f>AVERAGEIFS('Data Combined - all-runs'!$S:$S, 'Data Combined - all-runs'!$A:$A, A310,'Data Combined - all-runs'!$B:$B, B310,'Data Combined - all-runs'!$C:$C, C310, 'Data Combined - all-runs'!$D:$D, D310, 'Data Combined - all-runs'!$E:$E, E310)</f>
        <v>0</v>
      </c>
      <c r="T310" s="5">
        <f>AVERAGEIFS('Data Combined - all-runs'!$T:$T, 'Data Combined - all-runs'!$A:$A, A310,'Data Combined - all-runs'!$B:$B, B310,'Data Combined - all-runs'!$C:$C, C310, 'Data Combined - all-runs'!$D:$D, D310, 'Data Combined - all-runs'!$E:$E, E310)</f>
        <v>0</v>
      </c>
      <c r="U310" s="5" t="b">
        <f t="shared" si="1"/>
        <v>1</v>
      </c>
      <c r="V310" s="5" t="b">
        <f t="shared" si="2"/>
        <v>1</v>
      </c>
      <c r="W310" s="5" t="b">
        <f t="shared" si="3"/>
        <v>1</v>
      </c>
    </row>
    <row r="311">
      <c r="A311" s="2" t="s">
        <v>33</v>
      </c>
      <c r="B311" s="2" t="s">
        <v>22</v>
      </c>
      <c r="C311" s="2" t="s">
        <v>23</v>
      </c>
      <c r="D311" s="2" t="s">
        <v>64</v>
      </c>
      <c r="E311" s="2" t="s">
        <v>34</v>
      </c>
      <c r="H311" s="5">
        <f>AVERAGEIFS('Data Combined - all-runs'!$H:$H, 'Data Combined - all-runs'!$A:$A, A311,'Data Combined - all-runs'!$B:$B, B311,'Data Combined - all-runs'!$C:$C, C311, 'Data Combined - all-runs'!$D:$D, D311, 'Data Combined - all-runs'!$E:$E, E311)</f>
        <v>1216</v>
      </c>
      <c r="I311" s="5">
        <f>AVERAGEIFS('Data Combined - all-runs'!$I:$I, 'Data Combined - all-runs'!$A:$A, A311,'Data Combined - all-runs'!$B:$B, B311,'Data Combined - all-runs'!$C:$C, C311, 'Data Combined - all-runs'!$D:$D, D311, 'Data Combined - all-runs'!$E:$E, E311)</f>
        <v>0</v>
      </c>
      <c r="J311" s="5">
        <f>AVERAGEIFS('Data Combined - all-runs'!$J:$J, 'Data Combined - all-runs'!$A:$A, A311,'Data Combined - all-runs'!$B:$B, B311,'Data Combined - all-runs'!$C:$C, C311, 'Data Combined - all-runs'!$D:$D, D311, 'Data Combined - all-runs'!$E:$E, E311)</f>
        <v>0</v>
      </c>
      <c r="K311" s="5">
        <f>AVERAGEIFS('Data Combined - all-runs'!$K:$K, 'Data Combined - all-runs'!$A:$A, A311,'Data Combined - all-runs'!$B:$B, B311,'Data Combined - all-runs'!$C:$C, C311, 'Data Combined - all-runs'!$D:$D, D311, 'Data Combined - all-runs'!$E:$E, E311)</f>
        <v>0.1486103735</v>
      </c>
      <c r="L311" s="5">
        <f>AVERAGEIFS('Data Combined - all-runs'!$L:$L, 'Data Combined - all-runs'!$A:$A, A311,'Data Combined - all-runs'!$B:$B, B311,'Data Combined - all-runs'!$C:$C, C311, 'Data Combined - all-runs'!$D:$D, D311, 'Data Combined - all-runs'!$E:$E, E311)</f>
        <v>7348.203564</v>
      </c>
      <c r="M311" s="5">
        <f>AVERAGEIFS('Data Combined - all-runs'!$M:$M, 'Data Combined - all-runs'!$A:$A, A311,'Data Combined - all-runs'!$B:$B, B311,'Data Combined - all-runs'!$C:$C, C311, 'Data Combined - all-runs'!$D:$D, D311, 'Data Combined - all-runs'!$E:$E, E311)</f>
        <v>24</v>
      </c>
      <c r="N311" s="5">
        <f>AVERAGEIFS('Data Combined - all-runs'!$N:$N, 'Data Combined - all-runs'!$A:$A, A311,'Data Combined - all-runs'!$B:$B, B311,'Data Combined - all-runs'!$C:$C, C311, 'Data Combined - all-runs'!$D:$D, D311, 'Data Combined - all-runs'!$E:$E, E311)</f>
        <v>9</v>
      </c>
      <c r="O311" s="5">
        <f>AVERAGEIFS('Data Combined - all-runs'!$O:$O, 'Data Combined - all-runs'!$A:$A, A311,'Data Combined - all-runs'!$B:$B, B311,'Data Combined - all-runs'!$C:$C, C311, 'Data Combined - all-runs'!$D:$D, D311, 'Data Combined - all-runs'!$E:$E, E311)</f>
        <v>1883</v>
      </c>
      <c r="P311" s="5">
        <f>AVERAGEIFS('Data Combined - all-runs'!$P:$P, 'Data Combined - all-runs'!$A:$A, A311,'Data Combined - all-runs'!$B:$B, B311,'Data Combined - all-runs'!$C:$C, C311, 'Data Combined - all-runs'!$D:$D, D311, 'Data Combined - all-runs'!$E:$E, E311)</f>
        <v>4.77960701</v>
      </c>
      <c r="Q311" s="5">
        <f>AVERAGEIFS('Data Combined - all-runs'!$Q:$Q, 'Data Combined - all-runs'!$A:$A, A311,'Data Combined - all-runs'!$B:$B, B311,'Data Combined - all-runs'!$C:$C, C311, 'Data Combined - all-runs'!$D:$D, D311, 'Data Combined - all-runs'!$E:$E, E311)</f>
        <v>645.7780138</v>
      </c>
      <c r="R311" s="5">
        <f>AVERAGEIFS('Data Combined - all-runs'!$R:$R, 'Data Combined - all-runs'!$A:$A, A311,'Data Combined - all-runs'!$B:$B, B311,'Data Combined - all-runs'!$C:$C, C311, 'Data Combined - all-runs'!$D:$D, D311, 'Data Combined - all-runs'!$E:$E, E311)</f>
        <v>135.1111111</v>
      </c>
      <c r="S311" s="5">
        <f>AVERAGEIFS('Data Combined - all-runs'!$S:$S, 'Data Combined - all-runs'!$A:$A, A311,'Data Combined - all-runs'!$B:$B, B311,'Data Combined - all-runs'!$C:$C, C311, 'Data Combined - all-runs'!$D:$D, D311, 'Data Combined - all-runs'!$E:$E, E311)</f>
        <v>0</v>
      </c>
      <c r="T311" s="5">
        <f>AVERAGEIFS('Data Combined - all-runs'!$T:$T, 'Data Combined - all-runs'!$A:$A, A311,'Data Combined - all-runs'!$B:$B, B311,'Data Combined - all-runs'!$C:$C, C311, 'Data Combined - all-runs'!$D:$D, D311, 'Data Combined - all-runs'!$E:$E, E311)</f>
        <v>0</v>
      </c>
      <c r="U311" s="5" t="b">
        <f t="shared" si="1"/>
        <v>1</v>
      </c>
      <c r="V311" s="5" t="b">
        <f t="shared" si="2"/>
        <v>1</v>
      </c>
      <c r="W311" s="5" t="b">
        <f t="shared" si="3"/>
        <v>1</v>
      </c>
    </row>
    <row r="312">
      <c r="A312" s="2" t="s">
        <v>33</v>
      </c>
      <c r="B312" s="2" t="s">
        <v>22</v>
      </c>
      <c r="C312" s="2" t="s">
        <v>23</v>
      </c>
      <c r="D312" s="2" t="s">
        <v>64</v>
      </c>
      <c r="E312" s="2" t="s">
        <v>47</v>
      </c>
      <c r="H312" s="5">
        <f>AVERAGEIFS('Data Combined - all-runs'!$H:$H, 'Data Combined - all-runs'!$A:$A, A312,'Data Combined - all-runs'!$B:$B, B312,'Data Combined - all-runs'!$C:$C, C312, 'Data Combined - all-runs'!$D:$D, D312, 'Data Combined - all-runs'!$E:$E, E312)</f>
        <v>1484</v>
      </c>
      <c r="I312" s="5">
        <f>AVERAGEIFS('Data Combined - all-runs'!$I:$I, 'Data Combined - all-runs'!$A:$A, A312,'Data Combined - all-runs'!$B:$B, B312,'Data Combined - all-runs'!$C:$C, C312, 'Data Combined - all-runs'!$D:$D, D312, 'Data Combined - all-runs'!$E:$E, E312)</f>
        <v>0</v>
      </c>
      <c r="J312" s="5">
        <f>AVERAGEIFS('Data Combined - all-runs'!$J:$J, 'Data Combined - all-runs'!$A:$A, A312,'Data Combined - all-runs'!$B:$B, B312,'Data Combined - all-runs'!$C:$C, C312, 'Data Combined - all-runs'!$D:$D, D312, 'Data Combined - all-runs'!$E:$E, E312)</f>
        <v>2</v>
      </c>
      <c r="K312" s="5">
        <f>AVERAGEIFS('Data Combined - all-runs'!$K:$K, 'Data Combined - all-runs'!$A:$A, A312,'Data Combined - all-runs'!$B:$B, B312,'Data Combined - all-runs'!$C:$C, C312, 'Data Combined - all-runs'!$D:$D, D312, 'Data Combined - all-runs'!$E:$E, E312)</f>
        <v>0.1315696856</v>
      </c>
      <c r="L312" s="5">
        <f>AVERAGEIFS('Data Combined - all-runs'!$L:$L, 'Data Combined - all-runs'!$A:$A, A312,'Data Combined - all-runs'!$B:$B, B312,'Data Combined - all-runs'!$C:$C, C312, 'Data Combined - all-runs'!$D:$D, D312, 'Data Combined - all-runs'!$E:$E, E312)</f>
        <v>11436.8636</v>
      </c>
      <c r="M312" s="5">
        <f>AVERAGEIFS('Data Combined - all-runs'!$M:$M, 'Data Combined - all-runs'!$A:$A, A312,'Data Combined - all-runs'!$B:$B, B312,'Data Combined - all-runs'!$C:$C, C312, 'Data Combined - all-runs'!$D:$D, D312, 'Data Combined - all-runs'!$E:$E, E312)</f>
        <v>63</v>
      </c>
      <c r="N312" s="5">
        <f>AVERAGEIFS('Data Combined - all-runs'!$N:$N, 'Data Combined - all-runs'!$A:$A, A312,'Data Combined - all-runs'!$B:$B, B312,'Data Combined - all-runs'!$C:$C, C312, 'Data Combined - all-runs'!$D:$D, D312, 'Data Combined - all-runs'!$E:$E, E312)</f>
        <v>11</v>
      </c>
      <c r="O312" s="5">
        <f>AVERAGEIFS('Data Combined - all-runs'!$O:$O, 'Data Combined - all-runs'!$A:$A, A312,'Data Combined - all-runs'!$B:$B, B312,'Data Combined - all-runs'!$C:$C, C312, 'Data Combined - all-runs'!$D:$D, D312, 'Data Combined - all-runs'!$E:$E, E312)</f>
        <v>2131</v>
      </c>
      <c r="P312" s="5">
        <f>AVERAGEIFS('Data Combined - all-runs'!$P:$P, 'Data Combined - all-runs'!$A:$A, A312,'Data Combined - all-runs'!$B:$B, B312,'Data Combined - all-runs'!$C:$C, C312, 'Data Combined - all-runs'!$D:$D, D312, 'Data Combined - all-runs'!$E:$E, E312)</f>
        <v>5.161895824</v>
      </c>
      <c r="Q312" s="5">
        <f>AVERAGEIFS('Data Combined - all-runs'!$Q:$Q, 'Data Combined - all-runs'!$A:$A, A312,'Data Combined - all-runs'!$B:$B, B312,'Data Combined - all-runs'!$C:$C, C312, 'Data Combined - all-runs'!$D:$D, D312, 'Data Combined - all-runs'!$E:$E, E312)</f>
        <v>696.3866729</v>
      </c>
      <c r="R312" s="5">
        <f>AVERAGEIFS('Data Combined - all-runs'!$R:$R, 'Data Combined - all-runs'!$A:$A, A312,'Data Combined - all-runs'!$B:$B, B312,'Data Combined - all-runs'!$C:$C, C312, 'Data Combined - all-runs'!$D:$D, D312, 'Data Combined - all-runs'!$E:$E, E312)</f>
        <v>134.9090909</v>
      </c>
      <c r="S312" s="5">
        <f>AVERAGEIFS('Data Combined - all-runs'!$S:$S, 'Data Combined - all-runs'!$A:$A, A312,'Data Combined - all-runs'!$B:$B, B312,'Data Combined - all-runs'!$C:$C, C312, 'Data Combined - all-runs'!$D:$D, D312, 'Data Combined - all-runs'!$E:$E, E312)</f>
        <v>0.001347708895</v>
      </c>
      <c r="T312" s="5">
        <f>AVERAGEIFS('Data Combined - all-runs'!$T:$T, 'Data Combined - all-runs'!$A:$A, A312,'Data Combined - all-runs'!$B:$B, B312,'Data Combined - all-runs'!$C:$C, C312, 'Data Combined - all-runs'!$D:$D, D312, 'Data Combined - all-runs'!$E:$E, E312)</f>
        <v>0</v>
      </c>
      <c r="U312" s="5" t="b">
        <f t="shared" si="1"/>
        <v>1</v>
      </c>
      <c r="V312" s="5" t="b">
        <f t="shared" si="2"/>
        <v>1</v>
      </c>
      <c r="W312" s="5" t="b">
        <f t="shared" si="3"/>
        <v>1</v>
      </c>
    </row>
    <row r="313">
      <c r="A313" s="2" t="s">
        <v>33</v>
      </c>
      <c r="B313" s="2" t="s">
        <v>22</v>
      </c>
      <c r="C313" s="2" t="s">
        <v>23</v>
      </c>
      <c r="D313" s="2" t="s">
        <v>64</v>
      </c>
      <c r="E313" s="2" t="s">
        <v>51</v>
      </c>
      <c r="H313" s="5">
        <f>AVERAGEIFS('Data Combined - all-runs'!$H:$H, 'Data Combined - all-runs'!$A:$A, A313,'Data Combined - all-runs'!$B:$B, B313,'Data Combined - all-runs'!$C:$C, C313, 'Data Combined - all-runs'!$D:$D, D313, 'Data Combined - all-runs'!$E:$E, E313)</f>
        <v>309</v>
      </c>
      <c r="I313" s="5">
        <f>AVERAGEIFS('Data Combined - all-runs'!$I:$I, 'Data Combined - all-runs'!$A:$A, A313,'Data Combined - all-runs'!$B:$B, B313,'Data Combined - all-runs'!$C:$C, C313, 'Data Combined - all-runs'!$D:$D, D313, 'Data Combined - all-runs'!$E:$E, E313)</f>
        <v>0</v>
      </c>
      <c r="J313" s="5">
        <f>AVERAGEIFS('Data Combined - all-runs'!$J:$J, 'Data Combined - all-runs'!$A:$A, A313,'Data Combined - all-runs'!$B:$B, B313,'Data Combined - all-runs'!$C:$C, C313, 'Data Combined - all-runs'!$D:$D, D313, 'Data Combined - all-runs'!$E:$E, E313)</f>
        <v>0</v>
      </c>
      <c r="K313" s="5">
        <f>AVERAGEIFS('Data Combined - all-runs'!$K:$K, 'Data Combined - all-runs'!$A:$A, A313,'Data Combined - all-runs'!$B:$B, B313,'Data Combined - all-runs'!$C:$C, C313, 'Data Combined - all-runs'!$D:$D, D313, 'Data Combined - all-runs'!$E:$E, E313)</f>
        <v>0.07071097372</v>
      </c>
      <c r="L313" s="5">
        <f>AVERAGEIFS('Data Combined - all-runs'!$L:$L, 'Data Combined - all-runs'!$A:$A, A313,'Data Combined - all-runs'!$B:$B, B313,'Data Combined - all-runs'!$C:$C, C313, 'Data Combined - all-runs'!$D:$D, D313, 'Data Combined - all-runs'!$E:$E, E313)</f>
        <v>2310.343445</v>
      </c>
      <c r="M313" s="5">
        <f>AVERAGEIFS('Data Combined - all-runs'!$M:$M, 'Data Combined - all-runs'!$A:$A, A313,'Data Combined - all-runs'!$B:$B, B313,'Data Combined - all-runs'!$C:$C, C313, 'Data Combined - all-runs'!$D:$D, D313, 'Data Combined - all-runs'!$E:$E, E313)</f>
        <v>40</v>
      </c>
      <c r="N313" s="5">
        <f>AVERAGEIFS('Data Combined - all-runs'!$N:$N, 'Data Combined - all-runs'!$A:$A, A313,'Data Combined - all-runs'!$B:$B, B313,'Data Combined - all-runs'!$C:$C, C313, 'Data Combined - all-runs'!$D:$D, D313, 'Data Combined - all-runs'!$E:$E, E313)</f>
        <v>5</v>
      </c>
      <c r="O313" s="5">
        <f>AVERAGEIFS('Data Combined - all-runs'!$O:$O, 'Data Combined - all-runs'!$A:$A, A313,'Data Combined - all-runs'!$B:$B, B313,'Data Combined - all-runs'!$C:$C, C313, 'Data Combined - all-runs'!$D:$D, D313, 'Data Combined - all-runs'!$E:$E, E313)</f>
        <v>647</v>
      </c>
      <c r="P313" s="5">
        <f>AVERAGEIFS('Data Combined - all-runs'!$P:$P, 'Data Combined - all-runs'!$A:$A, A313,'Data Combined - all-runs'!$B:$B, B313,'Data Combined - all-runs'!$C:$C, C313, 'Data Combined - all-runs'!$D:$D, D313, 'Data Combined - all-runs'!$E:$E, E313)</f>
        <v>7.72797527</v>
      </c>
      <c r="Q313" s="5">
        <f>AVERAGEIFS('Data Combined - all-runs'!$Q:$Q, 'Data Combined - all-runs'!$A:$A, A313,'Data Combined - all-runs'!$B:$B, B313,'Data Combined - all-runs'!$C:$C, C313, 'Data Combined - all-runs'!$D:$D, D313, 'Data Combined - all-runs'!$E:$E, E313)</f>
        <v>477.5888717</v>
      </c>
      <c r="R313" s="5">
        <f>AVERAGEIFS('Data Combined - all-runs'!$R:$R, 'Data Combined - all-runs'!$A:$A, A313,'Data Combined - all-runs'!$B:$B, B313,'Data Combined - all-runs'!$C:$C, C313, 'Data Combined - all-runs'!$D:$D, D313, 'Data Combined - all-runs'!$E:$E, E313)</f>
        <v>61.8</v>
      </c>
      <c r="S313" s="5">
        <f>AVERAGEIFS('Data Combined - all-runs'!$S:$S, 'Data Combined - all-runs'!$A:$A, A313,'Data Combined - all-runs'!$B:$B, B313,'Data Combined - all-runs'!$C:$C, C313, 'Data Combined - all-runs'!$D:$D, D313, 'Data Combined - all-runs'!$E:$E, E313)</f>
        <v>0</v>
      </c>
      <c r="T313" s="5">
        <f>AVERAGEIFS('Data Combined - all-runs'!$T:$T, 'Data Combined - all-runs'!$A:$A, A313,'Data Combined - all-runs'!$B:$B, B313,'Data Combined - all-runs'!$C:$C, C313, 'Data Combined - all-runs'!$D:$D, D313, 'Data Combined - all-runs'!$E:$E, E313)</f>
        <v>0</v>
      </c>
      <c r="U313" s="5" t="b">
        <f t="shared" si="1"/>
        <v>1</v>
      </c>
      <c r="V313" s="5" t="b">
        <f t="shared" si="2"/>
        <v>1</v>
      </c>
      <c r="W313" s="5" t="b">
        <f t="shared" si="3"/>
        <v>1</v>
      </c>
    </row>
    <row r="314">
      <c r="A314" s="2" t="s">
        <v>33</v>
      </c>
      <c r="B314" s="2" t="s">
        <v>22</v>
      </c>
      <c r="C314" s="2" t="s">
        <v>23</v>
      </c>
      <c r="D314" s="2" t="s">
        <v>102</v>
      </c>
      <c r="E314" s="2" t="s">
        <v>25</v>
      </c>
      <c r="H314" s="5">
        <f>AVERAGEIFS('Data Combined - all-runs'!$H:$H, 'Data Combined - all-runs'!$A:$A, A314,'Data Combined - all-runs'!$B:$B, B314,'Data Combined - all-runs'!$C:$C, C314, 'Data Combined - all-runs'!$D:$D, D314, 'Data Combined - all-runs'!$E:$E, E314)</f>
        <v>169</v>
      </c>
      <c r="I314" s="5">
        <f>AVERAGEIFS('Data Combined - all-runs'!$I:$I, 'Data Combined - all-runs'!$A:$A, A314,'Data Combined - all-runs'!$B:$B, B314,'Data Combined - all-runs'!$C:$C, C314, 'Data Combined - all-runs'!$D:$D, D314, 'Data Combined - all-runs'!$E:$E, E314)</f>
        <v>0</v>
      </c>
      <c r="J314" s="5">
        <f>AVERAGEIFS('Data Combined - all-runs'!$J:$J, 'Data Combined - all-runs'!$A:$A, A314,'Data Combined - all-runs'!$B:$B, B314,'Data Combined - all-runs'!$C:$C, C314, 'Data Combined - all-runs'!$D:$D, D314, 'Data Combined - all-runs'!$E:$E, E314)</f>
        <v>0</v>
      </c>
      <c r="K314" s="5">
        <f>AVERAGEIFS('Data Combined - all-runs'!$K:$K, 'Data Combined - all-runs'!$A:$A, A314,'Data Combined - all-runs'!$B:$B, B314,'Data Combined - all-runs'!$C:$C, C314, 'Data Combined - all-runs'!$D:$D, D314, 'Data Combined - all-runs'!$E:$E, E314)</f>
        <v>0.09514925373</v>
      </c>
      <c r="L314" s="5">
        <f>AVERAGEIFS('Data Combined - all-runs'!$L:$L, 'Data Combined - all-runs'!$A:$A, A314,'Data Combined - all-runs'!$B:$B, B314,'Data Combined - all-runs'!$C:$C, C314, 'Data Combined - all-runs'!$D:$D, D314, 'Data Combined - all-runs'!$E:$E, E314)</f>
        <v>2459.511055</v>
      </c>
      <c r="M314" s="5">
        <f>AVERAGEIFS('Data Combined - all-runs'!$M:$M, 'Data Combined - all-runs'!$A:$A, A314,'Data Combined - all-runs'!$B:$B, B314,'Data Combined - all-runs'!$C:$C, C314, 'Data Combined - all-runs'!$D:$D, D314, 'Data Combined - all-runs'!$E:$E, E314)</f>
        <v>36</v>
      </c>
      <c r="N314" s="5">
        <f>AVERAGEIFS('Data Combined - all-runs'!$N:$N, 'Data Combined - all-runs'!$A:$A, A314,'Data Combined - all-runs'!$B:$B, B314,'Data Combined - all-runs'!$C:$C, C314, 'Data Combined - all-runs'!$D:$D, D314, 'Data Combined - all-runs'!$E:$E, E314)</f>
        <v>1</v>
      </c>
      <c r="O314" s="5">
        <f>AVERAGEIFS('Data Combined - all-runs'!$O:$O, 'Data Combined - all-runs'!$A:$A, A314,'Data Combined - all-runs'!$B:$B, B314,'Data Combined - all-runs'!$C:$C, C314, 'Data Combined - all-runs'!$D:$D, D314, 'Data Combined - all-runs'!$E:$E, E314)</f>
        <v>536</v>
      </c>
      <c r="P314" s="5">
        <f>AVERAGEIFS('Data Combined - all-runs'!$P:$P, 'Data Combined - all-runs'!$A:$A, A314,'Data Combined - all-runs'!$B:$B, B314,'Data Combined - all-runs'!$C:$C, C314, 'Data Combined - all-runs'!$D:$D, D314, 'Data Combined - all-runs'!$E:$E, E314)</f>
        <v>1.865671642</v>
      </c>
      <c r="Q314" s="5">
        <f>AVERAGEIFS('Data Combined - all-runs'!$Q:$Q, 'Data Combined - all-runs'!$A:$A, A314,'Data Combined - all-runs'!$B:$B, B314,'Data Combined - all-runs'!$C:$C, C314, 'Data Combined - all-runs'!$D:$D, D314, 'Data Combined - all-runs'!$E:$E, E314)</f>
        <v>315.2985075</v>
      </c>
      <c r="R314" s="5">
        <f>AVERAGEIFS('Data Combined - all-runs'!$R:$R, 'Data Combined - all-runs'!$A:$A, A314,'Data Combined - all-runs'!$B:$B, B314,'Data Combined - all-runs'!$C:$C, C314, 'Data Combined - all-runs'!$D:$D, D314, 'Data Combined - all-runs'!$E:$E, E314)</f>
        <v>169</v>
      </c>
      <c r="S314" s="5">
        <f>AVERAGEIFS('Data Combined - all-runs'!$S:$S, 'Data Combined - all-runs'!$A:$A, A314,'Data Combined - all-runs'!$B:$B, B314,'Data Combined - all-runs'!$C:$C, C314, 'Data Combined - all-runs'!$D:$D, D314, 'Data Combined - all-runs'!$E:$E, E314)</f>
        <v>0</v>
      </c>
      <c r="T314" s="5">
        <f>AVERAGEIFS('Data Combined - all-runs'!$T:$T, 'Data Combined - all-runs'!$A:$A, A314,'Data Combined - all-runs'!$B:$B, B314,'Data Combined - all-runs'!$C:$C, C314, 'Data Combined - all-runs'!$D:$D, D314, 'Data Combined - all-runs'!$E:$E, E314)</f>
        <v>0</v>
      </c>
      <c r="U314" s="5" t="b">
        <f t="shared" si="1"/>
        <v>1</v>
      </c>
      <c r="V314" s="5" t="b">
        <f t="shared" si="2"/>
        <v>1</v>
      </c>
      <c r="W314" s="5" t="b">
        <f t="shared" si="3"/>
        <v>1</v>
      </c>
    </row>
    <row r="315">
      <c r="A315" s="2" t="s">
        <v>33</v>
      </c>
      <c r="B315" s="2" t="s">
        <v>22</v>
      </c>
      <c r="C315" s="2" t="s">
        <v>23</v>
      </c>
      <c r="D315" s="2" t="s">
        <v>102</v>
      </c>
      <c r="E315" s="2" t="s">
        <v>39</v>
      </c>
      <c r="H315" s="5">
        <f>AVERAGEIFS('Data Combined - all-runs'!$H:$H, 'Data Combined - all-runs'!$A:$A, A315,'Data Combined - all-runs'!$B:$B, B315,'Data Combined - all-runs'!$C:$C, C315, 'Data Combined - all-runs'!$D:$D, D315, 'Data Combined - all-runs'!$E:$E, E315)</f>
        <v>144</v>
      </c>
      <c r="I315" s="5">
        <f>AVERAGEIFS('Data Combined - all-runs'!$I:$I, 'Data Combined - all-runs'!$A:$A, A315,'Data Combined - all-runs'!$B:$B, B315,'Data Combined - all-runs'!$C:$C, C315, 'Data Combined - all-runs'!$D:$D, D315, 'Data Combined - all-runs'!$E:$E, E315)</f>
        <v>0</v>
      </c>
      <c r="J315" s="5">
        <f>AVERAGEIFS('Data Combined - all-runs'!$J:$J, 'Data Combined - all-runs'!$A:$A, A315,'Data Combined - all-runs'!$B:$B, B315,'Data Combined - all-runs'!$C:$C, C315, 'Data Combined - all-runs'!$D:$D, D315, 'Data Combined - all-runs'!$E:$E, E315)</f>
        <v>1</v>
      </c>
      <c r="K315" s="5">
        <f>AVERAGEIFS('Data Combined - all-runs'!$K:$K, 'Data Combined - all-runs'!$A:$A, A315,'Data Combined - all-runs'!$B:$B, B315,'Data Combined - all-runs'!$C:$C, C315, 'Data Combined - all-runs'!$D:$D, D315, 'Data Combined - all-runs'!$E:$E, E315)</f>
        <v>0.0975</v>
      </c>
      <c r="L315" s="5">
        <f>AVERAGEIFS('Data Combined - all-runs'!$L:$L, 'Data Combined - all-runs'!$A:$A, A315,'Data Combined - all-runs'!$B:$B, B315,'Data Combined - all-runs'!$C:$C, C315, 'Data Combined - all-runs'!$D:$D, D315, 'Data Combined - all-runs'!$E:$E, E315)</f>
        <v>2190.486382</v>
      </c>
      <c r="M315" s="5" t="str">
        <f>AVERAGEIFS('Data Combined - all-runs'!$M:$M, 'Data Combined - all-runs'!$A:$A, A315,'Data Combined - all-runs'!$B:$B, B315,'Data Combined - all-runs'!$C:$C, C315, 'Data Combined - all-runs'!$D:$D, D315, 'Data Combined - all-runs'!$E:$E, E315)</f>
        <v>#DIV/0!</v>
      </c>
      <c r="N315" s="5">
        <f>AVERAGEIFS('Data Combined - all-runs'!$N:$N, 'Data Combined - all-runs'!$A:$A, A315,'Data Combined - all-runs'!$B:$B, B315,'Data Combined - all-runs'!$C:$C, C315, 'Data Combined - all-runs'!$D:$D, D315, 'Data Combined - all-runs'!$E:$E, E315)</f>
        <v>0</v>
      </c>
      <c r="O315" s="5">
        <f>AVERAGEIFS('Data Combined - all-runs'!$O:$O, 'Data Combined - all-runs'!$A:$A, A315,'Data Combined - all-runs'!$B:$B, B315,'Data Combined - all-runs'!$C:$C, C315, 'Data Combined - all-runs'!$D:$D, D315, 'Data Combined - all-runs'!$E:$E, E315)</f>
        <v>500</v>
      </c>
      <c r="P315" s="5">
        <f>AVERAGEIFS('Data Combined - all-runs'!$P:$P, 'Data Combined - all-runs'!$A:$A, A315,'Data Combined - all-runs'!$B:$B, B315,'Data Combined - all-runs'!$C:$C, C315, 'Data Combined - all-runs'!$D:$D, D315, 'Data Combined - all-runs'!$E:$E, E315)</f>
        <v>0</v>
      </c>
      <c r="Q315" s="5">
        <f>AVERAGEIFS('Data Combined - all-runs'!$Q:$Q, 'Data Combined - all-runs'!$A:$A, A315,'Data Combined - all-runs'!$B:$B, B315,'Data Combined - all-runs'!$C:$C, C315, 'Data Combined - all-runs'!$D:$D, D315, 'Data Combined - all-runs'!$E:$E, E315)</f>
        <v>288</v>
      </c>
      <c r="R315" s="5" t="str">
        <f>AVERAGEIFS('Data Combined - all-runs'!$R:$R, 'Data Combined - all-runs'!$A:$A, A315,'Data Combined - all-runs'!$B:$B, B315,'Data Combined - all-runs'!$C:$C, C315, 'Data Combined - all-runs'!$D:$D, D315, 'Data Combined - all-runs'!$E:$E, E315)</f>
        <v>#DIV/0!</v>
      </c>
      <c r="S315" s="5">
        <f>AVERAGEIFS('Data Combined - all-runs'!$S:$S, 'Data Combined - all-runs'!$A:$A, A315,'Data Combined - all-runs'!$B:$B, B315,'Data Combined - all-runs'!$C:$C, C315, 'Data Combined - all-runs'!$D:$D, D315, 'Data Combined - all-runs'!$E:$E, E315)</f>
        <v>0.006944444444</v>
      </c>
      <c r="T315" s="5">
        <f>AVERAGEIFS('Data Combined - all-runs'!$T:$T, 'Data Combined - all-runs'!$A:$A, A315,'Data Combined - all-runs'!$B:$B, B315,'Data Combined - all-runs'!$C:$C, C315, 'Data Combined - all-runs'!$D:$D, D315, 'Data Combined - all-runs'!$E:$E, E315)</f>
        <v>0</v>
      </c>
      <c r="U315" s="5" t="b">
        <f t="shared" si="1"/>
        <v>1</v>
      </c>
      <c r="V315" s="5" t="b">
        <f t="shared" si="2"/>
        <v>1</v>
      </c>
      <c r="W315" s="5" t="b">
        <f t="shared" si="3"/>
        <v>1</v>
      </c>
    </row>
    <row r="316">
      <c r="A316" s="2" t="s">
        <v>33</v>
      </c>
      <c r="B316" s="2" t="s">
        <v>22</v>
      </c>
      <c r="C316" s="2" t="s">
        <v>23</v>
      </c>
      <c r="D316" s="2" t="s">
        <v>102</v>
      </c>
      <c r="E316" s="2" t="s">
        <v>43</v>
      </c>
      <c r="H316" s="5">
        <f>AVERAGEIFS('Data Combined - all-runs'!$H:$H, 'Data Combined - all-runs'!$A:$A, A316,'Data Combined - all-runs'!$B:$B, B316,'Data Combined - all-runs'!$C:$C, C316, 'Data Combined - all-runs'!$D:$D, D316, 'Data Combined - all-runs'!$E:$E, E316)</f>
        <v>1054</v>
      </c>
      <c r="I316" s="5">
        <f>AVERAGEIFS('Data Combined - all-runs'!$I:$I, 'Data Combined - all-runs'!$A:$A, A316,'Data Combined - all-runs'!$B:$B, B316,'Data Combined - all-runs'!$C:$C, C316, 'Data Combined - all-runs'!$D:$D, D316, 'Data Combined - all-runs'!$E:$E, E316)</f>
        <v>0</v>
      </c>
      <c r="J316" s="5">
        <f>AVERAGEIFS('Data Combined - all-runs'!$J:$J, 'Data Combined - all-runs'!$A:$A, A316,'Data Combined - all-runs'!$B:$B, B316,'Data Combined - all-runs'!$C:$C, C316, 'Data Combined - all-runs'!$D:$D, D316, 'Data Combined - all-runs'!$E:$E, E316)</f>
        <v>36</v>
      </c>
      <c r="K316" s="5">
        <f>AVERAGEIFS('Data Combined - all-runs'!$K:$K, 'Data Combined - all-runs'!$A:$A, A316,'Data Combined - all-runs'!$B:$B, B316,'Data Combined - all-runs'!$C:$C, C316, 'Data Combined - all-runs'!$D:$D, D316, 'Data Combined - all-runs'!$E:$E, E316)</f>
        <v>0.1068771548</v>
      </c>
      <c r="L316" s="5">
        <f>AVERAGEIFS('Data Combined - all-runs'!$L:$L, 'Data Combined - all-runs'!$A:$A, A316,'Data Combined - all-runs'!$B:$B, B316,'Data Combined - all-runs'!$C:$C, C316, 'Data Combined - all-runs'!$D:$D, D316, 'Data Combined - all-runs'!$E:$E, E316)</f>
        <v>17192.50715</v>
      </c>
      <c r="M316" s="5">
        <f>AVERAGEIFS('Data Combined - all-runs'!$M:$M, 'Data Combined - all-runs'!$A:$A, A316,'Data Combined - all-runs'!$B:$B, B316,'Data Combined - all-runs'!$C:$C, C316, 'Data Combined - all-runs'!$D:$D, D316, 'Data Combined - all-runs'!$E:$E, E316)</f>
        <v>26</v>
      </c>
      <c r="N316" s="5">
        <f>AVERAGEIFS('Data Combined - all-runs'!$N:$N, 'Data Combined - all-runs'!$A:$A, A316,'Data Combined - all-runs'!$B:$B, B316,'Data Combined - all-runs'!$C:$C, C316, 'Data Combined - all-runs'!$D:$D, D316, 'Data Combined - all-runs'!$E:$E, E316)</f>
        <v>15</v>
      </c>
      <c r="O316" s="5">
        <f>AVERAGEIFS('Data Combined - all-runs'!$O:$O, 'Data Combined - all-runs'!$A:$A, A316,'Data Combined - all-runs'!$B:$B, B316,'Data Combined - all-runs'!$C:$C, C316, 'Data Combined - all-runs'!$D:$D, D316, 'Data Combined - all-runs'!$E:$E, E316)</f>
        <v>1837</v>
      </c>
      <c r="P316" s="5">
        <f>AVERAGEIFS('Data Combined - all-runs'!$P:$P, 'Data Combined - all-runs'!$A:$A, A316,'Data Combined - all-runs'!$B:$B, B316,'Data Combined - all-runs'!$C:$C, C316, 'Data Combined - all-runs'!$D:$D, D316, 'Data Combined - all-runs'!$E:$E, E316)</f>
        <v>8.165487207</v>
      </c>
      <c r="Q316" s="5">
        <f>AVERAGEIFS('Data Combined - all-runs'!$Q:$Q, 'Data Combined - all-runs'!$A:$A, A316,'Data Combined - all-runs'!$B:$B, B316,'Data Combined - all-runs'!$C:$C, C316, 'Data Combined - all-runs'!$D:$D, D316, 'Data Combined - all-runs'!$E:$E, E316)</f>
        <v>573.7615678</v>
      </c>
      <c r="R316" s="5">
        <f>AVERAGEIFS('Data Combined - all-runs'!$R:$R, 'Data Combined - all-runs'!$A:$A, A316,'Data Combined - all-runs'!$B:$B, B316,'Data Combined - all-runs'!$C:$C, C316, 'Data Combined - all-runs'!$D:$D, D316, 'Data Combined - all-runs'!$E:$E, E316)</f>
        <v>70.26666667</v>
      </c>
      <c r="S316" s="5">
        <f>AVERAGEIFS('Data Combined - all-runs'!$S:$S, 'Data Combined - all-runs'!$A:$A, A316,'Data Combined - all-runs'!$B:$B, B316,'Data Combined - all-runs'!$C:$C, C316, 'Data Combined - all-runs'!$D:$D, D316, 'Data Combined - all-runs'!$E:$E, E316)</f>
        <v>0.03415559772</v>
      </c>
      <c r="T316" s="5">
        <f>AVERAGEIFS('Data Combined - all-runs'!$T:$T, 'Data Combined - all-runs'!$A:$A, A316,'Data Combined - all-runs'!$B:$B, B316,'Data Combined - all-runs'!$C:$C, C316, 'Data Combined - all-runs'!$D:$D, D316, 'Data Combined - all-runs'!$E:$E, E316)</f>
        <v>0</v>
      </c>
      <c r="U316" s="5" t="b">
        <f t="shared" si="1"/>
        <v>1</v>
      </c>
      <c r="V316" s="5" t="b">
        <f t="shared" si="2"/>
        <v>1</v>
      </c>
      <c r="W316" s="5" t="b">
        <f t="shared" si="3"/>
        <v>1</v>
      </c>
    </row>
    <row r="317">
      <c r="A317" s="2" t="s">
        <v>33</v>
      </c>
      <c r="B317" s="2" t="s">
        <v>22</v>
      </c>
      <c r="C317" s="2" t="s">
        <v>23</v>
      </c>
      <c r="D317" s="2" t="s">
        <v>102</v>
      </c>
      <c r="E317" s="2" t="s">
        <v>34</v>
      </c>
      <c r="H317" s="5">
        <f>AVERAGEIFS('Data Combined - all-runs'!$H:$H, 'Data Combined - all-runs'!$A:$A, A317,'Data Combined - all-runs'!$B:$B, B317,'Data Combined - all-runs'!$C:$C, C317, 'Data Combined - all-runs'!$D:$D, D317, 'Data Combined - all-runs'!$E:$E, E317)</f>
        <v>772</v>
      </c>
      <c r="I317" s="5">
        <f>AVERAGEIFS('Data Combined - all-runs'!$I:$I, 'Data Combined - all-runs'!$A:$A, A317,'Data Combined - all-runs'!$B:$B, B317,'Data Combined - all-runs'!$C:$C, C317, 'Data Combined - all-runs'!$D:$D, D317, 'Data Combined - all-runs'!$E:$E, E317)</f>
        <v>0</v>
      </c>
      <c r="J317" s="5">
        <f>AVERAGEIFS('Data Combined - all-runs'!$J:$J, 'Data Combined - all-runs'!$A:$A, A317,'Data Combined - all-runs'!$B:$B, B317,'Data Combined - all-runs'!$C:$C, C317, 'Data Combined - all-runs'!$D:$D, D317, 'Data Combined - all-runs'!$E:$E, E317)</f>
        <v>18</v>
      </c>
      <c r="K317" s="5">
        <f>AVERAGEIFS('Data Combined - all-runs'!$K:$K, 'Data Combined - all-runs'!$A:$A, A317,'Data Combined - all-runs'!$B:$B, B317,'Data Combined - all-runs'!$C:$C, C317, 'Data Combined - all-runs'!$D:$D, D317, 'Data Combined - all-runs'!$E:$E, E317)</f>
        <v>0.1446987635</v>
      </c>
      <c r="L317" s="5">
        <f>AVERAGEIFS('Data Combined - all-runs'!$L:$L, 'Data Combined - all-runs'!$A:$A, A317,'Data Combined - all-runs'!$B:$B, B317,'Data Combined - all-runs'!$C:$C, C317, 'Data Combined - all-runs'!$D:$D, D317, 'Data Combined - all-runs'!$E:$E, E317)</f>
        <v>12977.98236</v>
      </c>
      <c r="M317" s="5">
        <f>AVERAGEIFS('Data Combined - all-runs'!$M:$M, 'Data Combined - all-runs'!$A:$A, A317,'Data Combined - all-runs'!$B:$B, B317,'Data Combined - all-runs'!$C:$C, C317, 'Data Combined - all-runs'!$D:$D, D317, 'Data Combined - all-runs'!$E:$E, E317)</f>
        <v>22</v>
      </c>
      <c r="N317" s="5">
        <f>AVERAGEIFS('Data Combined - all-runs'!$N:$N, 'Data Combined - all-runs'!$A:$A, A317,'Data Combined - all-runs'!$B:$B, B317,'Data Combined - all-runs'!$C:$C, C317, 'Data Combined - all-runs'!$D:$D, D317, 'Data Combined - all-runs'!$E:$E, E317)</f>
        <v>5</v>
      </c>
      <c r="O317" s="5">
        <f>AVERAGEIFS('Data Combined - all-runs'!$O:$O, 'Data Combined - all-runs'!$A:$A, A317,'Data Combined - all-runs'!$B:$B, B317,'Data Combined - all-runs'!$C:$C, C317, 'Data Combined - all-runs'!$D:$D, D317, 'Data Combined - all-runs'!$E:$E, E317)</f>
        <v>1267</v>
      </c>
      <c r="P317" s="5">
        <f>AVERAGEIFS('Data Combined - all-runs'!$P:$P, 'Data Combined - all-runs'!$A:$A, A317,'Data Combined - all-runs'!$B:$B, B317,'Data Combined - all-runs'!$C:$C, C317, 'Data Combined - all-runs'!$D:$D, D317, 'Data Combined - all-runs'!$E:$E, E317)</f>
        <v>3.946329913</v>
      </c>
      <c r="Q317" s="5">
        <f>AVERAGEIFS('Data Combined - all-runs'!$Q:$Q, 'Data Combined - all-runs'!$A:$A, A317,'Data Combined - all-runs'!$B:$B, B317,'Data Combined - all-runs'!$C:$C, C317, 'Data Combined - all-runs'!$D:$D, D317, 'Data Combined - all-runs'!$E:$E, E317)</f>
        <v>609.3133386</v>
      </c>
      <c r="R317" s="5">
        <f>AVERAGEIFS('Data Combined - all-runs'!$R:$R, 'Data Combined - all-runs'!$A:$A, A317,'Data Combined - all-runs'!$B:$B, B317,'Data Combined - all-runs'!$C:$C, C317, 'Data Combined - all-runs'!$D:$D, D317, 'Data Combined - all-runs'!$E:$E, E317)</f>
        <v>154.4</v>
      </c>
      <c r="S317" s="5">
        <f>AVERAGEIFS('Data Combined - all-runs'!$S:$S, 'Data Combined - all-runs'!$A:$A, A317,'Data Combined - all-runs'!$B:$B, B317,'Data Combined - all-runs'!$C:$C, C317, 'Data Combined - all-runs'!$D:$D, D317, 'Data Combined - all-runs'!$E:$E, E317)</f>
        <v>0.02331606218</v>
      </c>
      <c r="T317" s="5">
        <f>AVERAGEIFS('Data Combined - all-runs'!$T:$T, 'Data Combined - all-runs'!$A:$A, A317,'Data Combined - all-runs'!$B:$B, B317,'Data Combined - all-runs'!$C:$C, C317, 'Data Combined - all-runs'!$D:$D, D317, 'Data Combined - all-runs'!$E:$E, E317)</f>
        <v>0</v>
      </c>
      <c r="U317" s="5" t="b">
        <f t="shared" si="1"/>
        <v>1</v>
      </c>
      <c r="V317" s="5" t="b">
        <f t="shared" si="2"/>
        <v>1</v>
      </c>
      <c r="W317" s="5" t="b">
        <f t="shared" si="3"/>
        <v>1</v>
      </c>
    </row>
    <row r="318">
      <c r="A318" s="2" t="s">
        <v>33</v>
      </c>
      <c r="B318" s="2" t="s">
        <v>22</v>
      </c>
      <c r="C318" s="2" t="s">
        <v>23</v>
      </c>
      <c r="D318" s="2" t="s">
        <v>102</v>
      </c>
      <c r="E318" s="2" t="s">
        <v>47</v>
      </c>
      <c r="H318" s="5">
        <f>AVERAGEIFS('Data Combined - all-runs'!$H:$H, 'Data Combined - all-runs'!$A:$A, A318,'Data Combined - all-runs'!$B:$B, B318,'Data Combined - all-runs'!$C:$C, C318, 'Data Combined - all-runs'!$D:$D, D318, 'Data Combined - all-runs'!$E:$E, E318)</f>
        <v>410</v>
      </c>
      <c r="I318" s="5">
        <f>AVERAGEIFS('Data Combined - all-runs'!$I:$I, 'Data Combined - all-runs'!$A:$A, A318,'Data Combined - all-runs'!$B:$B, B318,'Data Combined - all-runs'!$C:$C, C318, 'Data Combined - all-runs'!$D:$D, D318, 'Data Combined - all-runs'!$E:$E, E318)</f>
        <v>0</v>
      </c>
      <c r="J318" s="5">
        <f>AVERAGEIFS('Data Combined - all-runs'!$J:$J, 'Data Combined - all-runs'!$A:$A, A318,'Data Combined - all-runs'!$B:$B, B318,'Data Combined - all-runs'!$C:$C, C318, 'Data Combined - all-runs'!$D:$D, D318, 'Data Combined - all-runs'!$E:$E, E318)</f>
        <v>30</v>
      </c>
      <c r="K318" s="5">
        <f>AVERAGEIFS('Data Combined - all-runs'!$K:$K, 'Data Combined - all-runs'!$A:$A, A318,'Data Combined - all-runs'!$B:$B, B318,'Data Combined - all-runs'!$C:$C, C318, 'Data Combined - all-runs'!$D:$D, D318, 'Data Combined - all-runs'!$E:$E, E318)</f>
        <v>0.1289619651</v>
      </c>
      <c r="L318" s="5">
        <f>AVERAGEIFS('Data Combined - all-runs'!$L:$L, 'Data Combined - all-runs'!$A:$A, A318,'Data Combined - all-runs'!$B:$B, B318,'Data Combined - all-runs'!$C:$C, C318, 'Data Combined - all-runs'!$D:$D, D318, 'Data Combined - all-runs'!$E:$E, E318)</f>
        <v>7506.374514</v>
      </c>
      <c r="M318" s="5">
        <f>AVERAGEIFS('Data Combined - all-runs'!$M:$M, 'Data Combined - all-runs'!$A:$A, A318,'Data Combined - all-runs'!$B:$B, B318,'Data Combined - all-runs'!$C:$C, C318, 'Data Combined - all-runs'!$D:$D, D318, 'Data Combined - all-runs'!$E:$E, E318)</f>
        <v>47</v>
      </c>
      <c r="N318" s="5">
        <f>AVERAGEIFS('Data Combined - all-runs'!$N:$N, 'Data Combined - all-runs'!$A:$A, A318,'Data Combined - all-runs'!$B:$B, B318,'Data Combined - all-runs'!$C:$C, C318, 'Data Combined - all-runs'!$D:$D, D318, 'Data Combined - all-runs'!$E:$E, E318)</f>
        <v>4</v>
      </c>
      <c r="O318" s="5">
        <f>AVERAGEIFS('Data Combined - all-runs'!$O:$O, 'Data Combined - all-runs'!$A:$A, A318,'Data Combined - all-runs'!$B:$B, B318,'Data Combined - all-runs'!$C:$C, C318, 'Data Combined - all-runs'!$D:$D, D318, 'Data Combined - all-runs'!$E:$E, E318)</f>
        <v>631</v>
      </c>
      <c r="P318" s="5">
        <f>AVERAGEIFS('Data Combined - all-runs'!$P:$P, 'Data Combined - all-runs'!$A:$A, A318,'Data Combined - all-runs'!$B:$B, B318,'Data Combined - all-runs'!$C:$C, C318, 'Data Combined - all-runs'!$D:$D, D318, 'Data Combined - all-runs'!$E:$E, E318)</f>
        <v>6.339144216</v>
      </c>
      <c r="Q318" s="5">
        <f>AVERAGEIFS('Data Combined - all-runs'!$Q:$Q, 'Data Combined - all-runs'!$A:$A, A318,'Data Combined - all-runs'!$B:$B, B318,'Data Combined - all-runs'!$C:$C, C318, 'Data Combined - all-runs'!$D:$D, D318, 'Data Combined - all-runs'!$E:$E, E318)</f>
        <v>649.7622821</v>
      </c>
      <c r="R318" s="5">
        <f>AVERAGEIFS('Data Combined - all-runs'!$R:$R, 'Data Combined - all-runs'!$A:$A, A318,'Data Combined - all-runs'!$B:$B, B318,'Data Combined - all-runs'!$C:$C, C318, 'Data Combined - all-runs'!$D:$D, D318, 'Data Combined - all-runs'!$E:$E, E318)</f>
        <v>102.5</v>
      </c>
      <c r="S318" s="5">
        <f>AVERAGEIFS('Data Combined - all-runs'!$S:$S, 'Data Combined - all-runs'!$A:$A, A318,'Data Combined - all-runs'!$B:$B, B318,'Data Combined - all-runs'!$C:$C, C318, 'Data Combined - all-runs'!$D:$D, D318, 'Data Combined - all-runs'!$E:$E, E318)</f>
        <v>0.07317073171</v>
      </c>
      <c r="T318" s="5">
        <f>AVERAGEIFS('Data Combined - all-runs'!$T:$T, 'Data Combined - all-runs'!$A:$A, A318,'Data Combined - all-runs'!$B:$B, B318,'Data Combined - all-runs'!$C:$C, C318, 'Data Combined - all-runs'!$D:$D, D318, 'Data Combined - all-runs'!$E:$E, E318)</f>
        <v>0</v>
      </c>
      <c r="U318" s="5" t="b">
        <f t="shared" si="1"/>
        <v>1</v>
      </c>
      <c r="V318" s="5" t="b">
        <f t="shared" si="2"/>
        <v>1</v>
      </c>
      <c r="W318" s="5" t="b">
        <f t="shared" si="3"/>
        <v>1</v>
      </c>
    </row>
    <row r="319">
      <c r="A319" s="2" t="s">
        <v>33</v>
      </c>
      <c r="B319" s="2" t="s">
        <v>22</v>
      </c>
      <c r="C319" s="2" t="s">
        <v>23</v>
      </c>
      <c r="D319" s="2" t="s">
        <v>102</v>
      </c>
      <c r="E319" s="2" t="s">
        <v>51</v>
      </c>
      <c r="H319" s="5">
        <f>AVERAGEIFS('Data Combined - all-runs'!$H:$H, 'Data Combined - all-runs'!$A:$A, A319,'Data Combined - all-runs'!$B:$B, B319,'Data Combined - all-runs'!$C:$C, C319, 'Data Combined - all-runs'!$D:$D, D319, 'Data Combined - all-runs'!$E:$E, E319)</f>
        <v>465</v>
      </c>
      <c r="I319" s="5">
        <f>AVERAGEIFS('Data Combined - all-runs'!$I:$I, 'Data Combined - all-runs'!$A:$A, A319,'Data Combined - all-runs'!$B:$B, B319,'Data Combined - all-runs'!$C:$C, C319, 'Data Combined - all-runs'!$D:$D, D319, 'Data Combined - all-runs'!$E:$E, E319)</f>
        <v>0</v>
      </c>
      <c r="J319" s="5">
        <f>AVERAGEIFS('Data Combined - all-runs'!$J:$J, 'Data Combined - all-runs'!$A:$A, A319,'Data Combined - all-runs'!$B:$B, B319,'Data Combined - all-runs'!$C:$C, C319, 'Data Combined - all-runs'!$D:$D, D319, 'Data Combined - all-runs'!$E:$E, E319)</f>
        <v>18</v>
      </c>
      <c r="K319" s="5">
        <f>AVERAGEIFS('Data Combined - all-runs'!$K:$K, 'Data Combined - all-runs'!$A:$A, A319,'Data Combined - all-runs'!$B:$B, B319,'Data Combined - all-runs'!$C:$C, C319, 'Data Combined - all-runs'!$D:$D, D319, 'Data Combined - all-runs'!$E:$E, E319)</f>
        <v>0.05018359853</v>
      </c>
      <c r="L319" s="5">
        <f>AVERAGEIFS('Data Combined - all-runs'!$L:$L, 'Data Combined - all-runs'!$A:$A, A319,'Data Combined - all-runs'!$B:$B, B319,'Data Combined - all-runs'!$C:$C, C319, 'Data Combined - all-runs'!$D:$D, D319, 'Data Combined - all-runs'!$E:$E, E319)</f>
        <v>8184.349948</v>
      </c>
      <c r="M319" s="5">
        <f>AVERAGEIFS('Data Combined - all-runs'!$M:$M, 'Data Combined - all-runs'!$A:$A, A319,'Data Combined - all-runs'!$B:$B, B319,'Data Combined - all-runs'!$C:$C, C319, 'Data Combined - all-runs'!$D:$D, D319, 'Data Combined - all-runs'!$E:$E, E319)</f>
        <v>36</v>
      </c>
      <c r="N319" s="5">
        <f>AVERAGEIFS('Data Combined - all-runs'!$N:$N, 'Data Combined - all-runs'!$A:$A, A319,'Data Combined - all-runs'!$B:$B, B319,'Data Combined - all-runs'!$C:$C, C319, 'Data Combined - all-runs'!$D:$D, D319, 'Data Combined - all-runs'!$E:$E, E319)</f>
        <v>6</v>
      </c>
      <c r="O319" s="5">
        <f>AVERAGEIFS('Data Combined - all-runs'!$O:$O, 'Data Combined - all-runs'!$A:$A, A319,'Data Combined - all-runs'!$B:$B, B319,'Data Combined - all-runs'!$C:$C, C319, 'Data Combined - all-runs'!$D:$D, D319, 'Data Combined - all-runs'!$E:$E, E319)</f>
        <v>817</v>
      </c>
      <c r="P319" s="5">
        <f>AVERAGEIFS('Data Combined - all-runs'!$P:$P, 'Data Combined - all-runs'!$A:$A, A319,'Data Combined - all-runs'!$B:$B, B319,'Data Combined - all-runs'!$C:$C, C319, 'Data Combined - all-runs'!$D:$D, D319, 'Data Combined - all-runs'!$E:$E, E319)</f>
        <v>7.343941248</v>
      </c>
      <c r="Q319" s="5">
        <f>AVERAGEIFS('Data Combined - all-runs'!$Q:$Q, 'Data Combined - all-runs'!$A:$A, A319,'Data Combined - all-runs'!$B:$B, B319,'Data Combined - all-runs'!$C:$C, C319, 'Data Combined - all-runs'!$D:$D, D319, 'Data Combined - all-runs'!$E:$E, E319)</f>
        <v>569.1554468</v>
      </c>
      <c r="R319" s="5">
        <f>AVERAGEIFS('Data Combined - all-runs'!$R:$R, 'Data Combined - all-runs'!$A:$A, A319,'Data Combined - all-runs'!$B:$B, B319,'Data Combined - all-runs'!$C:$C, C319, 'Data Combined - all-runs'!$D:$D, D319, 'Data Combined - all-runs'!$E:$E, E319)</f>
        <v>77.5</v>
      </c>
      <c r="S319" s="5">
        <f>AVERAGEIFS('Data Combined - all-runs'!$S:$S, 'Data Combined - all-runs'!$A:$A, A319,'Data Combined - all-runs'!$B:$B, B319,'Data Combined - all-runs'!$C:$C, C319, 'Data Combined - all-runs'!$D:$D, D319, 'Data Combined - all-runs'!$E:$E, E319)</f>
        <v>0.03870967742</v>
      </c>
      <c r="T319" s="5">
        <f>AVERAGEIFS('Data Combined - all-runs'!$T:$T, 'Data Combined - all-runs'!$A:$A, A319,'Data Combined - all-runs'!$B:$B, B319,'Data Combined - all-runs'!$C:$C, C319, 'Data Combined - all-runs'!$D:$D, D319, 'Data Combined - all-runs'!$E:$E, E319)</f>
        <v>0</v>
      </c>
      <c r="U319" s="5" t="b">
        <f t="shared" si="1"/>
        <v>1</v>
      </c>
      <c r="V319" s="5" t="b">
        <f t="shared" si="2"/>
        <v>1</v>
      </c>
      <c r="W319" s="5" t="b">
        <f t="shared" si="3"/>
        <v>1</v>
      </c>
    </row>
    <row r="320">
      <c r="A320" s="2" t="s">
        <v>33</v>
      </c>
      <c r="B320" s="2" t="s">
        <v>22</v>
      </c>
      <c r="C320" s="2" t="s">
        <v>23</v>
      </c>
      <c r="D320" s="2" t="s">
        <v>118</v>
      </c>
      <c r="E320" s="2" t="s">
        <v>25</v>
      </c>
      <c r="H320" s="5">
        <f>AVERAGEIFS('Data Combined - all-runs'!$H:$H, 'Data Combined - all-runs'!$A:$A, A320,'Data Combined - all-runs'!$B:$B, B320,'Data Combined - all-runs'!$C:$C, C320, 'Data Combined - all-runs'!$D:$D, D320, 'Data Combined - all-runs'!$E:$E, E320)</f>
        <v>95</v>
      </c>
      <c r="I320" s="5">
        <f>AVERAGEIFS('Data Combined - all-runs'!$I:$I, 'Data Combined - all-runs'!$A:$A, A320,'Data Combined - all-runs'!$B:$B, B320,'Data Combined - all-runs'!$C:$C, C320, 'Data Combined - all-runs'!$D:$D, D320, 'Data Combined - all-runs'!$E:$E, E320)</f>
        <v>0</v>
      </c>
      <c r="J320" s="5">
        <f>AVERAGEIFS('Data Combined - all-runs'!$J:$J, 'Data Combined - all-runs'!$A:$A, A320,'Data Combined - all-runs'!$B:$B, B320,'Data Combined - all-runs'!$C:$C, C320, 'Data Combined - all-runs'!$D:$D, D320, 'Data Combined - all-runs'!$E:$E, E320)</f>
        <v>0</v>
      </c>
      <c r="K320" s="5">
        <f>AVERAGEIFS('Data Combined - all-runs'!$K:$K, 'Data Combined - all-runs'!$A:$A, A320,'Data Combined - all-runs'!$B:$B, B320,'Data Combined - all-runs'!$C:$C, C320, 'Data Combined - all-runs'!$D:$D, D320, 'Data Combined - all-runs'!$E:$E, E320)</f>
        <v>0.114953271</v>
      </c>
      <c r="L320" s="5">
        <f>AVERAGEIFS('Data Combined - all-runs'!$L:$L, 'Data Combined - all-runs'!$A:$A, A320,'Data Combined - all-runs'!$B:$B, B320,'Data Combined - all-runs'!$C:$C, C320, 'Data Combined - all-runs'!$D:$D, D320, 'Data Combined - all-runs'!$E:$E, E320)</f>
        <v>621.4298992</v>
      </c>
      <c r="M320" s="5">
        <f>AVERAGEIFS('Data Combined - all-runs'!$M:$M, 'Data Combined - all-runs'!$A:$A, A320,'Data Combined - all-runs'!$B:$B, B320,'Data Combined - all-runs'!$C:$C, C320, 'Data Combined - all-runs'!$D:$D, D320, 'Data Combined - all-runs'!$E:$E, E320)</f>
        <v>35</v>
      </c>
      <c r="N320" s="5">
        <f>AVERAGEIFS('Data Combined - all-runs'!$N:$N, 'Data Combined - all-runs'!$A:$A, A320,'Data Combined - all-runs'!$B:$B, B320,'Data Combined - all-runs'!$C:$C, C320, 'Data Combined - all-runs'!$D:$D, D320, 'Data Combined - all-runs'!$E:$E, E320)</f>
        <v>1</v>
      </c>
      <c r="O320" s="5">
        <f>AVERAGEIFS('Data Combined - all-runs'!$O:$O, 'Data Combined - all-runs'!$A:$A, A320,'Data Combined - all-runs'!$B:$B, B320,'Data Combined - all-runs'!$C:$C, C320, 'Data Combined - all-runs'!$D:$D, D320, 'Data Combined - all-runs'!$E:$E, E320)</f>
        <v>535</v>
      </c>
      <c r="P320" s="5">
        <f>AVERAGEIFS('Data Combined - all-runs'!$P:$P, 'Data Combined - all-runs'!$A:$A, A320,'Data Combined - all-runs'!$B:$B, B320,'Data Combined - all-runs'!$C:$C, C320, 'Data Combined - all-runs'!$D:$D, D320, 'Data Combined - all-runs'!$E:$E, E320)</f>
        <v>1.869158879</v>
      </c>
      <c r="Q320" s="5">
        <f>AVERAGEIFS('Data Combined - all-runs'!$Q:$Q, 'Data Combined - all-runs'!$A:$A, A320,'Data Combined - all-runs'!$B:$B, B320,'Data Combined - all-runs'!$C:$C, C320, 'Data Combined - all-runs'!$D:$D, D320, 'Data Combined - all-runs'!$E:$E, E320)</f>
        <v>177.5700935</v>
      </c>
      <c r="R320" s="5">
        <f>AVERAGEIFS('Data Combined - all-runs'!$R:$R, 'Data Combined - all-runs'!$A:$A, A320,'Data Combined - all-runs'!$B:$B, B320,'Data Combined - all-runs'!$C:$C, C320, 'Data Combined - all-runs'!$D:$D, D320, 'Data Combined - all-runs'!$E:$E, E320)</f>
        <v>95</v>
      </c>
      <c r="S320" s="5">
        <f>AVERAGEIFS('Data Combined - all-runs'!$S:$S, 'Data Combined - all-runs'!$A:$A, A320,'Data Combined - all-runs'!$B:$B, B320,'Data Combined - all-runs'!$C:$C, C320, 'Data Combined - all-runs'!$D:$D, D320, 'Data Combined - all-runs'!$E:$E, E320)</f>
        <v>0</v>
      </c>
      <c r="T320" s="5">
        <f>AVERAGEIFS('Data Combined - all-runs'!$T:$T, 'Data Combined - all-runs'!$A:$A, A320,'Data Combined - all-runs'!$B:$B, B320,'Data Combined - all-runs'!$C:$C, C320, 'Data Combined - all-runs'!$D:$D, D320, 'Data Combined - all-runs'!$E:$E, E320)</f>
        <v>0</v>
      </c>
      <c r="U320" s="5" t="b">
        <f t="shared" si="1"/>
        <v>1</v>
      </c>
      <c r="V320" s="5" t="b">
        <f t="shared" si="2"/>
        <v>1</v>
      </c>
      <c r="W320" s="5" t="b">
        <f t="shared" si="3"/>
        <v>1</v>
      </c>
    </row>
    <row r="321">
      <c r="A321" s="2" t="s">
        <v>33</v>
      </c>
      <c r="B321" s="2" t="s">
        <v>22</v>
      </c>
      <c r="C321" s="2" t="s">
        <v>23</v>
      </c>
      <c r="D321" s="2" t="s">
        <v>118</v>
      </c>
      <c r="E321" s="2" t="s">
        <v>39</v>
      </c>
      <c r="H321" s="5">
        <f>AVERAGEIFS('Data Combined - all-runs'!$H:$H, 'Data Combined - all-runs'!$A:$A, A321,'Data Combined - all-runs'!$B:$B, B321,'Data Combined - all-runs'!$C:$C, C321, 'Data Combined - all-runs'!$D:$D, D321, 'Data Combined - all-runs'!$E:$E, E321)</f>
        <v>694</v>
      </c>
      <c r="I321" s="5">
        <f>AVERAGEIFS('Data Combined - all-runs'!$I:$I, 'Data Combined - all-runs'!$A:$A, A321,'Data Combined - all-runs'!$B:$B, B321,'Data Combined - all-runs'!$C:$C, C321, 'Data Combined - all-runs'!$D:$D, D321, 'Data Combined - all-runs'!$E:$E, E321)</f>
        <v>0</v>
      </c>
      <c r="J321" s="5">
        <f>AVERAGEIFS('Data Combined - all-runs'!$J:$J, 'Data Combined - all-runs'!$A:$A, A321,'Data Combined - all-runs'!$B:$B, B321,'Data Combined - all-runs'!$C:$C, C321, 'Data Combined - all-runs'!$D:$D, D321, 'Data Combined - all-runs'!$E:$E, E321)</f>
        <v>0</v>
      </c>
      <c r="K321" s="5">
        <f>AVERAGEIFS('Data Combined - all-runs'!$K:$K, 'Data Combined - all-runs'!$A:$A, A321,'Data Combined - all-runs'!$B:$B, B321,'Data Combined - all-runs'!$C:$C, C321, 'Data Combined - all-runs'!$D:$D, D321, 'Data Combined - all-runs'!$E:$E, E321)</f>
        <v>0.1161559889</v>
      </c>
      <c r="L321" s="5">
        <f>AVERAGEIFS('Data Combined - all-runs'!$L:$L, 'Data Combined - all-runs'!$A:$A, A321,'Data Combined - all-runs'!$B:$B, B321,'Data Combined - all-runs'!$C:$C, C321, 'Data Combined - all-runs'!$D:$D, D321, 'Data Combined - all-runs'!$E:$E, E321)</f>
        <v>4892.244372</v>
      </c>
      <c r="M321" s="5">
        <f>AVERAGEIFS('Data Combined - all-runs'!$M:$M, 'Data Combined - all-runs'!$A:$A, A321,'Data Combined - all-runs'!$B:$B, B321,'Data Combined - all-runs'!$C:$C, C321, 'Data Combined - all-runs'!$D:$D, D321, 'Data Combined - all-runs'!$E:$E, E321)</f>
        <v>391</v>
      </c>
      <c r="N321" s="5">
        <f>AVERAGEIFS('Data Combined - all-runs'!$N:$N, 'Data Combined - all-runs'!$A:$A, A321,'Data Combined - all-runs'!$B:$B, B321,'Data Combined - all-runs'!$C:$C, C321, 'Data Combined - all-runs'!$D:$D, D321, 'Data Combined - all-runs'!$E:$E, E321)</f>
        <v>3</v>
      </c>
      <c r="O321" s="5">
        <f>AVERAGEIFS('Data Combined - all-runs'!$O:$O, 'Data Combined - all-runs'!$A:$A, A321,'Data Combined - all-runs'!$B:$B, B321,'Data Combined - all-runs'!$C:$C, C321, 'Data Combined - all-runs'!$D:$D, D321, 'Data Combined - all-runs'!$E:$E, E321)</f>
        <v>1795</v>
      </c>
      <c r="P321" s="5">
        <f>AVERAGEIFS('Data Combined - all-runs'!$P:$P, 'Data Combined - all-runs'!$A:$A, A321,'Data Combined - all-runs'!$B:$B, B321,'Data Combined - all-runs'!$C:$C, C321, 'Data Combined - all-runs'!$D:$D, D321, 'Data Combined - all-runs'!$E:$E, E321)</f>
        <v>1.671309192</v>
      </c>
      <c r="Q321" s="5">
        <f>AVERAGEIFS('Data Combined - all-runs'!$Q:$Q, 'Data Combined - all-runs'!$A:$A, A321,'Data Combined - all-runs'!$B:$B, B321,'Data Combined - all-runs'!$C:$C, C321, 'Data Combined - all-runs'!$D:$D, D321, 'Data Combined - all-runs'!$E:$E, E321)</f>
        <v>386.6295265</v>
      </c>
      <c r="R321" s="5">
        <f>AVERAGEIFS('Data Combined - all-runs'!$R:$R, 'Data Combined - all-runs'!$A:$A, A321,'Data Combined - all-runs'!$B:$B, B321,'Data Combined - all-runs'!$C:$C, C321, 'Data Combined - all-runs'!$D:$D, D321, 'Data Combined - all-runs'!$E:$E, E321)</f>
        <v>231.3333333</v>
      </c>
      <c r="S321" s="5">
        <f>AVERAGEIFS('Data Combined - all-runs'!$S:$S, 'Data Combined - all-runs'!$A:$A, A321,'Data Combined - all-runs'!$B:$B, B321,'Data Combined - all-runs'!$C:$C, C321, 'Data Combined - all-runs'!$D:$D, D321, 'Data Combined - all-runs'!$E:$E, E321)</f>
        <v>0</v>
      </c>
      <c r="T321" s="5">
        <f>AVERAGEIFS('Data Combined - all-runs'!$T:$T, 'Data Combined - all-runs'!$A:$A, A321,'Data Combined - all-runs'!$B:$B, B321,'Data Combined - all-runs'!$C:$C, C321, 'Data Combined - all-runs'!$D:$D, D321, 'Data Combined - all-runs'!$E:$E, E321)</f>
        <v>0</v>
      </c>
      <c r="U321" s="5" t="b">
        <f t="shared" si="1"/>
        <v>1</v>
      </c>
      <c r="V321" s="5" t="b">
        <f t="shared" si="2"/>
        <v>1</v>
      </c>
      <c r="W321" s="5" t="b">
        <f t="shared" si="3"/>
        <v>1</v>
      </c>
    </row>
    <row r="322">
      <c r="A322" s="2" t="s">
        <v>33</v>
      </c>
      <c r="B322" s="2" t="s">
        <v>22</v>
      </c>
      <c r="C322" s="2" t="s">
        <v>23</v>
      </c>
      <c r="D322" s="2" t="s">
        <v>118</v>
      </c>
      <c r="E322" s="2" t="s">
        <v>43</v>
      </c>
      <c r="H322" s="5">
        <f>AVERAGEIFS('Data Combined - all-runs'!$H:$H, 'Data Combined - all-runs'!$A:$A, A322,'Data Combined - all-runs'!$B:$B, B322,'Data Combined - all-runs'!$C:$C, C322, 'Data Combined - all-runs'!$D:$D, D322, 'Data Combined - all-runs'!$E:$E, E322)</f>
        <v>653</v>
      </c>
      <c r="I322" s="5">
        <f>AVERAGEIFS('Data Combined - all-runs'!$I:$I, 'Data Combined - all-runs'!$A:$A, A322,'Data Combined - all-runs'!$B:$B, B322,'Data Combined - all-runs'!$C:$C, C322, 'Data Combined - all-runs'!$D:$D, D322, 'Data Combined - all-runs'!$E:$E, E322)</f>
        <v>0</v>
      </c>
      <c r="J322" s="5">
        <f>AVERAGEIFS('Data Combined - all-runs'!$J:$J, 'Data Combined - all-runs'!$A:$A, A322,'Data Combined - all-runs'!$B:$B, B322,'Data Combined - all-runs'!$C:$C, C322, 'Data Combined - all-runs'!$D:$D, D322, 'Data Combined - all-runs'!$E:$E, E322)</f>
        <v>1</v>
      </c>
      <c r="K322" s="5">
        <f>AVERAGEIFS('Data Combined - all-runs'!$K:$K, 'Data Combined - all-runs'!$A:$A, A322,'Data Combined - all-runs'!$B:$B, B322,'Data Combined - all-runs'!$C:$C, C322, 'Data Combined - all-runs'!$D:$D, D322, 'Data Combined - all-runs'!$E:$E, E322)</f>
        <v>0.09676870748</v>
      </c>
      <c r="L322" s="5">
        <f>AVERAGEIFS('Data Combined - all-runs'!$L:$L, 'Data Combined - all-runs'!$A:$A, A322,'Data Combined - all-runs'!$B:$B, B322,'Data Combined - all-runs'!$C:$C, C322, 'Data Combined - all-runs'!$D:$D, D322, 'Data Combined - all-runs'!$E:$E, E322)</f>
        <v>5475.787735</v>
      </c>
      <c r="M322" s="5">
        <f>AVERAGEIFS('Data Combined - all-runs'!$M:$M, 'Data Combined - all-runs'!$A:$A, A322,'Data Combined - all-runs'!$B:$B, B322,'Data Combined - all-runs'!$C:$C, C322, 'Data Combined - all-runs'!$D:$D, D322, 'Data Combined - all-runs'!$E:$E, E322)</f>
        <v>37</v>
      </c>
      <c r="N322" s="5">
        <f>AVERAGEIFS('Data Combined - all-runs'!$N:$N, 'Data Combined - all-runs'!$A:$A, A322,'Data Combined - all-runs'!$B:$B, B322,'Data Combined - all-runs'!$C:$C, C322, 'Data Combined - all-runs'!$D:$D, D322, 'Data Combined - all-runs'!$E:$E, E322)</f>
        <v>8</v>
      </c>
      <c r="O322" s="5">
        <f>AVERAGEIFS('Data Combined - all-runs'!$O:$O, 'Data Combined - all-runs'!$A:$A, A322,'Data Combined - all-runs'!$B:$B, B322,'Data Combined - all-runs'!$C:$C, C322, 'Data Combined - all-runs'!$D:$D, D322, 'Data Combined - all-runs'!$E:$E, E322)</f>
        <v>980</v>
      </c>
      <c r="P322" s="5">
        <f>AVERAGEIFS('Data Combined - all-runs'!$P:$P, 'Data Combined - all-runs'!$A:$A, A322,'Data Combined - all-runs'!$B:$B, B322,'Data Combined - all-runs'!$C:$C, C322, 'Data Combined - all-runs'!$D:$D, D322, 'Data Combined - all-runs'!$E:$E, E322)</f>
        <v>8.163265306</v>
      </c>
      <c r="Q322" s="5">
        <f>AVERAGEIFS('Data Combined - all-runs'!$Q:$Q, 'Data Combined - all-runs'!$A:$A, A322,'Data Combined - all-runs'!$B:$B, B322,'Data Combined - all-runs'!$C:$C, C322, 'Data Combined - all-runs'!$D:$D, D322, 'Data Combined - all-runs'!$E:$E, E322)</f>
        <v>666.3265306</v>
      </c>
      <c r="R322" s="5">
        <f>AVERAGEIFS('Data Combined - all-runs'!$R:$R, 'Data Combined - all-runs'!$A:$A, A322,'Data Combined - all-runs'!$B:$B, B322,'Data Combined - all-runs'!$C:$C, C322, 'Data Combined - all-runs'!$D:$D, D322, 'Data Combined - all-runs'!$E:$E, E322)</f>
        <v>81.625</v>
      </c>
      <c r="S322" s="5">
        <f>AVERAGEIFS('Data Combined - all-runs'!$S:$S, 'Data Combined - all-runs'!$A:$A, A322,'Data Combined - all-runs'!$B:$B, B322,'Data Combined - all-runs'!$C:$C, C322, 'Data Combined - all-runs'!$D:$D, D322, 'Data Combined - all-runs'!$E:$E, E322)</f>
        <v>0.001531393568</v>
      </c>
      <c r="T322" s="5">
        <f>AVERAGEIFS('Data Combined - all-runs'!$T:$T, 'Data Combined - all-runs'!$A:$A, A322,'Data Combined - all-runs'!$B:$B, B322,'Data Combined - all-runs'!$C:$C, C322, 'Data Combined - all-runs'!$D:$D, D322, 'Data Combined - all-runs'!$E:$E, E322)</f>
        <v>0</v>
      </c>
      <c r="U322" s="5" t="b">
        <f t="shared" si="1"/>
        <v>1</v>
      </c>
      <c r="V322" s="5" t="b">
        <f t="shared" si="2"/>
        <v>1</v>
      </c>
      <c r="W322" s="5" t="b">
        <f t="shared" si="3"/>
        <v>1</v>
      </c>
    </row>
    <row r="323">
      <c r="A323" s="2" t="s">
        <v>33</v>
      </c>
      <c r="B323" s="2" t="s">
        <v>22</v>
      </c>
      <c r="C323" s="2" t="s">
        <v>23</v>
      </c>
      <c r="D323" s="2" t="s">
        <v>118</v>
      </c>
      <c r="E323" s="2" t="s">
        <v>34</v>
      </c>
      <c r="H323" s="5">
        <f>AVERAGEIFS('Data Combined - all-runs'!$H:$H, 'Data Combined - all-runs'!$A:$A, A323,'Data Combined - all-runs'!$B:$B, B323,'Data Combined - all-runs'!$C:$C, C323, 'Data Combined - all-runs'!$D:$D, D323, 'Data Combined - all-runs'!$E:$E, E323)</f>
        <v>897</v>
      </c>
      <c r="I323" s="5">
        <f>AVERAGEIFS('Data Combined - all-runs'!$I:$I, 'Data Combined - all-runs'!$A:$A, A323,'Data Combined - all-runs'!$B:$B, B323,'Data Combined - all-runs'!$C:$C, C323, 'Data Combined - all-runs'!$D:$D, D323, 'Data Combined - all-runs'!$E:$E, E323)</f>
        <v>0</v>
      </c>
      <c r="J323" s="5">
        <f>AVERAGEIFS('Data Combined - all-runs'!$J:$J, 'Data Combined - all-runs'!$A:$A, A323,'Data Combined - all-runs'!$B:$B, B323,'Data Combined - all-runs'!$C:$C, C323, 'Data Combined - all-runs'!$D:$D, D323, 'Data Combined - all-runs'!$E:$E, E323)</f>
        <v>5</v>
      </c>
      <c r="K323" s="5">
        <f>AVERAGEIFS('Data Combined - all-runs'!$K:$K, 'Data Combined - all-runs'!$A:$A, A323,'Data Combined - all-runs'!$B:$B, B323,'Data Combined - all-runs'!$C:$C, C323, 'Data Combined - all-runs'!$D:$D, D323, 'Data Combined - all-runs'!$E:$E, E323)</f>
        <v>0.4010741511</v>
      </c>
      <c r="L323" s="5">
        <f>AVERAGEIFS('Data Combined - all-runs'!$L:$L, 'Data Combined - all-runs'!$A:$A, A323,'Data Combined - all-runs'!$B:$B, B323,'Data Combined - all-runs'!$C:$C, C323, 'Data Combined - all-runs'!$D:$D, D323, 'Data Combined - all-runs'!$E:$E, E323)</f>
        <v>9229.367406</v>
      </c>
      <c r="M323" s="5">
        <f>AVERAGEIFS('Data Combined - all-runs'!$M:$M, 'Data Combined - all-runs'!$A:$A, A323,'Data Combined - all-runs'!$B:$B, B323,'Data Combined - all-runs'!$C:$C, C323, 'Data Combined - all-runs'!$D:$D, D323, 'Data Combined - all-runs'!$E:$E, E323)</f>
        <v>37</v>
      </c>
      <c r="N323" s="5">
        <f>AVERAGEIFS('Data Combined - all-runs'!$N:$N, 'Data Combined - all-runs'!$A:$A, A323,'Data Combined - all-runs'!$B:$B, B323,'Data Combined - all-runs'!$C:$C, C323, 'Data Combined - all-runs'!$D:$D, D323, 'Data Combined - all-runs'!$E:$E, E323)</f>
        <v>4</v>
      </c>
      <c r="O323" s="5">
        <f>AVERAGEIFS('Data Combined - all-runs'!$O:$O, 'Data Combined - all-runs'!$A:$A, A323,'Data Combined - all-runs'!$B:$B, B323,'Data Combined - all-runs'!$C:$C, C323, 'Data Combined - all-runs'!$D:$D, D323, 'Data Combined - all-runs'!$E:$E, E323)</f>
        <v>962</v>
      </c>
      <c r="P323" s="5">
        <f>AVERAGEIFS('Data Combined - all-runs'!$P:$P, 'Data Combined - all-runs'!$A:$A, A323,'Data Combined - all-runs'!$B:$B, B323,'Data Combined - all-runs'!$C:$C, C323, 'Data Combined - all-runs'!$D:$D, D323, 'Data Combined - all-runs'!$E:$E, E323)</f>
        <v>4.158004158</v>
      </c>
      <c r="Q323" s="5">
        <f>AVERAGEIFS('Data Combined - all-runs'!$Q:$Q, 'Data Combined - all-runs'!$A:$A, A323,'Data Combined - all-runs'!$B:$B, B323,'Data Combined - all-runs'!$C:$C, C323, 'Data Combined - all-runs'!$D:$D, D323, 'Data Combined - all-runs'!$E:$E, E323)</f>
        <v>932.4324324</v>
      </c>
      <c r="R323" s="5">
        <f>AVERAGEIFS('Data Combined - all-runs'!$R:$R, 'Data Combined - all-runs'!$A:$A, A323,'Data Combined - all-runs'!$B:$B, B323,'Data Combined - all-runs'!$C:$C, C323, 'Data Combined - all-runs'!$D:$D, D323, 'Data Combined - all-runs'!$E:$E, E323)</f>
        <v>224.25</v>
      </c>
      <c r="S323" s="5">
        <f>AVERAGEIFS('Data Combined - all-runs'!$S:$S, 'Data Combined - all-runs'!$A:$A, A323,'Data Combined - all-runs'!$B:$B, B323,'Data Combined - all-runs'!$C:$C, C323, 'Data Combined - all-runs'!$D:$D, D323, 'Data Combined - all-runs'!$E:$E, E323)</f>
        <v>0.005574136009</v>
      </c>
      <c r="T323" s="5">
        <f>AVERAGEIFS('Data Combined - all-runs'!$T:$T, 'Data Combined - all-runs'!$A:$A, A323,'Data Combined - all-runs'!$B:$B, B323,'Data Combined - all-runs'!$C:$C, C323, 'Data Combined - all-runs'!$D:$D, D323, 'Data Combined - all-runs'!$E:$E, E323)</f>
        <v>0</v>
      </c>
      <c r="U323" s="5" t="b">
        <f t="shared" si="1"/>
        <v>1</v>
      </c>
      <c r="V323" s="5" t="b">
        <f t="shared" si="2"/>
        <v>1</v>
      </c>
      <c r="W323" s="5" t="b">
        <f t="shared" si="3"/>
        <v>1</v>
      </c>
    </row>
    <row r="324">
      <c r="A324" s="2" t="s">
        <v>33</v>
      </c>
      <c r="B324" s="2" t="s">
        <v>22</v>
      </c>
      <c r="C324" s="2" t="s">
        <v>23</v>
      </c>
      <c r="D324" s="2" t="s">
        <v>118</v>
      </c>
      <c r="E324" s="2" t="s">
        <v>47</v>
      </c>
      <c r="H324" s="5">
        <f>AVERAGEIFS('Data Combined - all-runs'!$H:$H, 'Data Combined - all-runs'!$A:$A, A324,'Data Combined - all-runs'!$B:$B, B324,'Data Combined - all-runs'!$C:$C, C324, 'Data Combined - all-runs'!$D:$D, D324, 'Data Combined - all-runs'!$E:$E, E324)</f>
        <v>1080</v>
      </c>
      <c r="I324" s="5">
        <f>AVERAGEIFS('Data Combined - all-runs'!$I:$I, 'Data Combined - all-runs'!$A:$A, A324,'Data Combined - all-runs'!$B:$B, B324,'Data Combined - all-runs'!$C:$C, C324, 'Data Combined - all-runs'!$D:$D, D324, 'Data Combined - all-runs'!$E:$E, E324)</f>
        <v>0</v>
      </c>
      <c r="J324" s="5">
        <f>AVERAGEIFS('Data Combined - all-runs'!$J:$J, 'Data Combined - all-runs'!$A:$A, A324,'Data Combined - all-runs'!$B:$B, B324,'Data Combined - all-runs'!$C:$C, C324, 'Data Combined - all-runs'!$D:$D, D324, 'Data Combined - all-runs'!$E:$E, E324)</f>
        <v>2</v>
      </c>
      <c r="K324" s="5">
        <f>AVERAGEIFS('Data Combined - all-runs'!$K:$K, 'Data Combined - all-runs'!$A:$A, A324,'Data Combined - all-runs'!$B:$B, B324,'Data Combined - all-runs'!$C:$C, C324, 'Data Combined - all-runs'!$D:$D, D324, 'Data Combined - all-runs'!$E:$E, E324)</f>
        <v>0.1277255639</v>
      </c>
      <c r="L324" s="5">
        <f>AVERAGEIFS('Data Combined - all-runs'!$L:$L, 'Data Combined - all-runs'!$A:$A, A324,'Data Combined - all-runs'!$B:$B, B324,'Data Combined - all-runs'!$C:$C, C324, 'Data Combined - all-runs'!$D:$D, D324, 'Data Combined - all-runs'!$E:$E, E324)</f>
        <v>11976.65296</v>
      </c>
      <c r="M324" s="5">
        <f>AVERAGEIFS('Data Combined - all-runs'!$M:$M, 'Data Combined - all-runs'!$A:$A, A324,'Data Combined - all-runs'!$B:$B, B324,'Data Combined - all-runs'!$C:$C, C324, 'Data Combined - all-runs'!$D:$D, D324, 'Data Combined - all-runs'!$E:$E, E324)</f>
        <v>67</v>
      </c>
      <c r="N324" s="5">
        <f>AVERAGEIFS('Data Combined - all-runs'!$N:$N, 'Data Combined - all-runs'!$A:$A, A324,'Data Combined - all-runs'!$B:$B, B324,'Data Combined - all-runs'!$C:$C, C324, 'Data Combined - all-runs'!$D:$D, D324, 'Data Combined - all-runs'!$E:$E, E324)</f>
        <v>14</v>
      </c>
      <c r="O324" s="5">
        <f>AVERAGEIFS('Data Combined - all-runs'!$O:$O, 'Data Combined - all-runs'!$A:$A, A324,'Data Combined - all-runs'!$B:$B, B324,'Data Combined - all-runs'!$C:$C, C324, 'Data Combined - all-runs'!$D:$D, D324, 'Data Combined - all-runs'!$E:$E, E324)</f>
        <v>1330</v>
      </c>
      <c r="P324" s="5">
        <f>AVERAGEIFS('Data Combined - all-runs'!$P:$P, 'Data Combined - all-runs'!$A:$A, A324,'Data Combined - all-runs'!$B:$B, B324,'Data Combined - all-runs'!$C:$C, C324, 'Data Combined - all-runs'!$D:$D, D324, 'Data Combined - all-runs'!$E:$E, E324)</f>
        <v>10.52631579</v>
      </c>
      <c r="Q324" s="5">
        <f>AVERAGEIFS('Data Combined - all-runs'!$Q:$Q, 'Data Combined - all-runs'!$A:$A, A324,'Data Combined - all-runs'!$B:$B, B324,'Data Combined - all-runs'!$C:$C, C324, 'Data Combined - all-runs'!$D:$D, D324, 'Data Combined - all-runs'!$E:$E, E324)</f>
        <v>812.0300752</v>
      </c>
      <c r="R324" s="5">
        <f>AVERAGEIFS('Data Combined - all-runs'!$R:$R, 'Data Combined - all-runs'!$A:$A, A324,'Data Combined - all-runs'!$B:$B, B324,'Data Combined - all-runs'!$C:$C, C324, 'Data Combined - all-runs'!$D:$D, D324, 'Data Combined - all-runs'!$E:$E, E324)</f>
        <v>77.14285714</v>
      </c>
      <c r="S324" s="5">
        <f>AVERAGEIFS('Data Combined - all-runs'!$S:$S, 'Data Combined - all-runs'!$A:$A, A324,'Data Combined - all-runs'!$B:$B, B324,'Data Combined - all-runs'!$C:$C, C324, 'Data Combined - all-runs'!$D:$D, D324, 'Data Combined - all-runs'!$E:$E, E324)</f>
        <v>0.001851851852</v>
      </c>
      <c r="T324" s="5">
        <f>AVERAGEIFS('Data Combined - all-runs'!$T:$T, 'Data Combined - all-runs'!$A:$A, A324,'Data Combined - all-runs'!$B:$B, B324,'Data Combined - all-runs'!$C:$C, C324, 'Data Combined - all-runs'!$D:$D, D324, 'Data Combined - all-runs'!$E:$E, E324)</f>
        <v>0</v>
      </c>
      <c r="U324" s="5" t="b">
        <f t="shared" si="1"/>
        <v>1</v>
      </c>
      <c r="V324" s="5" t="b">
        <f t="shared" si="2"/>
        <v>1</v>
      </c>
      <c r="W324" s="5" t="b">
        <f t="shared" si="3"/>
        <v>1</v>
      </c>
    </row>
    <row r="325">
      <c r="A325" s="2" t="s">
        <v>33</v>
      </c>
      <c r="B325" s="2" t="s">
        <v>22</v>
      </c>
      <c r="C325" s="2" t="s">
        <v>23</v>
      </c>
      <c r="D325" s="2" t="s">
        <v>118</v>
      </c>
      <c r="E325" s="2" t="s">
        <v>51</v>
      </c>
      <c r="H325" s="5">
        <f>AVERAGEIFS('Data Combined - all-runs'!$H:$H, 'Data Combined - all-runs'!$A:$A, A325,'Data Combined - all-runs'!$B:$B, B325,'Data Combined - all-runs'!$C:$C, C325, 'Data Combined - all-runs'!$D:$D, D325, 'Data Combined - all-runs'!$E:$E, E325)</f>
        <v>426</v>
      </c>
      <c r="I325" s="5">
        <f>AVERAGEIFS('Data Combined - all-runs'!$I:$I, 'Data Combined - all-runs'!$A:$A, A325,'Data Combined - all-runs'!$B:$B, B325,'Data Combined - all-runs'!$C:$C, C325, 'Data Combined - all-runs'!$D:$D, D325, 'Data Combined - all-runs'!$E:$E, E325)</f>
        <v>0</v>
      </c>
      <c r="J325" s="5">
        <f>AVERAGEIFS('Data Combined - all-runs'!$J:$J, 'Data Combined - all-runs'!$A:$A, A325,'Data Combined - all-runs'!$B:$B, B325,'Data Combined - all-runs'!$C:$C, C325, 'Data Combined - all-runs'!$D:$D, D325, 'Data Combined - all-runs'!$E:$E, E325)</f>
        <v>7</v>
      </c>
      <c r="K325" s="5">
        <f>AVERAGEIFS('Data Combined - all-runs'!$K:$K, 'Data Combined - all-runs'!$A:$A, A325,'Data Combined - all-runs'!$B:$B, B325,'Data Combined - all-runs'!$C:$C, C325, 'Data Combined - all-runs'!$D:$D, D325, 'Data Combined - all-runs'!$E:$E, E325)</f>
        <v>0.06750645995</v>
      </c>
      <c r="L325" s="5">
        <f>AVERAGEIFS('Data Combined - all-runs'!$L:$L, 'Data Combined - all-runs'!$A:$A, A325,'Data Combined - all-runs'!$B:$B, B325,'Data Combined - all-runs'!$C:$C, C325, 'Data Combined - all-runs'!$D:$D, D325, 'Data Combined - all-runs'!$E:$E, E325)</f>
        <v>4103.945033</v>
      </c>
      <c r="M325" s="5">
        <f>AVERAGEIFS('Data Combined - all-runs'!$M:$M, 'Data Combined - all-runs'!$A:$A, A325,'Data Combined - all-runs'!$B:$B, B325,'Data Combined - all-runs'!$C:$C, C325, 'Data Combined - all-runs'!$D:$D, D325, 'Data Combined - all-runs'!$E:$E, E325)</f>
        <v>32</v>
      </c>
      <c r="N325" s="5">
        <f>AVERAGEIFS('Data Combined - all-runs'!$N:$N, 'Data Combined - all-runs'!$A:$A, A325,'Data Combined - all-runs'!$B:$B, B325,'Data Combined - all-runs'!$C:$C, C325, 'Data Combined - all-runs'!$D:$D, D325, 'Data Combined - all-runs'!$E:$E, E325)</f>
        <v>7</v>
      </c>
      <c r="O325" s="5">
        <f>AVERAGEIFS('Data Combined - all-runs'!$O:$O, 'Data Combined - all-runs'!$A:$A, A325,'Data Combined - all-runs'!$B:$B, B325,'Data Combined - all-runs'!$C:$C, C325, 'Data Combined - all-runs'!$D:$D, D325, 'Data Combined - all-runs'!$E:$E, E325)</f>
        <v>774</v>
      </c>
      <c r="P325" s="5">
        <f>AVERAGEIFS('Data Combined - all-runs'!$P:$P, 'Data Combined - all-runs'!$A:$A, A325,'Data Combined - all-runs'!$B:$B, B325,'Data Combined - all-runs'!$C:$C, C325, 'Data Combined - all-runs'!$D:$D, D325, 'Data Combined - all-runs'!$E:$E, E325)</f>
        <v>9.043927649</v>
      </c>
      <c r="Q325" s="5">
        <f>AVERAGEIFS('Data Combined - all-runs'!$Q:$Q, 'Data Combined - all-runs'!$A:$A, A325,'Data Combined - all-runs'!$B:$B, B325,'Data Combined - all-runs'!$C:$C, C325, 'Data Combined - all-runs'!$D:$D, D325, 'Data Combined - all-runs'!$E:$E, E325)</f>
        <v>550.3875969</v>
      </c>
      <c r="R325" s="5">
        <f>AVERAGEIFS('Data Combined - all-runs'!$R:$R, 'Data Combined - all-runs'!$A:$A, A325,'Data Combined - all-runs'!$B:$B, B325,'Data Combined - all-runs'!$C:$C, C325, 'Data Combined - all-runs'!$D:$D, D325, 'Data Combined - all-runs'!$E:$E, E325)</f>
        <v>60.85714286</v>
      </c>
      <c r="S325" s="5">
        <f>AVERAGEIFS('Data Combined - all-runs'!$S:$S, 'Data Combined - all-runs'!$A:$A, A325,'Data Combined - all-runs'!$B:$B, B325,'Data Combined - all-runs'!$C:$C, C325, 'Data Combined - all-runs'!$D:$D, D325, 'Data Combined - all-runs'!$E:$E, E325)</f>
        <v>0.01643192488</v>
      </c>
      <c r="T325" s="5">
        <f>AVERAGEIFS('Data Combined - all-runs'!$T:$T, 'Data Combined - all-runs'!$A:$A, A325,'Data Combined - all-runs'!$B:$B, B325,'Data Combined - all-runs'!$C:$C, C325, 'Data Combined - all-runs'!$D:$D, D325, 'Data Combined - all-runs'!$E:$E, E325)</f>
        <v>0</v>
      </c>
      <c r="U325" s="5" t="b">
        <f t="shared" si="1"/>
        <v>1</v>
      </c>
      <c r="V325" s="5" t="b">
        <f t="shared" si="2"/>
        <v>1</v>
      </c>
      <c r="W325" s="5" t="b">
        <f t="shared" si="3"/>
        <v>1</v>
      </c>
    </row>
    <row r="326">
      <c r="A326" s="2" t="s">
        <v>33</v>
      </c>
      <c r="B326" s="2" t="s">
        <v>22</v>
      </c>
      <c r="C326" s="2" t="s">
        <v>35</v>
      </c>
      <c r="D326" s="2" t="s">
        <v>24</v>
      </c>
      <c r="E326" s="2" t="s">
        <v>25</v>
      </c>
      <c r="H326" s="5">
        <f>AVERAGEIFS('Data Combined - all-runs'!$H:$H, 'Data Combined - all-runs'!$A:$A, A326,'Data Combined - all-runs'!$B:$B, B326,'Data Combined - all-runs'!$C:$C, C326, 'Data Combined - all-runs'!$D:$D, D326, 'Data Combined - all-runs'!$E:$E, E326)</f>
        <v>485.5</v>
      </c>
      <c r="I326" s="5">
        <f>AVERAGEIFS('Data Combined - all-runs'!$I:$I, 'Data Combined - all-runs'!$A:$A, A326,'Data Combined - all-runs'!$B:$B, B326,'Data Combined - all-runs'!$C:$C, C326, 'Data Combined - all-runs'!$D:$D, D326, 'Data Combined - all-runs'!$E:$E, E326)</f>
        <v>125.75</v>
      </c>
      <c r="J326" s="5">
        <f>AVERAGEIFS('Data Combined - all-runs'!$J:$J, 'Data Combined - all-runs'!$A:$A, A326,'Data Combined - all-runs'!$B:$B, B326,'Data Combined - all-runs'!$C:$C, C326, 'Data Combined - all-runs'!$D:$D, D326, 'Data Combined - all-runs'!$E:$E, E326)</f>
        <v>707.5</v>
      </c>
      <c r="K326" s="5">
        <f>AVERAGEIFS('Data Combined - all-runs'!$K:$K, 'Data Combined - all-runs'!$A:$A, A326,'Data Combined - all-runs'!$B:$B, B326,'Data Combined - all-runs'!$C:$C, C326, 'Data Combined - all-runs'!$D:$D, D326, 'Data Combined - all-runs'!$E:$E, E326)</f>
        <v>0</v>
      </c>
      <c r="L326" s="5">
        <f>AVERAGEIFS('Data Combined - all-runs'!$L:$L, 'Data Combined - all-runs'!$A:$A, A326,'Data Combined - all-runs'!$B:$B, B326,'Data Combined - all-runs'!$C:$C, C326, 'Data Combined - all-runs'!$D:$D, D326, 'Data Combined - all-runs'!$E:$E, E326)</f>
        <v>2724.259726</v>
      </c>
      <c r="M326" s="5" t="str">
        <f>AVERAGEIFS('Data Combined - all-runs'!$M:$M, 'Data Combined - all-runs'!$A:$A, A326,'Data Combined - all-runs'!$B:$B, B326,'Data Combined - all-runs'!$C:$C, C326, 'Data Combined - all-runs'!$D:$D, D326, 'Data Combined - all-runs'!$E:$E, E326)</f>
        <v>#DIV/0!</v>
      </c>
      <c r="N326" s="5">
        <f>AVERAGEIFS('Data Combined - all-runs'!$N:$N, 'Data Combined - all-runs'!$A:$A, A326,'Data Combined - all-runs'!$B:$B, B326,'Data Combined - all-runs'!$C:$C, C326, 'Data Combined - all-runs'!$D:$D, D326, 'Data Combined - all-runs'!$E:$E, E326)</f>
        <v>0</v>
      </c>
      <c r="O326" s="5">
        <f>AVERAGEIFS('Data Combined - all-runs'!$O:$O, 'Data Combined - all-runs'!$A:$A, A326,'Data Combined - all-runs'!$B:$B, B326,'Data Combined - all-runs'!$C:$C, C326, 'Data Combined - all-runs'!$D:$D, D326, 'Data Combined - all-runs'!$E:$E, E326)</f>
        <v>500</v>
      </c>
      <c r="P326" s="5">
        <f>AVERAGEIFS('Data Combined - all-runs'!$P:$P, 'Data Combined - all-runs'!$A:$A, A326,'Data Combined - all-runs'!$B:$B, B326,'Data Combined - all-runs'!$C:$C, C326, 'Data Combined - all-runs'!$D:$D, D326, 'Data Combined - all-runs'!$E:$E, E326)</f>
        <v>0</v>
      </c>
      <c r="Q326" s="5">
        <f>AVERAGEIFS('Data Combined - all-runs'!$Q:$Q, 'Data Combined - all-runs'!$A:$A, A326,'Data Combined - all-runs'!$B:$B, B326,'Data Combined - all-runs'!$C:$C, C326, 'Data Combined - all-runs'!$D:$D, D326, 'Data Combined - all-runs'!$E:$E, E326)</f>
        <v>971</v>
      </c>
      <c r="R326" s="5" t="str">
        <f>AVERAGEIFS('Data Combined - all-runs'!$R:$R, 'Data Combined - all-runs'!$A:$A, A326,'Data Combined - all-runs'!$B:$B, B326,'Data Combined - all-runs'!$C:$C, C326, 'Data Combined - all-runs'!$D:$D, D326, 'Data Combined - all-runs'!$E:$E, E326)</f>
        <v>#DIV/0!</v>
      </c>
      <c r="S326" s="5">
        <f>AVERAGEIFS('Data Combined - all-runs'!$S:$S, 'Data Combined - all-runs'!$A:$A, A326,'Data Combined - all-runs'!$B:$B, B326,'Data Combined - all-runs'!$C:$C, C326, 'Data Combined - all-runs'!$D:$D, D326, 'Data Combined - all-runs'!$E:$E, E326)</f>
        <v>1.449178805</v>
      </c>
      <c r="T326" s="5">
        <f>AVERAGEIFS('Data Combined - all-runs'!$T:$T, 'Data Combined - all-runs'!$A:$A, A326,'Data Combined - all-runs'!$B:$B, B326,'Data Combined - all-runs'!$C:$C, C326, 'Data Combined - all-runs'!$D:$D, D326, 'Data Combined - all-runs'!$E:$E, E326)</f>
        <v>0.251560357</v>
      </c>
      <c r="U326" s="5" t="b">
        <f t="shared" si="1"/>
        <v>1</v>
      </c>
      <c r="V326" s="5" t="b">
        <f t="shared" si="2"/>
        <v>1</v>
      </c>
      <c r="W326" s="5" t="b">
        <f t="shared" si="3"/>
        <v>0</v>
      </c>
    </row>
    <row r="327">
      <c r="A327" s="2" t="s">
        <v>33</v>
      </c>
      <c r="B327" s="2" t="s">
        <v>22</v>
      </c>
      <c r="C327" s="2" t="s">
        <v>35</v>
      </c>
      <c r="D327" s="2" t="s">
        <v>24</v>
      </c>
      <c r="E327" s="2" t="s">
        <v>39</v>
      </c>
      <c r="H327" s="5">
        <f>AVERAGEIFS('Data Combined - all-runs'!$H:$H, 'Data Combined - all-runs'!$A:$A, A327,'Data Combined - all-runs'!$B:$B, B327,'Data Combined - all-runs'!$C:$C, C327, 'Data Combined - all-runs'!$D:$D, D327, 'Data Combined - all-runs'!$E:$E, E327)</f>
        <v>491</v>
      </c>
      <c r="I327" s="5">
        <f>AVERAGEIFS('Data Combined - all-runs'!$I:$I, 'Data Combined - all-runs'!$A:$A, A327,'Data Combined - all-runs'!$B:$B, B327,'Data Combined - all-runs'!$C:$C, C327, 'Data Combined - all-runs'!$D:$D, D327, 'Data Combined - all-runs'!$E:$E, E327)</f>
        <v>98</v>
      </c>
      <c r="J327" s="5">
        <f>AVERAGEIFS('Data Combined - all-runs'!$J:$J, 'Data Combined - all-runs'!$A:$A, A327,'Data Combined - all-runs'!$B:$B, B327,'Data Combined - all-runs'!$C:$C, C327, 'Data Combined - all-runs'!$D:$D, D327, 'Data Combined - all-runs'!$E:$E, E327)</f>
        <v>529.6</v>
      </c>
      <c r="K327" s="5">
        <f>AVERAGEIFS('Data Combined - all-runs'!$K:$K, 'Data Combined - all-runs'!$A:$A, A327,'Data Combined - all-runs'!$B:$B, B327,'Data Combined - all-runs'!$C:$C, C327, 'Data Combined - all-runs'!$D:$D, D327, 'Data Combined - all-runs'!$E:$E, E327)</f>
        <v>0</v>
      </c>
      <c r="L327" s="5">
        <f>AVERAGEIFS('Data Combined - all-runs'!$L:$L, 'Data Combined - all-runs'!$A:$A, A327,'Data Combined - all-runs'!$B:$B, B327,'Data Combined - all-runs'!$C:$C, C327, 'Data Combined - all-runs'!$D:$D, D327, 'Data Combined - all-runs'!$E:$E, E327)</f>
        <v>3366.376361</v>
      </c>
      <c r="M327" s="5" t="str">
        <f>AVERAGEIFS('Data Combined - all-runs'!$M:$M, 'Data Combined - all-runs'!$A:$A, A327,'Data Combined - all-runs'!$B:$B, B327,'Data Combined - all-runs'!$C:$C, C327, 'Data Combined - all-runs'!$D:$D, D327, 'Data Combined - all-runs'!$E:$E, E327)</f>
        <v>#DIV/0!</v>
      </c>
      <c r="N327" s="5">
        <f>AVERAGEIFS('Data Combined - all-runs'!$N:$N, 'Data Combined - all-runs'!$A:$A, A327,'Data Combined - all-runs'!$B:$B, B327,'Data Combined - all-runs'!$C:$C, C327, 'Data Combined - all-runs'!$D:$D, D327, 'Data Combined - all-runs'!$E:$E, E327)</f>
        <v>0</v>
      </c>
      <c r="O327" s="5">
        <f>AVERAGEIFS('Data Combined - all-runs'!$O:$O, 'Data Combined - all-runs'!$A:$A, A327,'Data Combined - all-runs'!$B:$B, B327,'Data Combined - all-runs'!$C:$C, C327, 'Data Combined - all-runs'!$D:$D, D327, 'Data Combined - all-runs'!$E:$E, E327)</f>
        <v>500</v>
      </c>
      <c r="P327" s="5">
        <f>AVERAGEIFS('Data Combined - all-runs'!$P:$P, 'Data Combined - all-runs'!$A:$A, A327,'Data Combined - all-runs'!$B:$B, B327,'Data Combined - all-runs'!$C:$C, C327, 'Data Combined - all-runs'!$D:$D, D327, 'Data Combined - all-runs'!$E:$E, E327)</f>
        <v>0</v>
      </c>
      <c r="Q327" s="5">
        <f>AVERAGEIFS('Data Combined - all-runs'!$Q:$Q, 'Data Combined - all-runs'!$A:$A, A327,'Data Combined - all-runs'!$B:$B, B327,'Data Combined - all-runs'!$C:$C, C327, 'Data Combined - all-runs'!$D:$D, D327, 'Data Combined - all-runs'!$E:$E, E327)</f>
        <v>982</v>
      </c>
      <c r="R327" s="5" t="str">
        <f>AVERAGEIFS('Data Combined - all-runs'!$R:$R, 'Data Combined - all-runs'!$A:$A, A327,'Data Combined - all-runs'!$B:$B, B327,'Data Combined - all-runs'!$C:$C, C327, 'Data Combined - all-runs'!$D:$D, D327, 'Data Combined - all-runs'!$E:$E, E327)</f>
        <v>#DIV/0!</v>
      </c>
      <c r="S327" s="5">
        <f>AVERAGEIFS('Data Combined - all-runs'!$S:$S, 'Data Combined - all-runs'!$A:$A, A327,'Data Combined - all-runs'!$B:$B, B327,'Data Combined - all-runs'!$C:$C, C327, 'Data Combined - all-runs'!$D:$D, D327, 'Data Combined - all-runs'!$E:$E, E327)</f>
        <v>1.078615071</v>
      </c>
      <c r="T327" s="5">
        <f>AVERAGEIFS('Data Combined - all-runs'!$T:$T, 'Data Combined - all-runs'!$A:$A, A327,'Data Combined - all-runs'!$B:$B, B327,'Data Combined - all-runs'!$C:$C, C327, 'Data Combined - all-runs'!$D:$D, D327, 'Data Combined - all-runs'!$E:$E, E327)</f>
        <v>0.199592668</v>
      </c>
      <c r="U327" s="5" t="b">
        <f t="shared" si="1"/>
        <v>1</v>
      </c>
      <c r="V327" s="5" t="b">
        <f t="shared" si="2"/>
        <v>1</v>
      </c>
      <c r="W327" s="5" t="b">
        <f t="shared" si="3"/>
        <v>0</v>
      </c>
    </row>
    <row r="328">
      <c r="A328" s="2" t="s">
        <v>33</v>
      </c>
      <c r="B328" s="2" t="s">
        <v>22</v>
      </c>
      <c r="C328" s="2" t="s">
        <v>35</v>
      </c>
      <c r="D328" s="2" t="s">
        <v>24</v>
      </c>
      <c r="E328" s="2" t="s">
        <v>43</v>
      </c>
      <c r="H328" s="5">
        <f>AVERAGEIFS('Data Combined - all-runs'!$H:$H, 'Data Combined - all-runs'!$A:$A, A328,'Data Combined - all-runs'!$B:$B, B328,'Data Combined - all-runs'!$C:$C, C328, 'Data Combined - all-runs'!$D:$D, D328, 'Data Combined - all-runs'!$E:$E, E328)</f>
        <v>283.8</v>
      </c>
      <c r="I328" s="5">
        <f>AVERAGEIFS('Data Combined - all-runs'!$I:$I, 'Data Combined - all-runs'!$A:$A, A328,'Data Combined - all-runs'!$B:$B, B328,'Data Combined - all-runs'!$C:$C, C328, 'Data Combined - all-runs'!$D:$D, D328, 'Data Combined - all-runs'!$E:$E, E328)</f>
        <v>9.4</v>
      </c>
      <c r="J328" s="5">
        <f>AVERAGEIFS('Data Combined - all-runs'!$J:$J, 'Data Combined - all-runs'!$A:$A, A328,'Data Combined - all-runs'!$B:$B, B328,'Data Combined - all-runs'!$C:$C, C328, 'Data Combined - all-runs'!$D:$D, D328, 'Data Combined - all-runs'!$E:$E, E328)</f>
        <v>159.4</v>
      </c>
      <c r="K328" s="5">
        <f>AVERAGEIFS('Data Combined - all-runs'!$K:$K, 'Data Combined - all-runs'!$A:$A, A328,'Data Combined - all-runs'!$B:$B, B328,'Data Combined - all-runs'!$C:$C, C328, 'Data Combined - all-runs'!$D:$D, D328, 'Data Combined - all-runs'!$E:$E, E328)</f>
        <v>0</v>
      </c>
      <c r="L328" s="5">
        <f>AVERAGEIFS('Data Combined - all-runs'!$L:$L, 'Data Combined - all-runs'!$A:$A, A328,'Data Combined - all-runs'!$B:$B, B328,'Data Combined - all-runs'!$C:$C, C328, 'Data Combined - all-runs'!$D:$D, D328, 'Data Combined - all-runs'!$E:$E, E328)</f>
        <v>6186.995272</v>
      </c>
      <c r="M328" s="5" t="str">
        <f>AVERAGEIFS('Data Combined - all-runs'!$M:$M, 'Data Combined - all-runs'!$A:$A, A328,'Data Combined - all-runs'!$B:$B, B328,'Data Combined - all-runs'!$C:$C, C328, 'Data Combined - all-runs'!$D:$D, D328, 'Data Combined - all-runs'!$E:$E, E328)</f>
        <v>#DIV/0!</v>
      </c>
      <c r="N328" s="5">
        <f>AVERAGEIFS('Data Combined - all-runs'!$N:$N, 'Data Combined - all-runs'!$A:$A, A328,'Data Combined - all-runs'!$B:$B, B328,'Data Combined - all-runs'!$C:$C, C328, 'Data Combined - all-runs'!$D:$D, D328, 'Data Combined - all-runs'!$E:$E, E328)</f>
        <v>0</v>
      </c>
      <c r="O328" s="5">
        <f>AVERAGEIFS('Data Combined - all-runs'!$O:$O, 'Data Combined - all-runs'!$A:$A, A328,'Data Combined - all-runs'!$B:$B, B328,'Data Combined - all-runs'!$C:$C, C328, 'Data Combined - all-runs'!$D:$D, D328, 'Data Combined - all-runs'!$E:$E, E328)</f>
        <v>500</v>
      </c>
      <c r="P328" s="5">
        <f>AVERAGEIFS('Data Combined - all-runs'!$P:$P, 'Data Combined - all-runs'!$A:$A, A328,'Data Combined - all-runs'!$B:$B, B328,'Data Combined - all-runs'!$C:$C, C328, 'Data Combined - all-runs'!$D:$D, D328, 'Data Combined - all-runs'!$E:$E, E328)</f>
        <v>0</v>
      </c>
      <c r="Q328" s="5">
        <f>AVERAGEIFS('Data Combined - all-runs'!$Q:$Q, 'Data Combined - all-runs'!$A:$A, A328,'Data Combined - all-runs'!$B:$B, B328,'Data Combined - all-runs'!$C:$C, C328, 'Data Combined - all-runs'!$D:$D, D328, 'Data Combined - all-runs'!$E:$E, E328)</f>
        <v>567.6</v>
      </c>
      <c r="R328" s="5" t="str">
        <f>AVERAGEIFS('Data Combined - all-runs'!$R:$R, 'Data Combined - all-runs'!$A:$A, A328,'Data Combined - all-runs'!$B:$B, B328,'Data Combined - all-runs'!$C:$C, C328, 'Data Combined - all-runs'!$D:$D, D328, 'Data Combined - all-runs'!$E:$E, E328)</f>
        <v>#DIV/0!</v>
      </c>
      <c r="S328" s="5">
        <f>AVERAGEIFS('Data Combined - all-runs'!$S:$S, 'Data Combined - all-runs'!$A:$A, A328,'Data Combined - all-runs'!$B:$B, B328,'Data Combined - all-runs'!$C:$C, C328, 'Data Combined - all-runs'!$D:$D, D328, 'Data Combined - all-runs'!$E:$E, E328)</f>
        <v>0.8934020834</v>
      </c>
      <c r="T328" s="5">
        <f>AVERAGEIFS('Data Combined - all-runs'!$T:$T, 'Data Combined - all-runs'!$A:$A, A328,'Data Combined - all-runs'!$B:$B, B328,'Data Combined - all-runs'!$C:$C, C328, 'Data Combined - all-runs'!$D:$D, D328, 'Data Combined - all-runs'!$E:$E, E328)</f>
        <v>0.02175925926</v>
      </c>
      <c r="U328" s="5" t="b">
        <f t="shared" si="1"/>
        <v>1</v>
      </c>
      <c r="V328" s="5" t="b">
        <f t="shared" si="2"/>
        <v>1</v>
      </c>
      <c r="W328" s="5" t="b">
        <f t="shared" si="3"/>
        <v>0</v>
      </c>
    </row>
    <row r="329">
      <c r="A329" s="2" t="s">
        <v>33</v>
      </c>
      <c r="B329" s="2" t="s">
        <v>22</v>
      </c>
      <c r="C329" s="2" t="s">
        <v>35</v>
      </c>
      <c r="D329" s="2" t="s">
        <v>24</v>
      </c>
      <c r="E329" s="2" t="s">
        <v>34</v>
      </c>
      <c r="H329" s="5">
        <f>AVERAGEIFS('Data Combined - all-runs'!$H:$H, 'Data Combined - all-runs'!$A:$A, A329,'Data Combined - all-runs'!$B:$B, B329,'Data Combined - all-runs'!$C:$C, C329, 'Data Combined - all-runs'!$D:$D, D329, 'Data Combined - all-runs'!$E:$E, E329)</f>
        <v>483</v>
      </c>
      <c r="I329" s="5">
        <f>AVERAGEIFS('Data Combined - all-runs'!$I:$I, 'Data Combined - all-runs'!$A:$A, A329,'Data Combined - all-runs'!$B:$B, B329,'Data Combined - all-runs'!$C:$C, C329, 'Data Combined - all-runs'!$D:$D, D329, 'Data Combined - all-runs'!$E:$E, E329)</f>
        <v>10</v>
      </c>
      <c r="J329" s="5">
        <f>AVERAGEIFS('Data Combined - all-runs'!$J:$J, 'Data Combined - all-runs'!$A:$A, A329,'Data Combined - all-runs'!$B:$B, B329,'Data Combined - all-runs'!$C:$C, C329, 'Data Combined - all-runs'!$D:$D, D329, 'Data Combined - all-runs'!$E:$E, E329)</f>
        <v>10</v>
      </c>
      <c r="K329" s="5">
        <f>AVERAGEIFS('Data Combined - all-runs'!$K:$K, 'Data Combined - all-runs'!$A:$A, A329,'Data Combined - all-runs'!$B:$B, B329,'Data Combined - all-runs'!$C:$C, C329, 'Data Combined - all-runs'!$D:$D, D329, 'Data Combined - all-runs'!$E:$E, E329)</f>
        <v>0</v>
      </c>
      <c r="L329" s="5">
        <f>AVERAGEIFS('Data Combined - all-runs'!$L:$L, 'Data Combined - all-runs'!$A:$A, A329,'Data Combined - all-runs'!$B:$B, B329,'Data Combined - all-runs'!$C:$C, C329, 'Data Combined - all-runs'!$D:$D, D329, 'Data Combined - all-runs'!$E:$E, E329)</f>
        <v>2818.345661</v>
      </c>
      <c r="M329" s="5" t="str">
        <f>AVERAGEIFS('Data Combined - all-runs'!$M:$M, 'Data Combined - all-runs'!$A:$A, A329,'Data Combined - all-runs'!$B:$B, B329,'Data Combined - all-runs'!$C:$C, C329, 'Data Combined - all-runs'!$D:$D, D329, 'Data Combined - all-runs'!$E:$E, E329)</f>
        <v>#DIV/0!</v>
      </c>
      <c r="N329" s="5">
        <f>AVERAGEIFS('Data Combined - all-runs'!$N:$N, 'Data Combined - all-runs'!$A:$A, A329,'Data Combined - all-runs'!$B:$B, B329,'Data Combined - all-runs'!$C:$C, C329, 'Data Combined - all-runs'!$D:$D, D329, 'Data Combined - all-runs'!$E:$E, E329)</f>
        <v>0</v>
      </c>
      <c r="O329" s="5">
        <f>AVERAGEIFS('Data Combined - all-runs'!$O:$O, 'Data Combined - all-runs'!$A:$A, A329,'Data Combined - all-runs'!$B:$B, B329,'Data Combined - all-runs'!$C:$C, C329, 'Data Combined - all-runs'!$D:$D, D329, 'Data Combined - all-runs'!$E:$E, E329)</f>
        <v>500</v>
      </c>
      <c r="P329" s="5">
        <f>AVERAGEIFS('Data Combined - all-runs'!$P:$P, 'Data Combined - all-runs'!$A:$A, A329,'Data Combined - all-runs'!$B:$B, B329,'Data Combined - all-runs'!$C:$C, C329, 'Data Combined - all-runs'!$D:$D, D329, 'Data Combined - all-runs'!$E:$E, E329)</f>
        <v>0</v>
      </c>
      <c r="Q329" s="5">
        <f>AVERAGEIFS('Data Combined - all-runs'!$Q:$Q, 'Data Combined - all-runs'!$A:$A, A329,'Data Combined - all-runs'!$B:$B, B329,'Data Combined - all-runs'!$C:$C, C329, 'Data Combined - all-runs'!$D:$D, D329, 'Data Combined - all-runs'!$E:$E, E329)</f>
        <v>966</v>
      </c>
      <c r="R329" s="5" t="str">
        <f>AVERAGEIFS('Data Combined - all-runs'!$R:$R, 'Data Combined - all-runs'!$A:$A, A329,'Data Combined - all-runs'!$B:$B, B329,'Data Combined - all-runs'!$C:$C, C329, 'Data Combined - all-runs'!$D:$D, D329, 'Data Combined - all-runs'!$E:$E, E329)</f>
        <v>#DIV/0!</v>
      </c>
      <c r="S329" s="5">
        <f>AVERAGEIFS('Data Combined - all-runs'!$S:$S, 'Data Combined - all-runs'!$A:$A, A329,'Data Combined - all-runs'!$B:$B, B329,'Data Combined - all-runs'!$C:$C, C329, 'Data Combined - all-runs'!$D:$D, D329, 'Data Combined - all-runs'!$E:$E, E329)</f>
        <v>0.02070393375</v>
      </c>
      <c r="T329" s="5">
        <f>AVERAGEIFS('Data Combined - all-runs'!$T:$T, 'Data Combined - all-runs'!$A:$A, A329,'Data Combined - all-runs'!$B:$B, B329,'Data Combined - all-runs'!$C:$C, C329, 'Data Combined - all-runs'!$D:$D, D329, 'Data Combined - all-runs'!$E:$E, E329)</f>
        <v>0.02070393375</v>
      </c>
      <c r="U329" s="5" t="b">
        <f t="shared" si="1"/>
        <v>1</v>
      </c>
      <c r="V329" s="5" t="b">
        <f t="shared" si="2"/>
        <v>1</v>
      </c>
      <c r="W329" s="5" t="b">
        <f t="shared" si="3"/>
        <v>0</v>
      </c>
    </row>
    <row r="330">
      <c r="A330" s="2" t="s">
        <v>33</v>
      </c>
      <c r="B330" s="2" t="s">
        <v>22</v>
      </c>
      <c r="C330" s="2" t="s">
        <v>35</v>
      </c>
      <c r="D330" s="2" t="s">
        <v>24</v>
      </c>
      <c r="E330" s="2" t="s">
        <v>47</v>
      </c>
      <c r="H330" s="5">
        <f>AVERAGEIFS('Data Combined - all-runs'!$H:$H, 'Data Combined - all-runs'!$A:$A, A330,'Data Combined - all-runs'!$B:$B, B330,'Data Combined - all-runs'!$C:$C, C330, 'Data Combined - all-runs'!$D:$D, D330, 'Data Combined - all-runs'!$E:$E, E330)</f>
        <v>280.6</v>
      </c>
      <c r="I330" s="5">
        <f>AVERAGEIFS('Data Combined - all-runs'!$I:$I, 'Data Combined - all-runs'!$A:$A, A330,'Data Combined - all-runs'!$B:$B, B330,'Data Combined - all-runs'!$C:$C, C330, 'Data Combined - all-runs'!$D:$D, D330, 'Data Combined - all-runs'!$E:$E, E330)</f>
        <v>0</v>
      </c>
      <c r="J330" s="5">
        <f>AVERAGEIFS('Data Combined - all-runs'!$J:$J, 'Data Combined - all-runs'!$A:$A, A330,'Data Combined - all-runs'!$B:$B, B330,'Data Combined - all-runs'!$C:$C, C330, 'Data Combined - all-runs'!$D:$D, D330, 'Data Combined - all-runs'!$E:$E, E330)</f>
        <v>877.8</v>
      </c>
      <c r="K330" s="5">
        <f>AVERAGEIFS('Data Combined - all-runs'!$K:$K, 'Data Combined - all-runs'!$A:$A, A330,'Data Combined - all-runs'!$B:$B, B330,'Data Combined - all-runs'!$C:$C, C330, 'Data Combined - all-runs'!$D:$D, D330, 'Data Combined - all-runs'!$E:$E, E330)</f>
        <v>0.01055</v>
      </c>
      <c r="L330" s="5">
        <f>AVERAGEIFS('Data Combined - all-runs'!$L:$L, 'Data Combined - all-runs'!$A:$A, A330,'Data Combined - all-runs'!$B:$B, B330,'Data Combined - all-runs'!$C:$C, C330, 'Data Combined - all-runs'!$D:$D, D330, 'Data Combined - all-runs'!$E:$E, E330)</f>
        <v>10669.69617</v>
      </c>
      <c r="M330" s="5" t="str">
        <f>AVERAGEIFS('Data Combined - all-runs'!$M:$M, 'Data Combined - all-runs'!$A:$A, A330,'Data Combined - all-runs'!$B:$B, B330,'Data Combined - all-runs'!$C:$C, C330, 'Data Combined - all-runs'!$D:$D, D330, 'Data Combined - all-runs'!$E:$E, E330)</f>
        <v>#DIV/0!</v>
      </c>
      <c r="N330" s="5">
        <f>AVERAGEIFS('Data Combined - all-runs'!$N:$N, 'Data Combined - all-runs'!$A:$A, A330,'Data Combined - all-runs'!$B:$B, B330,'Data Combined - all-runs'!$C:$C, C330, 'Data Combined - all-runs'!$D:$D, D330, 'Data Combined - all-runs'!$E:$E, E330)</f>
        <v>0</v>
      </c>
      <c r="O330" s="5">
        <f>AVERAGEIFS('Data Combined - all-runs'!$O:$O, 'Data Combined - all-runs'!$A:$A, A330,'Data Combined - all-runs'!$B:$B, B330,'Data Combined - all-runs'!$C:$C, C330, 'Data Combined - all-runs'!$D:$D, D330, 'Data Combined - all-runs'!$E:$E, E330)</f>
        <v>500</v>
      </c>
      <c r="P330" s="5">
        <f>AVERAGEIFS('Data Combined - all-runs'!$P:$P, 'Data Combined - all-runs'!$A:$A, A330,'Data Combined - all-runs'!$B:$B, B330,'Data Combined - all-runs'!$C:$C, C330, 'Data Combined - all-runs'!$D:$D, D330, 'Data Combined - all-runs'!$E:$E, E330)</f>
        <v>0</v>
      </c>
      <c r="Q330" s="5">
        <f>AVERAGEIFS('Data Combined - all-runs'!$Q:$Q, 'Data Combined - all-runs'!$A:$A, A330,'Data Combined - all-runs'!$B:$B, B330,'Data Combined - all-runs'!$C:$C, C330, 'Data Combined - all-runs'!$D:$D, D330, 'Data Combined - all-runs'!$E:$E, E330)</f>
        <v>561.2</v>
      </c>
      <c r="R330" s="5" t="str">
        <f>AVERAGEIFS('Data Combined - all-runs'!$R:$R, 'Data Combined - all-runs'!$A:$A, A330,'Data Combined - all-runs'!$B:$B, B330,'Data Combined - all-runs'!$C:$C, C330, 'Data Combined - all-runs'!$D:$D, D330, 'Data Combined - all-runs'!$E:$E, E330)</f>
        <v>#DIV/0!</v>
      </c>
      <c r="S330" s="5">
        <f>AVERAGEIFS('Data Combined - all-runs'!$S:$S, 'Data Combined - all-runs'!$A:$A, A330,'Data Combined - all-runs'!$B:$B, B330,'Data Combined - all-runs'!$C:$C, C330, 'Data Combined - all-runs'!$D:$D, D330, 'Data Combined - all-runs'!$E:$E, E330)</f>
        <v>3.863491616</v>
      </c>
      <c r="T330" s="5">
        <f>AVERAGEIFS('Data Combined - all-runs'!$T:$T, 'Data Combined - all-runs'!$A:$A, A330,'Data Combined - all-runs'!$B:$B, B330,'Data Combined - all-runs'!$C:$C, C330, 'Data Combined - all-runs'!$D:$D, D330, 'Data Combined - all-runs'!$E:$E, E330)</f>
        <v>0</v>
      </c>
      <c r="U330" s="5" t="b">
        <f t="shared" si="1"/>
        <v>1</v>
      </c>
      <c r="V330" s="5" t="b">
        <f t="shared" si="2"/>
        <v>1</v>
      </c>
      <c r="W330" s="5" t="b">
        <f t="shared" si="3"/>
        <v>0</v>
      </c>
    </row>
    <row r="331">
      <c r="A331" s="2" t="s">
        <v>33</v>
      </c>
      <c r="B331" s="2" t="s">
        <v>22</v>
      </c>
      <c r="C331" s="2" t="s">
        <v>35</v>
      </c>
      <c r="D331" s="2" t="s">
        <v>24</v>
      </c>
      <c r="E331" s="2" t="s">
        <v>51</v>
      </c>
      <c r="H331" s="5">
        <f>AVERAGEIFS('Data Combined - all-runs'!$H:$H, 'Data Combined - all-runs'!$A:$A, A331,'Data Combined - all-runs'!$B:$B, B331,'Data Combined - all-runs'!$C:$C, C331, 'Data Combined - all-runs'!$D:$D, D331, 'Data Combined - all-runs'!$E:$E, E331)</f>
        <v>429.3333333</v>
      </c>
      <c r="I331" s="5">
        <f>AVERAGEIFS('Data Combined - all-runs'!$I:$I, 'Data Combined - all-runs'!$A:$A, A331,'Data Combined - all-runs'!$B:$B, B331,'Data Combined - all-runs'!$C:$C, C331, 'Data Combined - all-runs'!$D:$D, D331, 'Data Combined - all-runs'!$E:$E, E331)</f>
        <v>0</v>
      </c>
      <c r="J331" s="5">
        <f>AVERAGEIFS('Data Combined - all-runs'!$J:$J, 'Data Combined - all-runs'!$A:$A, A331,'Data Combined - all-runs'!$B:$B, B331,'Data Combined - all-runs'!$C:$C, C331, 'Data Combined - all-runs'!$D:$D, D331, 'Data Combined - all-runs'!$E:$E, E331)</f>
        <v>2561</v>
      </c>
      <c r="K331" s="5">
        <f>AVERAGEIFS('Data Combined - all-runs'!$K:$K, 'Data Combined - all-runs'!$A:$A, A331,'Data Combined - all-runs'!$B:$B, B331,'Data Combined - all-runs'!$C:$C, C331, 'Data Combined - all-runs'!$D:$D, D331, 'Data Combined - all-runs'!$E:$E, E331)</f>
        <v>0.001</v>
      </c>
      <c r="L331" s="5">
        <f>AVERAGEIFS('Data Combined - all-runs'!$L:$L, 'Data Combined - all-runs'!$A:$A, A331,'Data Combined - all-runs'!$B:$B, B331,'Data Combined - all-runs'!$C:$C, C331, 'Data Combined - all-runs'!$D:$D, D331, 'Data Combined - all-runs'!$E:$E, E331)</f>
        <v>1333.917555</v>
      </c>
      <c r="M331" s="5" t="str">
        <f>AVERAGEIFS('Data Combined - all-runs'!$M:$M, 'Data Combined - all-runs'!$A:$A, A331,'Data Combined - all-runs'!$B:$B, B331,'Data Combined - all-runs'!$C:$C, C331, 'Data Combined - all-runs'!$D:$D, D331, 'Data Combined - all-runs'!$E:$E, E331)</f>
        <v>#DIV/0!</v>
      </c>
      <c r="N331" s="5">
        <f>AVERAGEIFS('Data Combined - all-runs'!$N:$N, 'Data Combined - all-runs'!$A:$A, A331,'Data Combined - all-runs'!$B:$B, B331,'Data Combined - all-runs'!$C:$C, C331, 'Data Combined - all-runs'!$D:$D, D331, 'Data Combined - all-runs'!$E:$E, E331)</f>
        <v>0</v>
      </c>
      <c r="O331" s="5">
        <f>AVERAGEIFS('Data Combined - all-runs'!$O:$O, 'Data Combined - all-runs'!$A:$A, A331,'Data Combined - all-runs'!$B:$B, B331,'Data Combined - all-runs'!$C:$C, C331, 'Data Combined - all-runs'!$D:$D, D331, 'Data Combined - all-runs'!$E:$E, E331)</f>
        <v>500</v>
      </c>
      <c r="P331" s="5">
        <f>AVERAGEIFS('Data Combined - all-runs'!$P:$P, 'Data Combined - all-runs'!$A:$A, A331,'Data Combined - all-runs'!$B:$B, B331,'Data Combined - all-runs'!$C:$C, C331, 'Data Combined - all-runs'!$D:$D, D331, 'Data Combined - all-runs'!$E:$E, E331)</f>
        <v>0</v>
      </c>
      <c r="Q331" s="5">
        <f>AVERAGEIFS('Data Combined - all-runs'!$Q:$Q, 'Data Combined - all-runs'!$A:$A, A331,'Data Combined - all-runs'!$B:$B, B331,'Data Combined - all-runs'!$C:$C, C331, 'Data Combined - all-runs'!$D:$D, D331, 'Data Combined - all-runs'!$E:$E, E331)</f>
        <v>858.6666667</v>
      </c>
      <c r="R331" s="5" t="str">
        <f>AVERAGEIFS('Data Combined - all-runs'!$R:$R, 'Data Combined - all-runs'!$A:$A, A331,'Data Combined - all-runs'!$B:$B, B331,'Data Combined - all-runs'!$C:$C, C331, 'Data Combined - all-runs'!$D:$D, D331, 'Data Combined - all-runs'!$E:$E, E331)</f>
        <v>#DIV/0!</v>
      </c>
      <c r="S331" s="5">
        <f>AVERAGEIFS('Data Combined - all-runs'!$S:$S, 'Data Combined - all-runs'!$A:$A, A331,'Data Combined - all-runs'!$B:$B, B331,'Data Combined - all-runs'!$C:$C, C331, 'Data Combined - all-runs'!$D:$D, D331, 'Data Combined - all-runs'!$E:$E, E331)</f>
        <v>5.45945584</v>
      </c>
      <c r="T331" s="5">
        <f>AVERAGEIFS('Data Combined - all-runs'!$T:$T, 'Data Combined - all-runs'!$A:$A, A331,'Data Combined - all-runs'!$B:$B, B331,'Data Combined - all-runs'!$C:$C, C331, 'Data Combined - all-runs'!$D:$D, D331, 'Data Combined - all-runs'!$E:$E, E331)</f>
        <v>0</v>
      </c>
      <c r="U331" s="5" t="b">
        <f t="shared" si="1"/>
        <v>1</v>
      </c>
      <c r="V331" s="5" t="b">
        <f t="shared" si="2"/>
        <v>1</v>
      </c>
      <c r="W331" s="5" t="b">
        <f t="shared" si="3"/>
        <v>0</v>
      </c>
    </row>
    <row r="332">
      <c r="A332" s="2" t="s">
        <v>33</v>
      </c>
      <c r="B332" s="2" t="s">
        <v>22</v>
      </c>
      <c r="C332" s="2" t="s">
        <v>35</v>
      </c>
      <c r="D332" s="2" t="s">
        <v>54</v>
      </c>
      <c r="E332" s="2" t="s">
        <v>25</v>
      </c>
      <c r="H332" s="5">
        <f>AVERAGEIFS('Data Combined - all-runs'!$H:$H, 'Data Combined - all-runs'!$A:$A, A332,'Data Combined - all-runs'!$B:$B, B332,'Data Combined - all-runs'!$C:$C, C332, 'Data Combined - all-runs'!$D:$D, D332, 'Data Combined - all-runs'!$E:$E, E332)</f>
        <v>491</v>
      </c>
      <c r="I332" s="5">
        <f>AVERAGEIFS('Data Combined - all-runs'!$I:$I, 'Data Combined - all-runs'!$A:$A, A332,'Data Combined - all-runs'!$B:$B, B332,'Data Combined - all-runs'!$C:$C, C332, 'Data Combined - all-runs'!$D:$D, D332, 'Data Combined - all-runs'!$E:$E, E332)</f>
        <v>0</v>
      </c>
      <c r="J332" s="5">
        <f>AVERAGEIFS('Data Combined - all-runs'!$J:$J, 'Data Combined - all-runs'!$A:$A, A332,'Data Combined - all-runs'!$B:$B, B332,'Data Combined - all-runs'!$C:$C, C332, 'Data Combined - all-runs'!$D:$D, D332, 'Data Combined - all-runs'!$E:$E, E332)</f>
        <v>0</v>
      </c>
      <c r="K332" s="5">
        <f>AVERAGEIFS('Data Combined - all-runs'!$K:$K, 'Data Combined - all-runs'!$A:$A, A332,'Data Combined - all-runs'!$B:$B, B332,'Data Combined - all-runs'!$C:$C, C332, 'Data Combined - all-runs'!$D:$D, D332, 'Data Combined - all-runs'!$E:$E, E332)</f>
        <v>0</v>
      </c>
      <c r="L332" s="5">
        <f>AVERAGEIFS('Data Combined - all-runs'!$L:$L, 'Data Combined - all-runs'!$A:$A, A332,'Data Combined - all-runs'!$B:$B, B332,'Data Combined - all-runs'!$C:$C, C332, 'Data Combined - all-runs'!$D:$D, D332, 'Data Combined - all-runs'!$E:$E, E332)</f>
        <v>2197.481849</v>
      </c>
      <c r="M332" s="5" t="str">
        <f>AVERAGEIFS('Data Combined - all-runs'!$M:$M, 'Data Combined - all-runs'!$A:$A, A332,'Data Combined - all-runs'!$B:$B, B332,'Data Combined - all-runs'!$C:$C, C332, 'Data Combined - all-runs'!$D:$D, D332, 'Data Combined - all-runs'!$E:$E, E332)</f>
        <v>#DIV/0!</v>
      </c>
      <c r="N332" s="5">
        <f>AVERAGEIFS('Data Combined - all-runs'!$N:$N, 'Data Combined - all-runs'!$A:$A, A332,'Data Combined - all-runs'!$B:$B, B332,'Data Combined - all-runs'!$C:$C, C332, 'Data Combined - all-runs'!$D:$D, D332, 'Data Combined - all-runs'!$E:$E, E332)</f>
        <v>0</v>
      </c>
      <c r="O332" s="5">
        <f>AVERAGEIFS('Data Combined - all-runs'!$O:$O, 'Data Combined - all-runs'!$A:$A, A332,'Data Combined - all-runs'!$B:$B, B332,'Data Combined - all-runs'!$C:$C, C332, 'Data Combined - all-runs'!$D:$D, D332, 'Data Combined - all-runs'!$E:$E, E332)</f>
        <v>500</v>
      </c>
      <c r="P332" s="5">
        <f>AVERAGEIFS('Data Combined - all-runs'!$P:$P, 'Data Combined - all-runs'!$A:$A, A332,'Data Combined - all-runs'!$B:$B, B332,'Data Combined - all-runs'!$C:$C, C332, 'Data Combined - all-runs'!$D:$D, D332, 'Data Combined - all-runs'!$E:$E, E332)</f>
        <v>0</v>
      </c>
      <c r="Q332" s="5">
        <f>AVERAGEIFS('Data Combined - all-runs'!$Q:$Q, 'Data Combined - all-runs'!$A:$A, A332,'Data Combined - all-runs'!$B:$B, B332,'Data Combined - all-runs'!$C:$C, C332, 'Data Combined - all-runs'!$D:$D, D332, 'Data Combined - all-runs'!$E:$E, E332)</f>
        <v>982</v>
      </c>
      <c r="R332" s="5" t="str">
        <f>AVERAGEIFS('Data Combined - all-runs'!$R:$R, 'Data Combined - all-runs'!$A:$A, A332,'Data Combined - all-runs'!$B:$B, B332,'Data Combined - all-runs'!$C:$C, C332, 'Data Combined - all-runs'!$D:$D, D332, 'Data Combined - all-runs'!$E:$E, E332)</f>
        <v>#DIV/0!</v>
      </c>
      <c r="S332" s="5">
        <f>AVERAGEIFS('Data Combined - all-runs'!$S:$S, 'Data Combined - all-runs'!$A:$A, A332,'Data Combined - all-runs'!$B:$B, B332,'Data Combined - all-runs'!$C:$C, C332, 'Data Combined - all-runs'!$D:$D, D332, 'Data Combined - all-runs'!$E:$E, E332)</f>
        <v>0</v>
      </c>
      <c r="T332" s="5">
        <f>AVERAGEIFS('Data Combined - all-runs'!$T:$T, 'Data Combined - all-runs'!$A:$A, A332,'Data Combined - all-runs'!$B:$B, B332,'Data Combined - all-runs'!$C:$C, C332, 'Data Combined - all-runs'!$D:$D, D332, 'Data Combined - all-runs'!$E:$E, E332)</f>
        <v>0</v>
      </c>
      <c r="U332" s="5" t="b">
        <f t="shared" si="1"/>
        <v>1</v>
      </c>
      <c r="V332" s="5" t="b">
        <f t="shared" si="2"/>
        <v>1</v>
      </c>
      <c r="W332" s="5" t="b">
        <f t="shared" si="3"/>
        <v>0</v>
      </c>
    </row>
    <row r="333">
      <c r="A333" s="2" t="s">
        <v>33</v>
      </c>
      <c r="B333" s="2" t="s">
        <v>22</v>
      </c>
      <c r="C333" s="2" t="s">
        <v>35</v>
      </c>
      <c r="D333" s="2" t="s">
        <v>54</v>
      </c>
      <c r="E333" s="2" t="s">
        <v>39</v>
      </c>
      <c r="H333" s="5">
        <f>AVERAGEIFS('Data Combined - all-runs'!$H:$H, 'Data Combined - all-runs'!$A:$A, A333,'Data Combined - all-runs'!$B:$B, B333,'Data Combined - all-runs'!$C:$C, C333, 'Data Combined - all-runs'!$D:$D, D333, 'Data Combined - all-runs'!$E:$E, E333)</f>
        <v>502</v>
      </c>
      <c r="I333" s="5">
        <f>AVERAGEIFS('Data Combined - all-runs'!$I:$I, 'Data Combined - all-runs'!$A:$A, A333,'Data Combined - all-runs'!$B:$B, B333,'Data Combined - all-runs'!$C:$C, C333, 'Data Combined - all-runs'!$D:$D, D333, 'Data Combined - all-runs'!$E:$E, E333)</f>
        <v>1</v>
      </c>
      <c r="J333" s="5">
        <f>AVERAGEIFS('Data Combined - all-runs'!$J:$J, 'Data Combined - all-runs'!$A:$A, A333,'Data Combined - all-runs'!$B:$B, B333,'Data Combined - all-runs'!$C:$C, C333, 'Data Combined - all-runs'!$D:$D, D333, 'Data Combined - all-runs'!$E:$E, E333)</f>
        <v>17</v>
      </c>
      <c r="K333" s="5">
        <f>AVERAGEIFS('Data Combined - all-runs'!$K:$K, 'Data Combined - all-runs'!$A:$A, A333,'Data Combined - all-runs'!$B:$B, B333,'Data Combined - all-runs'!$C:$C, C333, 'Data Combined - all-runs'!$D:$D, D333, 'Data Combined - all-runs'!$E:$E, E333)</f>
        <v>0.05814940577</v>
      </c>
      <c r="L333" s="5">
        <f>AVERAGEIFS('Data Combined - all-runs'!$L:$L, 'Data Combined - all-runs'!$A:$A, A333,'Data Combined - all-runs'!$B:$B, B333,'Data Combined - all-runs'!$C:$C, C333, 'Data Combined - all-runs'!$D:$D, D333, 'Data Combined - all-runs'!$E:$E, E333)</f>
        <v>3973.239466</v>
      </c>
      <c r="M333" s="5">
        <f>AVERAGEIFS('Data Combined - all-runs'!$M:$M, 'Data Combined - all-runs'!$A:$A, A333,'Data Combined - all-runs'!$B:$B, B333,'Data Combined - all-runs'!$C:$C, C333, 'Data Combined - all-runs'!$D:$D, D333, 'Data Combined - all-runs'!$E:$E, E333)</f>
        <v>89</v>
      </c>
      <c r="N333" s="5">
        <f>AVERAGEIFS('Data Combined - all-runs'!$N:$N, 'Data Combined - all-runs'!$A:$A, A333,'Data Combined - all-runs'!$B:$B, B333,'Data Combined - all-runs'!$C:$C, C333, 'Data Combined - all-runs'!$D:$D, D333, 'Data Combined - all-runs'!$E:$E, E333)</f>
        <v>1</v>
      </c>
      <c r="O333" s="5">
        <f>AVERAGEIFS('Data Combined - all-runs'!$O:$O, 'Data Combined - all-runs'!$A:$A, A333,'Data Combined - all-runs'!$B:$B, B333,'Data Combined - all-runs'!$C:$C, C333, 'Data Combined - all-runs'!$D:$D, D333, 'Data Combined - all-runs'!$E:$E, E333)</f>
        <v>589</v>
      </c>
      <c r="P333" s="5">
        <f>AVERAGEIFS('Data Combined - all-runs'!$P:$P, 'Data Combined - all-runs'!$A:$A, A333,'Data Combined - all-runs'!$B:$B, B333,'Data Combined - all-runs'!$C:$C, C333, 'Data Combined - all-runs'!$D:$D, D333, 'Data Combined - all-runs'!$E:$E, E333)</f>
        <v>1.697792869</v>
      </c>
      <c r="Q333" s="5">
        <f>AVERAGEIFS('Data Combined - all-runs'!$Q:$Q, 'Data Combined - all-runs'!$A:$A, A333,'Data Combined - all-runs'!$B:$B, B333,'Data Combined - all-runs'!$C:$C, C333, 'Data Combined - all-runs'!$D:$D, D333, 'Data Combined - all-runs'!$E:$E, E333)</f>
        <v>852.2920204</v>
      </c>
      <c r="R333" s="5">
        <f>AVERAGEIFS('Data Combined - all-runs'!$R:$R, 'Data Combined - all-runs'!$A:$A, A333,'Data Combined - all-runs'!$B:$B, B333,'Data Combined - all-runs'!$C:$C, C333, 'Data Combined - all-runs'!$D:$D, D333, 'Data Combined - all-runs'!$E:$E, E333)</f>
        <v>502</v>
      </c>
      <c r="S333" s="5">
        <f>AVERAGEIFS('Data Combined - all-runs'!$S:$S, 'Data Combined - all-runs'!$A:$A, A333,'Data Combined - all-runs'!$B:$B, B333,'Data Combined - all-runs'!$C:$C, C333, 'Data Combined - all-runs'!$D:$D, D333, 'Data Combined - all-runs'!$E:$E, E333)</f>
        <v>0.03386454183</v>
      </c>
      <c r="T333" s="5">
        <f>AVERAGEIFS('Data Combined - all-runs'!$T:$T, 'Data Combined - all-runs'!$A:$A, A333,'Data Combined - all-runs'!$B:$B, B333,'Data Combined - all-runs'!$C:$C, C333, 'Data Combined - all-runs'!$D:$D, D333, 'Data Combined - all-runs'!$E:$E, E333)</f>
        <v>0.001992031873</v>
      </c>
      <c r="U333" s="5" t="b">
        <f t="shared" si="1"/>
        <v>1</v>
      </c>
      <c r="V333" s="5" t="b">
        <f t="shared" si="2"/>
        <v>1</v>
      </c>
      <c r="W333" s="5" t="b">
        <f t="shared" si="3"/>
        <v>0</v>
      </c>
    </row>
    <row r="334">
      <c r="A334" s="2" t="s">
        <v>33</v>
      </c>
      <c r="B334" s="2" t="s">
        <v>22</v>
      </c>
      <c r="C334" s="2" t="s">
        <v>35</v>
      </c>
      <c r="D334" s="2" t="s">
        <v>54</v>
      </c>
      <c r="E334" s="2" t="s">
        <v>43</v>
      </c>
      <c r="H334" s="5">
        <f>AVERAGEIFS('Data Combined - all-runs'!$H:$H, 'Data Combined - all-runs'!$A:$A, A334,'Data Combined - all-runs'!$B:$B, B334,'Data Combined - all-runs'!$C:$C, C334, 'Data Combined - all-runs'!$D:$D, D334, 'Data Combined - all-runs'!$E:$E, E334)</f>
        <v>456</v>
      </c>
      <c r="I334" s="5">
        <f>AVERAGEIFS('Data Combined - all-runs'!$I:$I, 'Data Combined - all-runs'!$A:$A, A334,'Data Combined - all-runs'!$B:$B, B334,'Data Combined - all-runs'!$C:$C, C334, 'Data Combined - all-runs'!$D:$D, D334, 'Data Combined - all-runs'!$E:$E, E334)</f>
        <v>4</v>
      </c>
      <c r="J334" s="5">
        <f>AVERAGEIFS('Data Combined - all-runs'!$J:$J, 'Data Combined - all-runs'!$A:$A, A334,'Data Combined - all-runs'!$B:$B, B334,'Data Combined - all-runs'!$C:$C, C334, 'Data Combined - all-runs'!$D:$D, D334, 'Data Combined - all-runs'!$E:$E, E334)</f>
        <v>58</v>
      </c>
      <c r="K334" s="5">
        <f>AVERAGEIFS('Data Combined - all-runs'!$K:$K, 'Data Combined - all-runs'!$A:$A, A334,'Data Combined - all-runs'!$B:$B, B334,'Data Combined - all-runs'!$C:$C, C334, 'Data Combined - all-runs'!$D:$D, D334, 'Data Combined - all-runs'!$E:$E, E334)</f>
        <v>0.08633333333</v>
      </c>
      <c r="L334" s="5">
        <f>AVERAGEIFS('Data Combined - all-runs'!$L:$L, 'Data Combined - all-runs'!$A:$A, A334,'Data Combined - all-runs'!$B:$B, B334,'Data Combined - all-runs'!$C:$C, C334, 'Data Combined - all-runs'!$D:$D, D334, 'Data Combined - all-runs'!$E:$E, E334)</f>
        <v>4937.156343</v>
      </c>
      <c r="M334" s="5" t="str">
        <f>AVERAGEIFS('Data Combined - all-runs'!$M:$M, 'Data Combined - all-runs'!$A:$A, A334,'Data Combined - all-runs'!$B:$B, B334,'Data Combined - all-runs'!$C:$C, C334, 'Data Combined - all-runs'!$D:$D, D334, 'Data Combined - all-runs'!$E:$E, E334)</f>
        <v>#DIV/0!</v>
      </c>
      <c r="N334" s="5">
        <f>AVERAGEIFS('Data Combined - all-runs'!$N:$N, 'Data Combined - all-runs'!$A:$A, A334,'Data Combined - all-runs'!$B:$B, B334,'Data Combined - all-runs'!$C:$C, C334, 'Data Combined - all-runs'!$D:$D, D334, 'Data Combined - all-runs'!$E:$E, E334)</f>
        <v>0</v>
      </c>
      <c r="O334" s="5">
        <f>AVERAGEIFS('Data Combined - all-runs'!$O:$O, 'Data Combined - all-runs'!$A:$A, A334,'Data Combined - all-runs'!$B:$B, B334,'Data Combined - all-runs'!$C:$C, C334, 'Data Combined - all-runs'!$D:$D, D334, 'Data Combined - all-runs'!$E:$E, E334)</f>
        <v>500</v>
      </c>
      <c r="P334" s="5">
        <f>AVERAGEIFS('Data Combined - all-runs'!$P:$P, 'Data Combined - all-runs'!$A:$A, A334,'Data Combined - all-runs'!$B:$B, B334,'Data Combined - all-runs'!$C:$C, C334, 'Data Combined - all-runs'!$D:$D, D334, 'Data Combined - all-runs'!$E:$E, E334)</f>
        <v>0</v>
      </c>
      <c r="Q334" s="5">
        <f>AVERAGEIFS('Data Combined - all-runs'!$Q:$Q, 'Data Combined - all-runs'!$A:$A, A334,'Data Combined - all-runs'!$B:$B, B334,'Data Combined - all-runs'!$C:$C, C334, 'Data Combined - all-runs'!$D:$D, D334, 'Data Combined - all-runs'!$E:$E, E334)</f>
        <v>912</v>
      </c>
      <c r="R334" s="5" t="str">
        <f>AVERAGEIFS('Data Combined - all-runs'!$R:$R, 'Data Combined - all-runs'!$A:$A, A334,'Data Combined - all-runs'!$B:$B, B334,'Data Combined - all-runs'!$C:$C, C334, 'Data Combined - all-runs'!$D:$D, D334, 'Data Combined - all-runs'!$E:$E, E334)</f>
        <v>#DIV/0!</v>
      </c>
      <c r="S334" s="5">
        <f>AVERAGEIFS('Data Combined - all-runs'!$S:$S, 'Data Combined - all-runs'!$A:$A, A334,'Data Combined - all-runs'!$B:$B, B334,'Data Combined - all-runs'!$C:$C, C334, 'Data Combined - all-runs'!$D:$D, D334, 'Data Combined - all-runs'!$E:$E, E334)</f>
        <v>0.1271929825</v>
      </c>
      <c r="T334" s="5">
        <f>AVERAGEIFS('Data Combined - all-runs'!$T:$T, 'Data Combined - all-runs'!$A:$A, A334,'Data Combined - all-runs'!$B:$B, B334,'Data Combined - all-runs'!$C:$C, C334, 'Data Combined - all-runs'!$D:$D, D334, 'Data Combined - all-runs'!$E:$E, E334)</f>
        <v>0.008771929825</v>
      </c>
      <c r="U334" s="5" t="b">
        <f t="shared" si="1"/>
        <v>1</v>
      </c>
      <c r="V334" s="5" t="b">
        <f t="shared" si="2"/>
        <v>1</v>
      </c>
      <c r="W334" s="5" t="b">
        <f t="shared" si="3"/>
        <v>0</v>
      </c>
    </row>
    <row r="335">
      <c r="A335" s="2" t="s">
        <v>33</v>
      </c>
      <c r="B335" s="2" t="s">
        <v>22</v>
      </c>
      <c r="C335" s="2" t="s">
        <v>35</v>
      </c>
      <c r="D335" s="2" t="s">
        <v>54</v>
      </c>
      <c r="E335" s="2" t="s">
        <v>34</v>
      </c>
      <c r="H335" s="5">
        <f>AVERAGEIFS('Data Combined - all-runs'!$H:$H, 'Data Combined - all-runs'!$A:$A, A335,'Data Combined - all-runs'!$B:$B, B335,'Data Combined - all-runs'!$C:$C, C335, 'Data Combined - all-runs'!$D:$D, D335, 'Data Combined - all-runs'!$E:$E, E335)</f>
        <v>727</v>
      </c>
      <c r="I335" s="5">
        <f>AVERAGEIFS('Data Combined - all-runs'!$I:$I, 'Data Combined - all-runs'!$A:$A, A335,'Data Combined - all-runs'!$B:$B, B335,'Data Combined - all-runs'!$C:$C, C335, 'Data Combined - all-runs'!$D:$D, D335, 'Data Combined - all-runs'!$E:$E, E335)</f>
        <v>0</v>
      </c>
      <c r="J335" s="5">
        <f>AVERAGEIFS('Data Combined - all-runs'!$J:$J, 'Data Combined - all-runs'!$A:$A, A335,'Data Combined - all-runs'!$B:$B, B335,'Data Combined - all-runs'!$C:$C, C335, 'Data Combined - all-runs'!$D:$D, D335, 'Data Combined - all-runs'!$E:$E, E335)</f>
        <v>15</v>
      </c>
      <c r="K335" s="5">
        <f>AVERAGEIFS('Data Combined - all-runs'!$K:$K, 'Data Combined - all-runs'!$A:$A, A335,'Data Combined - all-runs'!$B:$B, B335,'Data Combined - all-runs'!$C:$C, C335, 'Data Combined - all-runs'!$D:$D, D335, 'Data Combined - all-runs'!$E:$E, E335)</f>
        <v>0.1192982456</v>
      </c>
      <c r="L335" s="5">
        <f>AVERAGEIFS('Data Combined - all-runs'!$L:$L, 'Data Combined - all-runs'!$A:$A, A335,'Data Combined - all-runs'!$B:$B, B335,'Data Combined - all-runs'!$C:$C, C335, 'Data Combined - all-runs'!$D:$D, D335, 'Data Combined - all-runs'!$E:$E, E335)</f>
        <v>8211.241975</v>
      </c>
      <c r="M335" s="5">
        <f>AVERAGEIFS('Data Combined - all-runs'!$M:$M, 'Data Combined - all-runs'!$A:$A, A335,'Data Combined - all-runs'!$B:$B, B335,'Data Combined - all-runs'!$C:$C, C335, 'Data Combined - all-runs'!$D:$D, D335, 'Data Combined - all-runs'!$E:$E, E335)</f>
        <v>260</v>
      </c>
      <c r="N335" s="5">
        <f>AVERAGEIFS('Data Combined - all-runs'!$N:$N, 'Data Combined - all-runs'!$A:$A, A335,'Data Combined - all-runs'!$B:$B, B335,'Data Combined - all-runs'!$C:$C, C335, 'Data Combined - all-runs'!$D:$D, D335, 'Data Combined - all-runs'!$E:$E, E335)</f>
        <v>1</v>
      </c>
      <c r="O335" s="5">
        <f>AVERAGEIFS('Data Combined - all-runs'!$O:$O, 'Data Combined - all-runs'!$A:$A, A335,'Data Combined - all-runs'!$B:$B, B335,'Data Combined - all-runs'!$C:$C, C335, 'Data Combined - all-runs'!$D:$D, D335, 'Data Combined - all-runs'!$E:$E, E335)</f>
        <v>760</v>
      </c>
      <c r="P335" s="5">
        <f>AVERAGEIFS('Data Combined - all-runs'!$P:$P, 'Data Combined - all-runs'!$A:$A, A335,'Data Combined - all-runs'!$B:$B, B335,'Data Combined - all-runs'!$C:$C, C335, 'Data Combined - all-runs'!$D:$D, D335, 'Data Combined - all-runs'!$E:$E, E335)</f>
        <v>1.315789474</v>
      </c>
      <c r="Q335" s="5">
        <f>AVERAGEIFS('Data Combined - all-runs'!$Q:$Q, 'Data Combined - all-runs'!$A:$A, A335,'Data Combined - all-runs'!$B:$B, B335,'Data Combined - all-runs'!$C:$C, C335, 'Data Combined - all-runs'!$D:$D, D335, 'Data Combined - all-runs'!$E:$E, E335)</f>
        <v>956.5789474</v>
      </c>
      <c r="R335" s="5">
        <f>AVERAGEIFS('Data Combined - all-runs'!$R:$R, 'Data Combined - all-runs'!$A:$A, A335,'Data Combined - all-runs'!$B:$B, B335,'Data Combined - all-runs'!$C:$C, C335, 'Data Combined - all-runs'!$D:$D, D335, 'Data Combined - all-runs'!$E:$E, E335)</f>
        <v>727</v>
      </c>
      <c r="S335" s="5">
        <f>AVERAGEIFS('Data Combined - all-runs'!$S:$S, 'Data Combined - all-runs'!$A:$A, A335,'Data Combined - all-runs'!$B:$B, B335,'Data Combined - all-runs'!$C:$C, C335, 'Data Combined - all-runs'!$D:$D, D335, 'Data Combined - all-runs'!$E:$E, E335)</f>
        <v>0.02063273728</v>
      </c>
      <c r="T335" s="5">
        <f>AVERAGEIFS('Data Combined - all-runs'!$T:$T, 'Data Combined - all-runs'!$A:$A, A335,'Data Combined - all-runs'!$B:$B, B335,'Data Combined - all-runs'!$C:$C, C335, 'Data Combined - all-runs'!$D:$D, D335, 'Data Combined - all-runs'!$E:$E, E335)</f>
        <v>0</v>
      </c>
      <c r="U335" s="5" t="b">
        <f t="shared" si="1"/>
        <v>1</v>
      </c>
      <c r="V335" s="5" t="b">
        <f t="shared" si="2"/>
        <v>1</v>
      </c>
      <c r="W335" s="5" t="b">
        <f t="shared" si="3"/>
        <v>0</v>
      </c>
    </row>
    <row r="336">
      <c r="A336" s="2" t="s">
        <v>33</v>
      </c>
      <c r="B336" s="2" t="s">
        <v>22</v>
      </c>
      <c r="C336" s="2" t="s">
        <v>35</v>
      </c>
      <c r="D336" s="2" t="s">
        <v>54</v>
      </c>
      <c r="E336" s="2" t="s">
        <v>47</v>
      </c>
      <c r="H336" s="5">
        <f>AVERAGEIFS('Data Combined - all-runs'!$H:$H, 'Data Combined - all-runs'!$A:$A, A336,'Data Combined - all-runs'!$B:$B, B336,'Data Combined - all-runs'!$C:$C, C336, 'Data Combined - all-runs'!$D:$D, D336, 'Data Combined - all-runs'!$E:$E, E336)</f>
        <v>1097</v>
      </c>
      <c r="I336" s="5">
        <f>AVERAGEIFS('Data Combined - all-runs'!$I:$I, 'Data Combined - all-runs'!$A:$A, A336,'Data Combined - all-runs'!$B:$B, B336,'Data Combined - all-runs'!$C:$C, C336, 'Data Combined - all-runs'!$D:$D, D336, 'Data Combined - all-runs'!$E:$E, E336)</f>
        <v>13</v>
      </c>
      <c r="J336" s="5">
        <f>AVERAGEIFS('Data Combined - all-runs'!$J:$J, 'Data Combined - all-runs'!$A:$A, A336,'Data Combined - all-runs'!$B:$B, B336,'Data Combined - all-runs'!$C:$C, C336, 'Data Combined - all-runs'!$D:$D, D336, 'Data Combined - all-runs'!$E:$E, E336)</f>
        <v>179</v>
      </c>
      <c r="K336" s="5">
        <f>AVERAGEIFS('Data Combined - all-runs'!$K:$K, 'Data Combined - all-runs'!$A:$A, A336,'Data Combined - all-runs'!$B:$B, B336,'Data Combined - all-runs'!$C:$C, C336, 'Data Combined - all-runs'!$D:$D, D336, 'Data Combined - all-runs'!$E:$E, E336)</f>
        <v>0.1423404255</v>
      </c>
      <c r="L336" s="5">
        <f>AVERAGEIFS('Data Combined - all-runs'!$L:$L, 'Data Combined - all-runs'!$A:$A, A336,'Data Combined - all-runs'!$B:$B, B336,'Data Combined - all-runs'!$C:$C, C336, 'Data Combined - all-runs'!$D:$D, D336, 'Data Combined - all-runs'!$E:$E, E336)</f>
        <v>14522.08709</v>
      </c>
      <c r="M336" s="5">
        <f>AVERAGEIFS('Data Combined - all-runs'!$M:$M, 'Data Combined - all-runs'!$A:$A, A336,'Data Combined - all-runs'!$B:$B, B336,'Data Combined - all-runs'!$C:$C, C336, 'Data Combined - all-runs'!$D:$D, D336, 'Data Combined - all-runs'!$E:$E, E336)</f>
        <v>83</v>
      </c>
      <c r="N336" s="5">
        <f>AVERAGEIFS('Data Combined - all-runs'!$N:$N, 'Data Combined - all-runs'!$A:$A, A336,'Data Combined - all-runs'!$B:$B, B336,'Data Combined - all-runs'!$C:$C, C336, 'Data Combined - all-runs'!$D:$D, D336, 'Data Combined - all-runs'!$E:$E, E336)</f>
        <v>3</v>
      </c>
      <c r="O336" s="5">
        <f>AVERAGEIFS('Data Combined - all-runs'!$O:$O, 'Data Combined - all-runs'!$A:$A, A336,'Data Combined - all-runs'!$B:$B, B336,'Data Combined - all-runs'!$C:$C, C336, 'Data Combined - all-runs'!$D:$D, D336, 'Data Combined - all-runs'!$E:$E, E336)</f>
        <v>1175</v>
      </c>
      <c r="P336" s="5">
        <f>AVERAGEIFS('Data Combined - all-runs'!$P:$P, 'Data Combined - all-runs'!$A:$A, A336,'Data Combined - all-runs'!$B:$B, B336,'Data Combined - all-runs'!$C:$C, C336, 'Data Combined - all-runs'!$D:$D, D336, 'Data Combined - all-runs'!$E:$E, E336)</f>
        <v>2.553191489</v>
      </c>
      <c r="Q336" s="5">
        <f>AVERAGEIFS('Data Combined - all-runs'!$Q:$Q, 'Data Combined - all-runs'!$A:$A, A336,'Data Combined - all-runs'!$B:$B, B336,'Data Combined - all-runs'!$C:$C, C336, 'Data Combined - all-runs'!$D:$D, D336, 'Data Combined - all-runs'!$E:$E, E336)</f>
        <v>933.6170213</v>
      </c>
      <c r="R336" s="5">
        <f>AVERAGEIFS('Data Combined - all-runs'!$R:$R, 'Data Combined - all-runs'!$A:$A, A336,'Data Combined - all-runs'!$B:$B, B336,'Data Combined - all-runs'!$C:$C, C336, 'Data Combined - all-runs'!$D:$D, D336, 'Data Combined - all-runs'!$E:$E, E336)</f>
        <v>365.6666667</v>
      </c>
      <c r="S336" s="5">
        <f>AVERAGEIFS('Data Combined - all-runs'!$S:$S, 'Data Combined - all-runs'!$A:$A, A336,'Data Combined - all-runs'!$B:$B, B336,'Data Combined - all-runs'!$C:$C, C336, 'Data Combined - all-runs'!$D:$D, D336, 'Data Combined - all-runs'!$E:$E, E336)</f>
        <v>0.1631722881</v>
      </c>
      <c r="T336" s="5">
        <f>AVERAGEIFS('Data Combined - all-runs'!$T:$T, 'Data Combined - all-runs'!$A:$A, A336,'Data Combined - all-runs'!$B:$B, B336,'Data Combined - all-runs'!$C:$C, C336, 'Data Combined - all-runs'!$D:$D, D336, 'Data Combined - all-runs'!$E:$E, E336)</f>
        <v>0.01185050137</v>
      </c>
      <c r="U336" s="5" t="b">
        <f t="shared" si="1"/>
        <v>1</v>
      </c>
      <c r="V336" s="5" t="b">
        <f t="shared" si="2"/>
        <v>1</v>
      </c>
      <c r="W336" s="5" t="b">
        <f t="shared" si="3"/>
        <v>0</v>
      </c>
    </row>
    <row r="337">
      <c r="A337" s="2" t="s">
        <v>33</v>
      </c>
      <c r="B337" s="2" t="s">
        <v>22</v>
      </c>
      <c r="C337" s="2" t="s">
        <v>35</v>
      </c>
      <c r="D337" s="2" t="s">
        <v>54</v>
      </c>
      <c r="E337" s="2" t="s">
        <v>51</v>
      </c>
      <c r="H337" s="5">
        <f>AVERAGEIFS('Data Combined - all-runs'!$H:$H, 'Data Combined - all-runs'!$A:$A, A337,'Data Combined - all-runs'!$B:$B, B337,'Data Combined - all-runs'!$C:$C, C337, 'Data Combined - all-runs'!$D:$D, D337, 'Data Combined - all-runs'!$E:$E, E337)</f>
        <v>419</v>
      </c>
      <c r="I337" s="5">
        <f>AVERAGEIFS('Data Combined - all-runs'!$I:$I, 'Data Combined - all-runs'!$A:$A, A337,'Data Combined - all-runs'!$B:$B, B337,'Data Combined - all-runs'!$C:$C, C337, 'Data Combined - all-runs'!$D:$D, D337, 'Data Combined - all-runs'!$E:$E, E337)</f>
        <v>0</v>
      </c>
      <c r="J337" s="5">
        <f>AVERAGEIFS('Data Combined - all-runs'!$J:$J, 'Data Combined - all-runs'!$A:$A, A337,'Data Combined - all-runs'!$B:$B, B337,'Data Combined - all-runs'!$C:$C, C337, 'Data Combined - all-runs'!$D:$D, D337, 'Data Combined - all-runs'!$E:$E, E337)</f>
        <v>5</v>
      </c>
      <c r="K337" s="5">
        <f>AVERAGEIFS('Data Combined - all-runs'!$K:$K, 'Data Combined - all-runs'!$A:$A, A337,'Data Combined - all-runs'!$B:$B, B337,'Data Combined - all-runs'!$C:$C, C337, 'Data Combined - all-runs'!$D:$D, D337, 'Data Combined - all-runs'!$E:$E, E337)</f>
        <v>0.104</v>
      </c>
      <c r="L337" s="5">
        <f>AVERAGEIFS('Data Combined - all-runs'!$L:$L, 'Data Combined - all-runs'!$A:$A, A337,'Data Combined - all-runs'!$B:$B, B337,'Data Combined - all-runs'!$C:$C, C337, 'Data Combined - all-runs'!$D:$D, D337, 'Data Combined - all-runs'!$E:$E, E337)</f>
        <v>4463.8105</v>
      </c>
      <c r="M337" s="5" t="str">
        <f>AVERAGEIFS('Data Combined - all-runs'!$M:$M, 'Data Combined - all-runs'!$A:$A, A337,'Data Combined - all-runs'!$B:$B, B337,'Data Combined - all-runs'!$C:$C, C337, 'Data Combined - all-runs'!$D:$D, D337, 'Data Combined - all-runs'!$E:$E, E337)</f>
        <v>#DIV/0!</v>
      </c>
      <c r="N337" s="5">
        <f>AVERAGEIFS('Data Combined - all-runs'!$N:$N, 'Data Combined - all-runs'!$A:$A, A337,'Data Combined - all-runs'!$B:$B, B337,'Data Combined - all-runs'!$C:$C, C337, 'Data Combined - all-runs'!$D:$D, D337, 'Data Combined - all-runs'!$E:$E, E337)</f>
        <v>0</v>
      </c>
      <c r="O337" s="5">
        <f>AVERAGEIFS('Data Combined - all-runs'!$O:$O, 'Data Combined - all-runs'!$A:$A, A337,'Data Combined - all-runs'!$B:$B, B337,'Data Combined - all-runs'!$C:$C, C337, 'Data Combined - all-runs'!$D:$D, D337, 'Data Combined - all-runs'!$E:$E, E337)</f>
        <v>500</v>
      </c>
      <c r="P337" s="5">
        <f>AVERAGEIFS('Data Combined - all-runs'!$P:$P, 'Data Combined - all-runs'!$A:$A, A337,'Data Combined - all-runs'!$B:$B, B337,'Data Combined - all-runs'!$C:$C, C337, 'Data Combined - all-runs'!$D:$D, D337, 'Data Combined - all-runs'!$E:$E, E337)</f>
        <v>0</v>
      </c>
      <c r="Q337" s="5">
        <f>AVERAGEIFS('Data Combined - all-runs'!$Q:$Q, 'Data Combined - all-runs'!$A:$A, A337,'Data Combined - all-runs'!$B:$B, B337,'Data Combined - all-runs'!$C:$C, C337, 'Data Combined - all-runs'!$D:$D, D337, 'Data Combined - all-runs'!$E:$E, E337)</f>
        <v>838</v>
      </c>
      <c r="R337" s="5" t="str">
        <f>AVERAGEIFS('Data Combined - all-runs'!$R:$R, 'Data Combined - all-runs'!$A:$A, A337,'Data Combined - all-runs'!$B:$B, B337,'Data Combined - all-runs'!$C:$C, C337, 'Data Combined - all-runs'!$D:$D, D337, 'Data Combined - all-runs'!$E:$E, E337)</f>
        <v>#DIV/0!</v>
      </c>
      <c r="S337" s="5">
        <f>AVERAGEIFS('Data Combined - all-runs'!$S:$S, 'Data Combined - all-runs'!$A:$A, A337,'Data Combined - all-runs'!$B:$B, B337,'Data Combined - all-runs'!$C:$C, C337, 'Data Combined - all-runs'!$D:$D, D337, 'Data Combined - all-runs'!$E:$E, E337)</f>
        <v>0.01193317422</v>
      </c>
      <c r="T337" s="5">
        <f>AVERAGEIFS('Data Combined - all-runs'!$T:$T, 'Data Combined - all-runs'!$A:$A, A337,'Data Combined - all-runs'!$B:$B, B337,'Data Combined - all-runs'!$C:$C, C337, 'Data Combined - all-runs'!$D:$D, D337, 'Data Combined - all-runs'!$E:$E, E337)</f>
        <v>0</v>
      </c>
      <c r="U337" s="5" t="b">
        <f t="shared" si="1"/>
        <v>1</v>
      </c>
      <c r="V337" s="5" t="b">
        <f t="shared" si="2"/>
        <v>1</v>
      </c>
      <c r="W337" s="5" t="b">
        <f t="shared" si="3"/>
        <v>0</v>
      </c>
    </row>
    <row r="338">
      <c r="A338" s="2" t="s">
        <v>33</v>
      </c>
      <c r="B338" s="2" t="s">
        <v>22</v>
      </c>
      <c r="C338" s="2" t="s">
        <v>35</v>
      </c>
      <c r="D338" s="2" t="s">
        <v>72</v>
      </c>
      <c r="E338" s="2" t="s">
        <v>25</v>
      </c>
      <c r="H338" s="5">
        <f>AVERAGEIFS('Data Combined - all-runs'!$H:$H, 'Data Combined - all-runs'!$A:$A, A338,'Data Combined - all-runs'!$B:$B, B338,'Data Combined - all-runs'!$C:$C, C338, 'Data Combined - all-runs'!$D:$D, D338, 'Data Combined - all-runs'!$E:$E, E338)</f>
        <v>287</v>
      </c>
      <c r="I338" s="5">
        <f>AVERAGEIFS('Data Combined - all-runs'!$I:$I, 'Data Combined - all-runs'!$A:$A, A338,'Data Combined - all-runs'!$B:$B, B338,'Data Combined - all-runs'!$C:$C, C338, 'Data Combined - all-runs'!$D:$D, D338, 'Data Combined - all-runs'!$E:$E, E338)</f>
        <v>0</v>
      </c>
      <c r="J338" s="5">
        <f>AVERAGEIFS('Data Combined - all-runs'!$J:$J, 'Data Combined - all-runs'!$A:$A, A338,'Data Combined - all-runs'!$B:$B, B338,'Data Combined - all-runs'!$C:$C, C338, 'Data Combined - all-runs'!$D:$D, D338, 'Data Combined - all-runs'!$E:$E, E338)</f>
        <v>300</v>
      </c>
      <c r="K338" s="5">
        <f>AVERAGEIFS('Data Combined - all-runs'!$K:$K, 'Data Combined - all-runs'!$A:$A, A338,'Data Combined - all-runs'!$B:$B, B338,'Data Combined - all-runs'!$C:$C, C338, 'Data Combined - all-runs'!$D:$D, D338, 'Data Combined - all-runs'!$E:$E, E338)</f>
        <v>0.258</v>
      </c>
      <c r="L338" s="5">
        <f>AVERAGEIFS('Data Combined - all-runs'!$L:$L, 'Data Combined - all-runs'!$A:$A, A338,'Data Combined - all-runs'!$B:$B, B338,'Data Combined - all-runs'!$C:$C, C338, 'Data Combined - all-runs'!$D:$D, D338, 'Data Combined - all-runs'!$E:$E, E338)</f>
        <v>15302.43196</v>
      </c>
      <c r="M338" s="5" t="str">
        <f>AVERAGEIFS('Data Combined - all-runs'!$M:$M, 'Data Combined - all-runs'!$A:$A, A338,'Data Combined - all-runs'!$B:$B, B338,'Data Combined - all-runs'!$C:$C, C338, 'Data Combined - all-runs'!$D:$D, D338, 'Data Combined - all-runs'!$E:$E, E338)</f>
        <v>#DIV/0!</v>
      </c>
      <c r="N338" s="5">
        <f>AVERAGEIFS('Data Combined - all-runs'!$N:$N, 'Data Combined - all-runs'!$A:$A, A338,'Data Combined - all-runs'!$B:$B, B338,'Data Combined - all-runs'!$C:$C, C338, 'Data Combined - all-runs'!$D:$D, D338, 'Data Combined - all-runs'!$E:$E, E338)</f>
        <v>0</v>
      </c>
      <c r="O338" s="5">
        <f>AVERAGEIFS('Data Combined - all-runs'!$O:$O, 'Data Combined - all-runs'!$A:$A, A338,'Data Combined - all-runs'!$B:$B, B338,'Data Combined - all-runs'!$C:$C, C338, 'Data Combined - all-runs'!$D:$D, D338, 'Data Combined - all-runs'!$E:$E, E338)</f>
        <v>500</v>
      </c>
      <c r="P338" s="5">
        <f>AVERAGEIFS('Data Combined - all-runs'!$P:$P, 'Data Combined - all-runs'!$A:$A, A338,'Data Combined - all-runs'!$B:$B, B338,'Data Combined - all-runs'!$C:$C, C338, 'Data Combined - all-runs'!$D:$D, D338, 'Data Combined - all-runs'!$E:$E, E338)</f>
        <v>0</v>
      </c>
      <c r="Q338" s="5">
        <f>AVERAGEIFS('Data Combined - all-runs'!$Q:$Q, 'Data Combined - all-runs'!$A:$A, A338,'Data Combined - all-runs'!$B:$B, B338,'Data Combined - all-runs'!$C:$C, C338, 'Data Combined - all-runs'!$D:$D, D338, 'Data Combined - all-runs'!$E:$E, E338)</f>
        <v>574</v>
      </c>
      <c r="R338" s="5" t="str">
        <f>AVERAGEIFS('Data Combined - all-runs'!$R:$R, 'Data Combined - all-runs'!$A:$A, A338,'Data Combined - all-runs'!$B:$B, B338,'Data Combined - all-runs'!$C:$C, C338, 'Data Combined - all-runs'!$D:$D, D338, 'Data Combined - all-runs'!$E:$E, E338)</f>
        <v>#DIV/0!</v>
      </c>
      <c r="S338" s="5">
        <f>AVERAGEIFS('Data Combined - all-runs'!$S:$S, 'Data Combined - all-runs'!$A:$A, A338,'Data Combined - all-runs'!$B:$B, B338,'Data Combined - all-runs'!$C:$C, C338, 'Data Combined - all-runs'!$D:$D, D338, 'Data Combined - all-runs'!$E:$E, E338)</f>
        <v>1.045296167</v>
      </c>
      <c r="T338" s="5">
        <f>AVERAGEIFS('Data Combined - all-runs'!$T:$T, 'Data Combined - all-runs'!$A:$A, A338,'Data Combined - all-runs'!$B:$B, B338,'Data Combined - all-runs'!$C:$C, C338, 'Data Combined - all-runs'!$D:$D, D338, 'Data Combined - all-runs'!$E:$E, E338)</f>
        <v>0</v>
      </c>
      <c r="U338" s="5" t="b">
        <f t="shared" si="1"/>
        <v>1</v>
      </c>
      <c r="V338" s="5" t="b">
        <f t="shared" si="2"/>
        <v>1</v>
      </c>
      <c r="W338" s="5" t="b">
        <f t="shared" si="3"/>
        <v>0</v>
      </c>
    </row>
    <row r="339">
      <c r="A339" s="2" t="s">
        <v>33</v>
      </c>
      <c r="B339" s="2" t="s">
        <v>22</v>
      </c>
      <c r="C339" s="2" t="s">
        <v>35</v>
      </c>
      <c r="D339" s="2" t="s">
        <v>72</v>
      </c>
      <c r="E339" s="2" t="s">
        <v>39</v>
      </c>
      <c r="H339" s="5">
        <f>AVERAGEIFS('Data Combined - all-runs'!$H:$H, 'Data Combined - all-runs'!$A:$A, A339,'Data Combined - all-runs'!$B:$B, B339,'Data Combined - all-runs'!$C:$C, C339, 'Data Combined - all-runs'!$D:$D, D339, 'Data Combined - all-runs'!$E:$E, E339)</f>
        <v>953</v>
      </c>
      <c r="I339" s="5">
        <f>AVERAGEIFS('Data Combined - all-runs'!$I:$I, 'Data Combined - all-runs'!$A:$A, A339,'Data Combined - all-runs'!$B:$B, B339,'Data Combined - all-runs'!$C:$C, C339, 'Data Combined - all-runs'!$D:$D, D339, 'Data Combined - all-runs'!$E:$E, E339)</f>
        <v>0</v>
      </c>
      <c r="J339" s="5">
        <f>AVERAGEIFS('Data Combined - all-runs'!$J:$J, 'Data Combined - all-runs'!$A:$A, A339,'Data Combined - all-runs'!$B:$B, B339,'Data Combined - all-runs'!$C:$C, C339, 'Data Combined - all-runs'!$D:$D, D339, 'Data Combined - all-runs'!$E:$E, E339)</f>
        <v>2014</v>
      </c>
      <c r="K339" s="5">
        <f>AVERAGEIFS('Data Combined - all-runs'!$K:$K, 'Data Combined - all-runs'!$A:$A, A339,'Data Combined - all-runs'!$B:$B, B339,'Data Combined - all-runs'!$C:$C, C339, 'Data Combined - all-runs'!$D:$D, D339, 'Data Combined - all-runs'!$E:$E, E339)</f>
        <v>0.2630185349</v>
      </c>
      <c r="L339" s="5">
        <f>AVERAGEIFS('Data Combined - all-runs'!$L:$L, 'Data Combined - all-runs'!$A:$A, A339,'Data Combined - all-runs'!$B:$B, B339,'Data Combined - all-runs'!$C:$C, C339, 'Data Combined - all-runs'!$D:$D, D339, 'Data Combined - all-runs'!$E:$E, E339)</f>
        <v>55797.83728</v>
      </c>
      <c r="M339" s="5">
        <f>AVERAGEIFS('Data Combined - all-runs'!$M:$M, 'Data Combined - all-runs'!$A:$A, A339,'Data Combined - all-runs'!$B:$B, B339,'Data Combined - all-runs'!$C:$C, C339, 'Data Combined - all-runs'!$D:$D, D339, 'Data Combined - all-runs'!$E:$E, E339)</f>
        <v>106</v>
      </c>
      <c r="N339" s="5">
        <f>AVERAGEIFS('Data Combined - all-runs'!$N:$N, 'Data Combined - all-runs'!$A:$A, A339,'Data Combined - all-runs'!$B:$B, B339,'Data Combined - all-runs'!$C:$C, C339, 'Data Combined - all-runs'!$D:$D, D339, 'Data Combined - all-runs'!$E:$E, E339)</f>
        <v>3</v>
      </c>
      <c r="O339" s="5">
        <f>AVERAGEIFS('Data Combined - all-runs'!$O:$O, 'Data Combined - all-runs'!$A:$A, A339,'Data Combined - all-runs'!$B:$B, B339,'Data Combined - all-runs'!$C:$C, C339, 'Data Combined - all-runs'!$D:$D, D339, 'Data Combined - all-runs'!$E:$E, E339)</f>
        <v>1133</v>
      </c>
      <c r="P339" s="5">
        <f>AVERAGEIFS('Data Combined - all-runs'!$P:$P, 'Data Combined - all-runs'!$A:$A, A339,'Data Combined - all-runs'!$B:$B, B339,'Data Combined - all-runs'!$C:$C, C339, 'Data Combined - all-runs'!$D:$D, D339, 'Data Combined - all-runs'!$E:$E, E339)</f>
        <v>2.647837599</v>
      </c>
      <c r="Q339" s="5">
        <f>AVERAGEIFS('Data Combined - all-runs'!$Q:$Q, 'Data Combined - all-runs'!$A:$A, A339,'Data Combined - all-runs'!$B:$B, B339,'Data Combined - all-runs'!$C:$C, C339, 'Data Combined - all-runs'!$D:$D, D339, 'Data Combined - all-runs'!$E:$E, E339)</f>
        <v>841.129744</v>
      </c>
      <c r="R339" s="5">
        <f>AVERAGEIFS('Data Combined - all-runs'!$R:$R, 'Data Combined - all-runs'!$A:$A, A339,'Data Combined - all-runs'!$B:$B, B339,'Data Combined - all-runs'!$C:$C, C339, 'Data Combined - all-runs'!$D:$D, D339, 'Data Combined - all-runs'!$E:$E, E339)</f>
        <v>317.6666667</v>
      </c>
      <c r="S339" s="5">
        <f>AVERAGEIFS('Data Combined - all-runs'!$S:$S, 'Data Combined - all-runs'!$A:$A, A339,'Data Combined - all-runs'!$B:$B, B339,'Data Combined - all-runs'!$C:$C, C339, 'Data Combined - all-runs'!$D:$D, D339, 'Data Combined - all-runs'!$E:$E, E339)</f>
        <v>2.113326338</v>
      </c>
      <c r="T339" s="5">
        <f>AVERAGEIFS('Data Combined - all-runs'!$T:$T, 'Data Combined - all-runs'!$A:$A, A339,'Data Combined - all-runs'!$B:$B, B339,'Data Combined - all-runs'!$C:$C, C339, 'Data Combined - all-runs'!$D:$D, D339, 'Data Combined - all-runs'!$E:$E, E339)</f>
        <v>0</v>
      </c>
      <c r="U339" s="5" t="b">
        <f t="shared" si="1"/>
        <v>1</v>
      </c>
      <c r="V339" s="5" t="b">
        <f t="shared" si="2"/>
        <v>1</v>
      </c>
      <c r="W339" s="5" t="b">
        <f t="shared" si="3"/>
        <v>0</v>
      </c>
    </row>
    <row r="340">
      <c r="A340" s="2" t="s">
        <v>33</v>
      </c>
      <c r="B340" s="2" t="s">
        <v>22</v>
      </c>
      <c r="C340" s="2" t="s">
        <v>35</v>
      </c>
      <c r="D340" s="2" t="s">
        <v>72</v>
      </c>
      <c r="E340" s="2" t="s">
        <v>43</v>
      </c>
      <c r="H340" s="5">
        <f>AVERAGEIFS('Data Combined - all-runs'!$H:$H, 'Data Combined - all-runs'!$A:$A, A340,'Data Combined - all-runs'!$B:$B, B340,'Data Combined - all-runs'!$C:$C, C340, 'Data Combined - all-runs'!$D:$D, D340, 'Data Combined - all-runs'!$E:$E, E340)</f>
        <v>1081</v>
      </c>
      <c r="I340" s="5">
        <f>AVERAGEIFS('Data Combined - all-runs'!$I:$I, 'Data Combined - all-runs'!$A:$A, A340,'Data Combined - all-runs'!$B:$B, B340,'Data Combined - all-runs'!$C:$C, C340, 'Data Combined - all-runs'!$D:$D, D340, 'Data Combined - all-runs'!$E:$E, E340)</f>
        <v>0</v>
      </c>
      <c r="J340" s="5">
        <f>AVERAGEIFS('Data Combined - all-runs'!$J:$J, 'Data Combined - all-runs'!$A:$A, A340,'Data Combined - all-runs'!$B:$B, B340,'Data Combined - all-runs'!$C:$C, C340, 'Data Combined - all-runs'!$D:$D, D340, 'Data Combined - all-runs'!$E:$E, E340)</f>
        <v>4184</v>
      </c>
      <c r="K340" s="5">
        <f>AVERAGEIFS('Data Combined - all-runs'!$K:$K, 'Data Combined - all-runs'!$A:$A, A340,'Data Combined - all-runs'!$B:$B, B340,'Data Combined - all-runs'!$C:$C, C340, 'Data Combined - all-runs'!$D:$D, D340, 'Data Combined - all-runs'!$E:$E, E340)</f>
        <v>0.2432287477</v>
      </c>
      <c r="L340" s="5">
        <f>AVERAGEIFS('Data Combined - all-runs'!$L:$L, 'Data Combined - all-runs'!$A:$A, A340,'Data Combined - all-runs'!$B:$B, B340,'Data Combined - all-runs'!$C:$C, C340, 'Data Combined - all-runs'!$D:$D, D340, 'Data Combined - all-runs'!$E:$E, E340)</f>
        <v>64589.11962</v>
      </c>
      <c r="M340" s="5">
        <f>AVERAGEIFS('Data Combined - all-runs'!$M:$M, 'Data Combined - all-runs'!$A:$A, A340,'Data Combined - all-runs'!$B:$B, B340,'Data Combined - all-runs'!$C:$C, C340, 'Data Combined - all-runs'!$D:$D, D340, 'Data Combined - all-runs'!$E:$E, E340)</f>
        <v>111</v>
      </c>
      <c r="N340" s="5">
        <f>AVERAGEIFS('Data Combined - all-runs'!$N:$N, 'Data Combined - all-runs'!$A:$A, A340,'Data Combined - all-runs'!$B:$B, B340,'Data Combined - all-runs'!$C:$C, C340, 'Data Combined - all-runs'!$D:$D, D340, 'Data Combined - all-runs'!$E:$E, E340)</f>
        <v>5</v>
      </c>
      <c r="O340" s="5">
        <f>AVERAGEIFS('Data Combined - all-runs'!$O:$O, 'Data Combined - all-runs'!$A:$A, A340,'Data Combined - all-runs'!$B:$B, B340,'Data Combined - all-runs'!$C:$C, C340, 'Data Combined - all-runs'!$D:$D, D340, 'Data Combined - all-runs'!$E:$E, E340)</f>
        <v>1243</v>
      </c>
      <c r="P340" s="5">
        <f>AVERAGEIFS('Data Combined - all-runs'!$P:$P, 'Data Combined - all-runs'!$A:$A, A340,'Data Combined - all-runs'!$B:$B, B340,'Data Combined - all-runs'!$C:$C, C340, 'Data Combined - all-runs'!$D:$D, D340, 'Data Combined - all-runs'!$E:$E, E340)</f>
        <v>4.022526146</v>
      </c>
      <c r="Q340" s="5">
        <f>AVERAGEIFS('Data Combined - all-runs'!$Q:$Q, 'Data Combined - all-runs'!$A:$A, A340,'Data Combined - all-runs'!$B:$B, B340,'Data Combined - all-runs'!$C:$C, C340, 'Data Combined - all-runs'!$D:$D, D340, 'Data Combined - all-runs'!$E:$E, E340)</f>
        <v>869.6701529</v>
      </c>
      <c r="R340" s="5">
        <f>AVERAGEIFS('Data Combined - all-runs'!$R:$R, 'Data Combined - all-runs'!$A:$A, A340,'Data Combined - all-runs'!$B:$B, B340,'Data Combined - all-runs'!$C:$C, C340, 'Data Combined - all-runs'!$D:$D, D340, 'Data Combined - all-runs'!$E:$E, E340)</f>
        <v>216.2</v>
      </c>
      <c r="S340" s="5">
        <f>AVERAGEIFS('Data Combined - all-runs'!$S:$S, 'Data Combined - all-runs'!$A:$A, A340,'Data Combined - all-runs'!$B:$B, B340,'Data Combined - all-runs'!$C:$C, C340, 'Data Combined - all-runs'!$D:$D, D340, 'Data Combined - all-runs'!$E:$E, E340)</f>
        <v>3.870490287</v>
      </c>
      <c r="T340" s="5">
        <f>AVERAGEIFS('Data Combined - all-runs'!$T:$T, 'Data Combined - all-runs'!$A:$A, A340,'Data Combined - all-runs'!$B:$B, B340,'Data Combined - all-runs'!$C:$C, C340, 'Data Combined - all-runs'!$D:$D, D340, 'Data Combined - all-runs'!$E:$E, E340)</f>
        <v>0</v>
      </c>
      <c r="U340" s="5" t="b">
        <f t="shared" si="1"/>
        <v>1</v>
      </c>
      <c r="V340" s="5" t="b">
        <f t="shared" si="2"/>
        <v>1</v>
      </c>
      <c r="W340" s="5" t="b">
        <f t="shared" si="3"/>
        <v>0</v>
      </c>
    </row>
    <row r="341">
      <c r="A341" s="2" t="s">
        <v>33</v>
      </c>
      <c r="B341" s="2" t="s">
        <v>22</v>
      </c>
      <c r="C341" s="2" t="s">
        <v>35</v>
      </c>
      <c r="D341" s="2" t="s">
        <v>72</v>
      </c>
      <c r="E341" s="2" t="s">
        <v>34</v>
      </c>
      <c r="H341" s="5">
        <f>AVERAGEIFS('Data Combined - all-runs'!$H:$H, 'Data Combined - all-runs'!$A:$A, A341,'Data Combined - all-runs'!$B:$B, B341,'Data Combined - all-runs'!$C:$C, C341, 'Data Combined - all-runs'!$D:$D, D341, 'Data Combined - all-runs'!$E:$E, E341)</f>
        <v>1697</v>
      </c>
      <c r="I341" s="5">
        <f>AVERAGEIFS('Data Combined - all-runs'!$I:$I, 'Data Combined - all-runs'!$A:$A, A341,'Data Combined - all-runs'!$B:$B, B341,'Data Combined - all-runs'!$C:$C, C341, 'Data Combined - all-runs'!$D:$D, D341, 'Data Combined - all-runs'!$E:$E, E341)</f>
        <v>2</v>
      </c>
      <c r="J341" s="5">
        <f>AVERAGEIFS('Data Combined - all-runs'!$J:$J, 'Data Combined - all-runs'!$A:$A, A341,'Data Combined - all-runs'!$B:$B, B341,'Data Combined - all-runs'!$C:$C, C341, 'Data Combined - all-runs'!$D:$D, D341, 'Data Combined - all-runs'!$E:$E, E341)</f>
        <v>33</v>
      </c>
      <c r="K341" s="5">
        <f>AVERAGEIFS('Data Combined - all-runs'!$K:$K, 'Data Combined - all-runs'!$A:$A, A341,'Data Combined - all-runs'!$B:$B, B341,'Data Combined - all-runs'!$C:$C, C341, 'Data Combined - all-runs'!$D:$D, D341, 'Data Combined - all-runs'!$E:$E, E341)</f>
        <v>0.2086834734</v>
      </c>
      <c r="L341" s="5">
        <f>AVERAGEIFS('Data Combined - all-runs'!$L:$L, 'Data Combined - all-runs'!$A:$A, A341,'Data Combined - all-runs'!$B:$B, B341,'Data Combined - all-runs'!$C:$C, C341, 'Data Combined - all-runs'!$D:$D, D341, 'Data Combined - all-runs'!$E:$E, E341)</f>
        <v>7910.526213</v>
      </c>
      <c r="M341" s="5">
        <f>AVERAGEIFS('Data Combined - all-runs'!$M:$M, 'Data Combined - all-runs'!$A:$A, A341,'Data Combined - all-runs'!$B:$B, B341,'Data Combined - all-runs'!$C:$C, C341, 'Data Combined - all-runs'!$D:$D, D341, 'Data Combined - all-runs'!$E:$E, E341)</f>
        <v>47</v>
      </c>
      <c r="N341" s="5">
        <f>AVERAGEIFS('Data Combined - all-runs'!$N:$N, 'Data Combined - all-runs'!$A:$A, A341,'Data Combined - all-runs'!$B:$B, B341,'Data Combined - all-runs'!$C:$C, C341, 'Data Combined - all-runs'!$D:$D, D341, 'Data Combined - all-runs'!$E:$E, E341)</f>
        <v>12</v>
      </c>
      <c r="O341" s="5">
        <f>AVERAGEIFS('Data Combined - all-runs'!$O:$O, 'Data Combined - all-runs'!$A:$A, A341,'Data Combined - all-runs'!$B:$B, B341,'Data Combined - all-runs'!$C:$C, C341, 'Data Combined - all-runs'!$D:$D, D341, 'Data Combined - all-runs'!$E:$E, E341)</f>
        <v>2023</v>
      </c>
      <c r="P341" s="5">
        <f>AVERAGEIFS('Data Combined - all-runs'!$P:$P, 'Data Combined - all-runs'!$A:$A, A341,'Data Combined - all-runs'!$B:$B, B341,'Data Combined - all-runs'!$C:$C, C341, 'Data Combined - all-runs'!$D:$D, D341, 'Data Combined - all-runs'!$E:$E, E341)</f>
        <v>5.931784478</v>
      </c>
      <c r="Q341" s="5">
        <f>AVERAGEIFS('Data Combined - all-runs'!$Q:$Q, 'Data Combined - all-runs'!$A:$A, A341,'Data Combined - all-runs'!$B:$B, B341,'Data Combined - all-runs'!$C:$C, C341, 'Data Combined - all-runs'!$D:$D, D341, 'Data Combined - all-runs'!$E:$E, E341)</f>
        <v>838.8531883</v>
      </c>
      <c r="R341" s="5">
        <f>AVERAGEIFS('Data Combined - all-runs'!$R:$R, 'Data Combined - all-runs'!$A:$A, A341,'Data Combined - all-runs'!$B:$B, B341,'Data Combined - all-runs'!$C:$C, C341, 'Data Combined - all-runs'!$D:$D, D341, 'Data Combined - all-runs'!$E:$E, E341)</f>
        <v>141.4166667</v>
      </c>
      <c r="S341" s="5">
        <f>AVERAGEIFS('Data Combined - all-runs'!$S:$S, 'Data Combined - all-runs'!$A:$A, A341,'Data Combined - all-runs'!$B:$B, B341,'Data Combined - all-runs'!$C:$C, C341, 'Data Combined - all-runs'!$D:$D, D341, 'Data Combined - all-runs'!$E:$E, E341)</f>
        <v>0.01944608132</v>
      </c>
      <c r="T341" s="5">
        <f>AVERAGEIFS('Data Combined - all-runs'!$T:$T, 'Data Combined - all-runs'!$A:$A, A341,'Data Combined - all-runs'!$B:$B, B341,'Data Combined - all-runs'!$C:$C, C341, 'Data Combined - all-runs'!$D:$D, D341, 'Data Combined - all-runs'!$E:$E, E341)</f>
        <v>0.001178550383</v>
      </c>
      <c r="U341" s="5" t="b">
        <f t="shared" si="1"/>
        <v>1</v>
      </c>
      <c r="V341" s="5" t="b">
        <f t="shared" si="2"/>
        <v>1</v>
      </c>
      <c r="W341" s="5" t="b">
        <f t="shared" si="3"/>
        <v>0</v>
      </c>
    </row>
    <row r="342">
      <c r="A342" s="2" t="s">
        <v>33</v>
      </c>
      <c r="B342" s="2" t="s">
        <v>22</v>
      </c>
      <c r="C342" s="2" t="s">
        <v>35</v>
      </c>
      <c r="D342" s="2" t="s">
        <v>72</v>
      </c>
      <c r="E342" s="2" t="s">
        <v>47</v>
      </c>
      <c r="H342" s="5">
        <f>AVERAGEIFS('Data Combined - all-runs'!$H:$H, 'Data Combined - all-runs'!$A:$A, A342,'Data Combined - all-runs'!$B:$B, B342,'Data Combined - all-runs'!$C:$C, C342, 'Data Combined - all-runs'!$D:$D, D342, 'Data Combined - all-runs'!$E:$E, E342)</f>
        <v>479</v>
      </c>
      <c r="I342" s="5">
        <f>AVERAGEIFS('Data Combined - all-runs'!$I:$I, 'Data Combined - all-runs'!$A:$A, A342,'Data Combined - all-runs'!$B:$B, B342,'Data Combined - all-runs'!$C:$C, C342, 'Data Combined - all-runs'!$D:$D, D342, 'Data Combined - all-runs'!$E:$E, E342)</f>
        <v>0</v>
      </c>
      <c r="J342" s="5">
        <f>AVERAGEIFS('Data Combined - all-runs'!$J:$J, 'Data Combined - all-runs'!$A:$A, A342,'Data Combined - all-runs'!$B:$B, B342,'Data Combined - all-runs'!$C:$C, C342, 'Data Combined - all-runs'!$D:$D, D342, 'Data Combined - all-runs'!$E:$E, E342)</f>
        <v>3218</v>
      </c>
      <c r="K342" s="5">
        <f>AVERAGEIFS('Data Combined - all-runs'!$K:$K, 'Data Combined - all-runs'!$A:$A, A342,'Data Combined - all-runs'!$B:$B, B342,'Data Combined - all-runs'!$C:$C, C342, 'Data Combined - all-runs'!$D:$D, D342, 'Data Combined - all-runs'!$E:$E, E342)</f>
        <v>0</v>
      </c>
      <c r="L342" s="5">
        <f>AVERAGEIFS('Data Combined - all-runs'!$L:$L, 'Data Combined - all-runs'!$A:$A, A342,'Data Combined - all-runs'!$B:$B, B342,'Data Combined - all-runs'!$C:$C, C342, 'Data Combined - all-runs'!$D:$D, D342, 'Data Combined - all-runs'!$E:$E, E342)</f>
        <v>29059.21806</v>
      </c>
      <c r="M342" s="5" t="str">
        <f>AVERAGEIFS('Data Combined - all-runs'!$M:$M, 'Data Combined - all-runs'!$A:$A, A342,'Data Combined - all-runs'!$B:$B, B342,'Data Combined - all-runs'!$C:$C, C342, 'Data Combined - all-runs'!$D:$D, D342, 'Data Combined - all-runs'!$E:$E, E342)</f>
        <v>#DIV/0!</v>
      </c>
      <c r="N342" s="5">
        <f>AVERAGEIFS('Data Combined - all-runs'!$N:$N, 'Data Combined - all-runs'!$A:$A, A342,'Data Combined - all-runs'!$B:$B, B342,'Data Combined - all-runs'!$C:$C, C342, 'Data Combined - all-runs'!$D:$D, D342, 'Data Combined - all-runs'!$E:$E, E342)</f>
        <v>0</v>
      </c>
      <c r="O342" s="5">
        <f>AVERAGEIFS('Data Combined - all-runs'!$O:$O, 'Data Combined - all-runs'!$A:$A, A342,'Data Combined - all-runs'!$B:$B, B342,'Data Combined - all-runs'!$C:$C, C342, 'Data Combined - all-runs'!$D:$D, D342, 'Data Combined - all-runs'!$E:$E, E342)</f>
        <v>500</v>
      </c>
      <c r="P342" s="5">
        <f>AVERAGEIFS('Data Combined - all-runs'!$P:$P, 'Data Combined - all-runs'!$A:$A, A342,'Data Combined - all-runs'!$B:$B, B342,'Data Combined - all-runs'!$C:$C, C342, 'Data Combined - all-runs'!$D:$D, D342, 'Data Combined - all-runs'!$E:$E, E342)</f>
        <v>0</v>
      </c>
      <c r="Q342" s="5">
        <f>AVERAGEIFS('Data Combined - all-runs'!$Q:$Q, 'Data Combined - all-runs'!$A:$A, A342,'Data Combined - all-runs'!$B:$B, B342,'Data Combined - all-runs'!$C:$C, C342, 'Data Combined - all-runs'!$D:$D, D342, 'Data Combined - all-runs'!$E:$E, E342)</f>
        <v>958</v>
      </c>
      <c r="R342" s="5" t="str">
        <f>AVERAGEIFS('Data Combined - all-runs'!$R:$R, 'Data Combined - all-runs'!$A:$A, A342,'Data Combined - all-runs'!$B:$B, B342,'Data Combined - all-runs'!$C:$C, C342, 'Data Combined - all-runs'!$D:$D, D342, 'Data Combined - all-runs'!$E:$E, E342)</f>
        <v>#DIV/0!</v>
      </c>
      <c r="S342" s="5">
        <f>AVERAGEIFS('Data Combined - all-runs'!$S:$S, 'Data Combined - all-runs'!$A:$A, A342,'Data Combined - all-runs'!$B:$B, B342,'Data Combined - all-runs'!$C:$C, C342, 'Data Combined - all-runs'!$D:$D, D342, 'Data Combined - all-runs'!$E:$E, E342)</f>
        <v>6.718162839</v>
      </c>
      <c r="T342" s="5">
        <f>AVERAGEIFS('Data Combined - all-runs'!$T:$T, 'Data Combined - all-runs'!$A:$A, A342,'Data Combined - all-runs'!$B:$B, B342,'Data Combined - all-runs'!$C:$C, C342, 'Data Combined - all-runs'!$D:$D, D342, 'Data Combined - all-runs'!$E:$E, E342)</f>
        <v>0</v>
      </c>
      <c r="U342" s="5" t="b">
        <f t="shared" si="1"/>
        <v>1</v>
      </c>
      <c r="V342" s="5" t="b">
        <f t="shared" si="2"/>
        <v>1</v>
      </c>
      <c r="W342" s="5" t="b">
        <f t="shared" si="3"/>
        <v>0</v>
      </c>
    </row>
    <row r="343">
      <c r="A343" s="2" t="s">
        <v>33</v>
      </c>
      <c r="B343" s="2" t="s">
        <v>22</v>
      </c>
      <c r="C343" s="2" t="s">
        <v>35</v>
      </c>
      <c r="D343" s="2" t="s">
        <v>72</v>
      </c>
      <c r="E343" s="2" t="s">
        <v>51</v>
      </c>
      <c r="H343" s="5">
        <f>AVERAGEIFS('Data Combined - all-runs'!$H:$H, 'Data Combined - all-runs'!$A:$A, A343,'Data Combined - all-runs'!$B:$B, B343,'Data Combined - all-runs'!$C:$C, C343, 'Data Combined - all-runs'!$D:$D, D343, 'Data Combined - all-runs'!$E:$E, E343)</f>
        <v>500</v>
      </c>
      <c r="I343" s="5">
        <f>AVERAGEIFS('Data Combined - all-runs'!$I:$I, 'Data Combined - all-runs'!$A:$A, A343,'Data Combined - all-runs'!$B:$B, B343,'Data Combined - all-runs'!$C:$C, C343, 'Data Combined - all-runs'!$D:$D, D343, 'Data Combined - all-runs'!$E:$E, E343)</f>
        <v>0</v>
      </c>
      <c r="J343" s="5">
        <f>AVERAGEIFS('Data Combined - all-runs'!$J:$J, 'Data Combined - all-runs'!$A:$A, A343,'Data Combined - all-runs'!$B:$B, B343,'Data Combined - all-runs'!$C:$C, C343, 'Data Combined - all-runs'!$D:$D, D343, 'Data Combined - all-runs'!$E:$E, E343)</f>
        <v>4000</v>
      </c>
      <c r="K343" s="5">
        <f>AVERAGEIFS('Data Combined - all-runs'!$K:$K, 'Data Combined - all-runs'!$A:$A, A343,'Data Combined - all-runs'!$B:$B, B343,'Data Combined - all-runs'!$C:$C, C343, 'Data Combined - all-runs'!$D:$D, D343, 'Data Combined - all-runs'!$E:$E, E343)</f>
        <v>0</v>
      </c>
      <c r="L343" s="5">
        <f>AVERAGEIFS('Data Combined - all-runs'!$L:$L, 'Data Combined - all-runs'!$A:$A, A343,'Data Combined - all-runs'!$B:$B, B343,'Data Combined - all-runs'!$C:$C, C343, 'Data Combined - all-runs'!$D:$D, D343, 'Data Combined - all-runs'!$E:$E, E343)</f>
        <v>30267.38552</v>
      </c>
      <c r="M343" s="5" t="str">
        <f>AVERAGEIFS('Data Combined - all-runs'!$M:$M, 'Data Combined - all-runs'!$A:$A, A343,'Data Combined - all-runs'!$B:$B, B343,'Data Combined - all-runs'!$C:$C, C343, 'Data Combined - all-runs'!$D:$D, D343, 'Data Combined - all-runs'!$E:$E, E343)</f>
        <v>#DIV/0!</v>
      </c>
      <c r="N343" s="5">
        <f>AVERAGEIFS('Data Combined - all-runs'!$N:$N, 'Data Combined - all-runs'!$A:$A, A343,'Data Combined - all-runs'!$B:$B, B343,'Data Combined - all-runs'!$C:$C, C343, 'Data Combined - all-runs'!$D:$D, D343, 'Data Combined - all-runs'!$E:$E, E343)</f>
        <v>0</v>
      </c>
      <c r="O343" s="5">
        <f>AVERAGEIFS('Data Combined - all-runs'!$O:$O, 'Data Combined - all-runs'!$A:$A, A343,'Data Combined - all-runs'!$B:$B, B343,'Data Combined - all-runs'!$C:$C, C343, 'Data Combined - all-runs'!$D:$D, D343, 'Data Combined - all-runs'!$E:$E, E343)</f>
        <v>500</v>
      </c>
      <c r="P343" s="5">
        <f>AVERAGEIFS('Data Combined - all-runs'!$P:$P, 'Data Combined - all-runs'!$A:$A, A343,'Data Combined - all-runs'!$B:$B, B343,'Data Combined - all-runs'!$C:$C, C343, 'Data Combined - all-runs'!$D:$D, D343, 'Data Combined - all-runs'!$E:$E, E343)</f>
        <v>0</v>
      </c>
      <c r="Q343" s="5">
        <f>AVERAGEIFS('Data Combined - all-runs'!$Q:$Q, 'Data Combined - all-runs'!$A:$A, A343,'Data Combined - all-runs'!$B:$B, B343,'Data Combined - all-runs'!$C:$C, C343, 'Data Combined - all-runs'!$D:$D, D343, 'Data Combined - all-runs'!$E:$E, E343)</f>
        <v>1000</v>
      </c>
      <c r="R343" s="5" t="str">
        <f>AVERAGEIFS('Data Combined - all-runs'!$R:$R, 'Data Combined - all-runs'!$A:$A, A343,'Data Combined - all-runs'!$B:$B, B343,'Data Combined - all-runs'!$C:$C, C343, 'Data Combined - all-runs'!$D:$D, D343, 'Data Combined - all-runs'!$E:$E, E343)</f>
        <v>#DIV/0!</v>
      </c>
      <c r="S343" s="5">
        <f>AVERAGEIFS('Data Combined - all-runs'!$S:$S, 'Data Combined - all-runs'!$A:$A, A343,'Data Combined - all-runs'!$B:$B, B343,'Data Combined - all-runs'!$C:$C, C343, 'Data Combined - all-runs'!$D:$D, D343, 'Data Combined - all-runs'!$E:$E, E343)</f>
        <v>8</v>
      </c>
      <c r="T343" s="5">
        <f>AVERAGEIFS('Data Combined - all-runs'!$T:$T, 'Data Combined - all-runs'!$A:$A, A343,'Data Combined - all-runs'!$B:$B, B343,'Data Combined - all-runs'!$C:$C, C343, 'Data Combined - all-runs'!$D:$D, D343, 'Data Combined - all-runs'!$E:$E, E343)</f>
        <v>0</v>
      </c>
      <c r="U343" s="5" t="b">
        <f t="shared" si="1"/>
        <v>1</v>
      </c>
      <c r="V343" s="5" t="b">
        <f t="shared" si="2"/>
        <v>1</v>
      </c>
      <c r="W343" s="5" t="b">
        <f t="shared" si="3"/>
        <v>0</v>
      </c>
    </row>
    <row r="344">
      <c r="A344" s="2" t="s">
        <v>33</v>
      </c>
      <c r="B344" s="2" t="s">
        <v>22</v>
      </c>
      <c r="C344" s="2" t="s">
        <v>35</v>
      </c>
      <c r="D344" s="2" t="s">
        <v>64</v>
      </c>
      <c r="E344" s="2" t="s">
        <v>25</v>
      </c>
      <c r="H344" s="5">
        <f>AVERAGEIFS('Data Combined - all-runs'!$H:$H, 'Data Combined - all-runs'!$A:$A, A344,'Data Combined - all-runs'!$B:$B, B344,'Data Combined - all-runs'!$C:$C, C344, 'Data Combined - all-runs'!$D:$D, D344, 'Data Combined - all-runs'!$E:$E, E344)</f>
        <v>802</v>
      </c>
      <c r="I344" s="5">
        <f>AVERAGEIFS('Data Combined - all-runs'!$I:$I, 'Data Combined - all-runs'!$A:$A, A344,'Data Combined - all-runs'!$B:$B, B344,'Data Combined - all-runs'!$C:$C, C344, 'Data Combined - all-runs'!$D:$D, D344, 'Data Combined - all-runs'!$E:$E, E344)</f>
        <v>0</v>
      </c>
      <c r="J344" s="5">
        <f>AVERAGEIFS('Data Combined - all-runs'!$J:$J, 'Data Combined - all-runs'!$A:$A, A344,'Data Combined - all-runs'!$B:$B, B344,'Data Combined - all-runs'!$C:$C, C344, 'Data Combined - all-runs'!$D:$D, D344, 'Data Combined - all-runs'!$E:$E, E344)</f>
        <v>0</v>
      </c>
      <c r="K344" s="5">
        <f>AVERAGEIFS('Data Combined - all-runs'!$K:$K, 'Data Combined - all-runs'!$A:$A, A344,'Data Combined - all-runs'!$B:$B, B344,'Data Combined - all-runs'!$C:$C, C344, 'Data Combined - all-runs'!$D:$D, D344, 'Data Combined - all-runs'!$E:$E, E344)</f>
        <v>0.1772670025</v>
      </c>
      <c r="L344" s="5">
        <f>AVERAGEIFS('Data Combined - all-runs'!$L:$L, 'Data Combined - all-runs'!$A:$A, A344,'Data Combined - all-runs'!$B:$B, B344,'Data Combined - all-runs'!$C:$C, C344, 'Data Combined - all-runs'!$D:$D, D344, 'Data Combined - all-runs'!$E:$E, E344)</f>
        <v>12874.58128</v>
      </c>
      <c r="M344" s="5">
        <f>AVERAGEIFS('Data Combined - all-runs'!$M:$M, 'Data Combined - all-runs'!$A:$A, A344,'Data Combined - all-runs'!$B:$B, B344,'Data Combined - all-runs'!$C:$C, C344, 'Data Combined - all-runs'!$D:$D, D344, 'Data Combined - all-runs'!$E:$E, E344)</f>
        <v>48</v>
      </c>
      <c r="N344" s="5">
        <f>AVERAGEIFS('Data Combined - all-runs'!$N:$N, 'Data Combined - all-runs'!$A:$A, A344,'Data Combined - all-runs'!$B:$B, B344,'Data Combined - all-runs'!$C:$C, C344, 'Data Combined - all-runs'!$D:$D, D344, 'Data Combined - all-runs'!$E:$E, E344)</f>
        <v>9</v>
      </c>
      <c r="O344" s="5">
        <f>AVERAGEIFS('Data Combined - all-runs'!$O:$O, 'Data Combined - all-runs'!$A:$A, A344,'Data Combined - all-runs'!$B:$B, B344,'Data Combined - all-runs'!$C:$C, C344, 'Data Combined - all-runs'!$D:$D, D344, 'Data Combined - all-runs'!$E:$E, E344)</f>
        <v>1588</v>
      </c>
      <c r="P344" s="5">
        <f>AVERAGEIFS('Data Combined - all-runs'!$P:$P, 'Data Combined - all-runs'!$A:$A, A344,'Data Combined - all-runs'!$B:$B, B344,'Data Combined - all-runs'!$C:$C, C344, 'Data Combined - all-runs'!$D:$D, D344, 'Data Combined - all-runs'!$E:$E, E344)</f>
        <v>5.667506297</v>
      </c>
      <c r="Q344" s="5">
        <f>AVERAGEIFS('Data Combined - all-runs'!$Q:$Q, 'Data Combined - all-runs'!$A:$A, A344,'Data Combined - all-runs'!$B:$B, B344,'Data Combined - all-runs'!$C:$C, C344, 'Data Combined - all-runs'!$D:$D, D344, 'Data Combined - all-runs'!$E:$E, E344)</f>
        <v>505.0377834</v>
      </c>
      <c r="R344" s="5">
        <f>AVERAGEIFS('Data Combined - all-runs'!$R:$R, 'Data Combined - all-runs'!$A:$A, A344,'Data Combined - all-runs'!$B:$B, B344,'Data Combined - all-runs'!$C:$C, C344, 'Data Combined - all-runs'!$D:$D, D344, 'Data Combined - all-runs'!$E:$E, E344)</f>
        <v>89.11111111</v>
      </c>
      <c r="S344" s="5">
        <f>AVERAGEIFS('Data Combined - all-runs'!$S:$S, 'Data Combined - all-runs'!$A:$A, A344,'Data Combined - all-runs'!$B:$B, B344,'Data Combined - all-runs'!$C:$C, C344, 'Data Combined - all-runs'!$D:$D, D344, 'Data Combined - all-runs'!$E:$E, E344)</f>
        <v>0</v>
      </c>
      <c r="T344" s="5">
        <f>AVERAGEIFS('Data Combined - all-runs'!$T:$T, 'Data Combined - all-runs'!$A:$A, A344,'Data Combined - all-runs'!$B:$B, B344,'Data Combined - all-runs'!$C:$C, C344, 'Data Combined - all-runs'!$D:$D, D344, 'Data Combined - all-runs'!$E:$E, E344)</f>
        <v>0</v>
      </c>
      <c r="U344" s="5" t="b">
        <f t="shared" si="1"/>
        <v>1</v>
      </c>
      <c r="V344" s="5" t="b">
        <f t="shared" si="2"/>
        <v>1</v>
      </c>
      <c r="W344" s="5" t="b">
        <f t="shared" si="3"/>
        <v>0</v>
      </c>
    </row>
    <row r="345">
      <c r="A345" s="2" t="s">
        <v>33</v>
      </c>
      <c r="B345" s="2" t="s">
        <v>22</v>
      </c>
      <c r="C345" s="2" t="s">
        <v>35</v>
      </c>
      <c r="D345" s="2" t="s">
        <v>64</v>
      </c>
      <c r="E345" s="2" t="s">
        <v>39</v>
      </c>
      <c r="H345" s="5">
        <f>AVERAGEIFS('Data Combined - all-runs'!$H:$H, 'Data Combined - all-runs'!$A:$A, A345,'Data Combined - all-runs'!$B:$B, B345,'Data Combined - all-runs'!$C:$C, C345, 'Data Combined - all-runs'!$D:$D, D345, 'Data Combined - all-runs'!$E:$E, E345)</f>
        <v>143</v>
      </c>
      <c r="I345" s="5">
        <f>AVERAGEIFS('Data Combined - all-runs'!$I:$I, 'Data Combined - all-runs'!$A:$A, A345,'Data Combined - all-runs'!$B:$B, B345,'Data Combined - all-runs'!$C:$C, C345, 'Data Combined - all-runs'!$D:$D, D345, 'Data Combined - all-runs'!$E:$E, E345)</f>
        <v>0</v>
      </c>
      <c r="J345" s="5">
        <f>AVERAGEIFS('Data Combined - all-runs'!$J:$J, 'Data Combined - all-runs'!$A:$A, A345,'Data Combined - all-runs'!$B:$B, B345,'Data Combined - all-runs'!$C:$C, C345, 'Data Combined - all-runs'!$D:$D, D345, 'Data Combined - all-runs'!$E:$E, E345)</f>
        <v>0</v>
      </c>
      <c r="K345" s="5">
        <f>AVERAGEIFS('Data Combined - all-runs'!$K:$K, 'Data Combined - all-runs'!$A:$A, A345,'Data Combined - all-runs'!$B:$B, B345,'Data Combined - all-runs'!$C:$C, C345, 'Data Combined - all-runs'!$D:$D, D345, 'Data Combined - all-runs'!$E:$E, E345)</f>
        <v>0.0995</v>
      </c>
      <c r="L345" s="5">
        <f>AVERAGEIFS('Data Combined - all-runs'!$L:$L, 'Data Combined - all-runs'!$A:$A, A345,'Data Combined - all-runs'!$B:$B, B345,'Data Combined - all-runs'!$C:$C, C345, 'Data Combined - all-runs'!$D:$D, D345, 'Data Combined - all-runs'!$E:$E, E345)</f>
        <v>2732.916412</v>
      </c>
      <c r="M345" s="5" t="str">
        <f>AVERAGEIFS('Data Combined - all-runs'!$M:$M, 'Data Combined - all-runs'!$A:$A, A345,'Data Combined - all-runs'!$B:$B, B345,'Data Combined - all-runs'!$C:$C, C345, 'Data Combined - all-runs'!$D:$D, D345, 'Data Combined - all-runs'!$E:$E, E345)</f>
        <v>#DIV/0!</v>
      </c>
      <c r="N345" s="5">
        <f>AVERAGEIFS('Data Combined - all-runs'!$N:$N, 'Data Combined - all-runs'!$A:$A, A345,'Data Combined - all-runs'!$B:$B, B345,'Data Combined - all-runs'!$C:$C, C345, 'Data Combined - all-runs'!$D:$D, D345, 'Data Combined - all-runs'!$E:$E, E345)</f>
        <v>0</v>
      </c>
      <c r="O345" s="5">
        <f>AVERAGEIFS('Data Combined - all-runs'!$O:$O, 'Data Combined - all-runs'!$A:$A, A345,'Data Combined - all-runs'!$B:$B, B345,'Data Combined - all-runs'!$C:$C, C345, 'Data Combined - all-runs'!$D:$D, D345, 'Data Combined - all-runs'!$E:$E, E345)</f>
        <v>500</v>
      </c>
      <c r="P345" s="5">
        <f>AVERAGEIFS('Data Combined - all-runs'!$P:$P, 'Data Combined - all-runs'!$A:$A, A345,'Data Combined - all-runs'!$B:$B, B345,'Data Combined - all-runs'!$C:$C, C345, 'Data Combined - all-runs'!$D:$D, D345, 'Data Combined - all-runs'!$E:$E, E345)</f>
        <v>0</v>
      </c>
      <c r="Q345" s="5">
        <f>AVERAGEIFS('Data Combined - all-runs'!$Q:$Q, 'Data Combined - all-runs'!$A:$A, A345,'Data Combined - all-runs'!$B:$B, B345,'Data Combined - all-runs'!$C:$C, C345, 'Data Combined - all-runs'!$D:$D, D345, 'Data Combined - all-runs'!$E:$E, E345)</f>
        <v>286</v>
      </c>
      <c r="R345" s="5" t="str">
        <f>AVERAGEIFS('Data Combined - all-runs'!$R:$R, 'Data Combined - all-runs'!$A:$A, A345,'Data Combined - all-runs'!$B:$B, B345,'Data Combined - all-runs'!$C:$C, C345, 'Data Combined - all-runs'!$D:$D, D345, 'Data Combined - all-runs'!$E:$E, E345)</f>
        <v>#DIV/0!</v>
      </c>
      <c r="S345" s="5">
        <f>AVERAGEIFS('Data Combined - all-runs'!$S:$S, 'Data Combined - all-runs'!$A:$A, A345,'Data Combined - all-runs'!$B:$B, B345,'Data Combined - all-runs'!$C:$C, C345, 'Data Combined - all-runs'!$D:$D, D345, 'Data Combined - all-runs'!$E:$E, E345)</f>
        <v>0</v>
      </c>
      <c r="T345" s="5">
        <f>AVERAGEIFS('Data Combined - all-runs'!$T:$T, 'Data Combined - all-runs'!$A:$A, A345,'Data Combined - all-runs'!$B:$B, B345,'Data Combined - all-runs'!$C:$C, C345, 'Data Combined - all-runs'!$D:$D, D345, 'Data Combined - all-runs'!$E:$E, E345)</f>
        <v>0</v>
      </c>
      <c r="U345" s="5" t="b">
        <f t="shared" si="1"/>
        <v>1</v>
      </c>
      <c r="V345" s="5" t="b">
        <f t="shared" si="2"/>
        <v>1</v>
      </c>
      <c r="W345" s="5" t="b">
        <f t="shared" si="3"/>
        <v>0</v>
      </c>
    </row>
    <row r="346">
      <c r="A346" s="2" t="s">
        <v>33</v>
      </c>
      <c r="B346" s="2" t="s">
        <v>22</v>
      </c>
      <c r="C346" s="2" t="s">
        <v>35</v>
      </c>
      <c r="D346" s="2" t="s">
        <v>64</v>
      </c>
      <c r="E346" s="2" t="s">
        <v>43</v>
      </c>
      <c r="H346" s="5">
        <f>AVERAGEIFS('Data Combined - all-runs'!$H:$H, 'Data Combined - all-runs'!$A:$A, A346,'Data Combined - all-runs'!$B:$B, B346,'Data Combined - all-runs'!$C:$C, C346, 'Data Combined - all-runs'!$D:$D, D346, 'Data Combined - all-runs'!$E:$E, E346)</f>
        <v>634</v>
      </c>
      <c r="I346" s="5">
        <f>AVERAGEIFS('Data Combined - all-runs'!$I:$I, 'Data Combined - all-runs'!$A:$A, A346,'Data Combined - all-runs'!$B:$B, B346,'Data Combined - all-runs'!$C:$C, C346, 'Data Combined - all-runs'!$D:$D, D346, 'Data Combined - all-runs'!$E:$E, E346)</f>
        <v>0</v>
      </c>
      <c r="J346" s="5">
        <f>AVERAGEIFS('Data Combined - all-runs'!$J:$J, 'Data Combined - all-runs'!$A:$A, A346,'Data Combined - all-runs'!$B:$B, B346,'Data Combined - all-runs'!$C:$C, C346, 'Data Combined - all-runs'!$D:$D, D346, 'Data Combined - all-runs'!$E:$E, E346)</f>
        <v>6</v>
      </c>
      <c r="K346" s="5">
        <f>AVERAGEIFS('Data Combined - all-runs'!$K:$K, 'Data Combined - all-runs'!$A:$A, A346,'Data Combined - all-runs'!$B:$B, B346,'Data Combined - all-runs'!$C:$C, C346, 'Data Combined - all-runs'!$D:$D, D346, 'Data Combined - all-runs'!$E:$E, E346)</f>
        <v>0.0979757085</v>
      </c>
      <c r="L346" s="5">
        <f>AVERAGEIFS('Data Combined - all-runs'!$L:$L, 'Data Combined - all-runs'!$A:$A, A346,'Data Combined - all-runs'!$B:$B, B346,'Data Combined - all-runs'!$C:$C, C346, 'Data Combined - all-runs'!$D:$D, D346, 'Data Combined - all-runs'!$E:$E, E346)</f>
        <v>14183.59994</v>
      </c>
      <c r="M346" s="5">
        <f>AVERAGEIFS('Data Combined - all-runs'!$M:$M, 'Data Combined - all-runs'!$A:$A, A346,'Data Combined - all-runs'!$B:$B, B346,'Data Combined - all-runs'!$C:$C, C346, 'Data Combined - all-runs'!$D:$D, D346, 'Data Combined - all-runs'!$E:$E, E346)</f>
        <v>45</v>
      </c>
      <c r="N346" s="5">
        <f>AVERAGEIFS('Data Combined - all-runs'!$N:$N, 'Data Combined - all-runs'!$A:$A, A346,'Data Combined - all-runs'!$B:$B, B346,'Data Combined - all-runs'!$C:$C, C346, 'Data Combined - all-runs'!$D:$D, D346, 'Data Combined - all-runs'!$E:$E, E346)</f>
        <v>8</v>
      </c>
      <c r="O346" s="5">
        <f>AVERAGEIFS('Data Combined - all-runs'!$O:$O, 'Data Combined - all-runs'!$A:$A, A346,'Data Combined - all-runs'!$B:$B, B346,'Data Combined - all-runs'!$C:$C, C346, 'Data Combined - all-runs'!$D:$D, D346, 'Data Combined - all-runs'!$E:$E, E346)</f>
        <v>1235</v>
      </c>
      <c r="P346" s="5">
        <f>AVERAGEIFS('Data Combined - all-runs'!$P:$P, 'Data Combined - all-runs'!$A:$A, A346,'Data Combined - all-runs'!$B:$B, B346,'Data Combined - all-runs'!$C:$C, C346, 'Data Combined - all-runs'!$D:$D, D346, 'Data Combined - all-runs'!$E:$E, E346)</f>
        <v>6.477732794</v>
      </c>
      <c r="Q346" s="5">
        <f>AVERAGEIFS('Data Combined - all-runs'!$Q:$Q, 'Data Combined - all-runs'!$A:$A, A346,'Data Combined - all-runs'!$B:$B, B346,'Data Combined - all-runs'!$C:$C, C346, 'Data Combined - all-runs'!$D:$D, D346, 'Data Combined - all-runs'!$E:$E, E346)</f>
        <v>513.3603239</v>
      </c>
      <c r="R346" s="5">
        <f>AVERAGEIFS('Data Combined - all-runs'!$R:$R, 'Data Combined - all-runs'!$A:$A, A346,'Data Combined - all-runs'!$B:$B, B346,'Data Combined - all-runs'!$C:$C, C346, 'Data Combined - all-runs'!$D:$D, D346, 'Data Combined - all-runs'!$E:$E, E346)</f>
        <v>79.25</v>
      </c>
      <c r="S346" s="5">
        <f>AVERAGEIFS('Data Combined - all-runs'!$S:$S, 'Data Combined - all-runs'!$A:$A, A346,'Data Combined - all-runs'!$B:$B, B346,'Data Combined - all-runs'!$C:$C, C346, 'Data Combined - all-runs'!$D:$D, D346, 'Data Combined - all-runs'!$E:$E, E346)</f>
        <v>0.009463722397</v>
      </c>
      <c r="T346" s="5">
        <f>AVERAGEIFS('Data Combined - all-runs'!$T:$T, 'Data Combined - all-runs'!$A:$A, A346,'Data Combined - all-runs'!$B:$B, B346,'Data Combined - all-runs'!$C:$C, C346, 'Data Combined - all-runs'!$D:$D, D346, 'Data Combined - all-runs'!$E:$E, E346)</f>
        <v>0</v>
      </c>
      <c r="U346" s="5" t="b">
        <f t="shared" si="1"/>
        <v>1</v>
      </c>
      <c r="V346" s="5" t="b">
        <f t="shared" si="2"/>
        <v>1</v>
      </c>
      <c r="W346" s="5" t="b">
        <f t="shared" si="3"/>
        <v>0</v>
      </c>
    </row>
    <row r="347">
      <c r="A347" s="2" t="s">
        <v>33</v>
      </c>
      <c r="B347" s="2" t="s">
        <v>22</v>
      </c>
      <c r="C347" s="2" t="s">
        <v>35</v>
      </c>
      <c r="D347" s="2" t="s">
        <v>64</v>
      </c>
      <c r="E347" s="2" t="s">
        <v>34</v>
      </c>
      <c r="H347" s="5">
        <f>AVERAGEIFS('Data Combined - all-runs'!$H:$H, 'Data Combined - all-runs'!$A:$A, A347,'Data Combined - all-runs'!$B:$B, B347,'Data Combined - all-runs'!$C:$C, C347, 'Data Combined - all-runs'!$D:$D, D347, 'Data Combined - all-runs'!$E:$E, E347)</f>
        <v>945</v>
      </c>
      <c r="I347" s="5">
        <f>AVERAGEIFS('Data Combined - all-runs'!$I:$I, 'Data Combined - all-runs'!$A:$A, A347,'Data Combined - all-runs'!$B:$B, B347,'Data Combined - all-runs'!$C:$C, C347, 'Data Combined - all-runs'!$D:$D, D347, 'Data Combined - all-runs'!$E:$E, E347)</f>
        <v>3</v>
      </c>
      <c r="J347" s="5">
        <f>AVERAGEIFS('Data Combined - all-runs'!$J:$J, 'Data Combined - all-runs'!$A:$A, A347,'Data Combined - all-runs'!$B:$B, B347,'Data Combined - all-runs'!$C:$C, C347, 'Data Combined - all-runs'!$D:$D, D347, 'Data Combined - all-runs'!$E:$E, E347)</f>
        <v>45</v>
      </c>
      <c r="K347" s="5">
        <f>AVERAGEIFS('Data Combined - all-runs'!$K:$K, 'Data Combined - all-runs'!$A:$A, A347,'Data Combined - all-runs'!$B:$B, B347,'Data Combined - all-runs'!$C:$C, C347, 'Data Combined - all-runs'!$D:$D, D347, 'Data Combined - all-runs'!$E:$E, E347)</f>
        <v>0.187240971</v>
      </c>
      <c r="L347" s="5">
        <f>AVERAGEIFS('Data Combined - all-runs'!$L:$L, 'Data Combined - all-runs'!$A:$A, A347,'Data Combined - all-runs'!$B:$B, B347,'Data Combined - all-runs'!$C:$C, C347, 'Data Combined - all-runs'!$D:$D, D347, 'Data Combined - all-runs'!$E:$E, E347)</f>
        <v>27042.86904</v>
      </c>
      <c r="M347" s="5">
        <f>AVERAGEIFS('Data Combined - all-runs'!$M:$M, 'Data Combined - all-runs'!$A:$A, A347,'Data Combined - all-runs'!$B:$B, B347,'Data Combined - all-runs'!$C:$C, C347, 'Data Combined - all-runs'!$D:$D, D347, 'Data Combined - all-runs'!$E:$E, E347)</f>
        <v>99</v>
      </c>
      <c r="N347" s="5">
        <f>AVERAGEIFS('Data Combined - all-runs'!$N:$N, 'Data Combined - all-runs'!$A:$A, A347,'Data Combined - all-runs'!$B:$B, B347,'Data Combined - all-runs'!$C:$C, C347, 'Data Combined - all-runs'!$D:$D, D347, 'Data Combined - all-runs'!$E:$E, E347)</f>
        <v>3</v>
      </c>
      <c r="O347" s="5">
        <f>AVERAGEIFS('Data Combined - all-runs'!$O:$O, 'Data Combined - all-runs'!$A:$A, A347,'Data Combined - all-runs'!$B:$B, B347,'Data Combined - all-runs'!$C:$C, C347, 'Data Combined - all-runs'!$D:$D, D347, 'Data Combined - all-runs'!$E:$E, E347)</f>
        <v>1126</v>
      </c>
      <c r="P347" s="5">
        <f>AVERAGEIFS('Data Combined - all-runs'!$P:$P, 'Data Combined - all-runs'!$A:$A, A347,'Data Combined - all-runs'!$B:$B, B347,'Data Combined - all-runs'!$C:$C, C347, 'Data Combined - all-runs'!$D:$D, D347, 'Data Combined - all-runs'!$E:$E, E347)</f>
        <v>2.664298401</v>
      </c>
      <c r="Q347" s="5">
        <f>AVERAGEIFS('Data Combined - all-runs'!$Q:$Q, 'Data Combined - all-runs'!$A:$A, A347,'Data Combined - all-runs'!$B:$B, B347,'Data Combined - all-runs'!$C:$C, C347, 'Data Combined - all-runs'!$D:$D, D347, 'Data Combined - all-runs'!$E:$E, E347)</f>
        <v>839.2539964</v>
      </c>
      <c r="R347" s="5">
        <f>AVERAGEIFS('Data Combined - all-runs'!$R:$R, 'Data Combined - all-runs'!$A:$A, A347,'Data Combined - all-runs'!$B:$B, B347,'Data Combined - all-runs'!$C:$C, C347, 'Data Combined - all-runs'!$D:$D, D347, 'Data Combined - all-runs'!$E:$E, E347)</f>
        <v>315</v>
      </c>
      <c r="S347" s="5">
        <f>AVERAGEIFS('Data Combined - all-runs'!$S:$S, 'Data Combined - all-runs'!$A:$A, A347,'Data Combined - all-runs'!$B:$B, B347,'Data Combined - all-runs'!$C:$C, C347, 'Data Combined - all-runs'!$D:$D, D347, 'Data Combined - all-runs'!$E:$E, E347)</f>
        <v>0.04761904762</v>
      </c>
      <c r="T347" s="5">
        <f>AVERAGEIFS('Data Combined - all-runs'!$T:$T, 'Data Combined - all-runs'!$A:$A, A347,'Data Combined - all-runs'!$B:$B, B347,'Data Combined - all-runs'!$C:$C, C347, 'Data Combined - all-runs'!$D:$D, D347, 'Data Combined - all-runs'!$E:$E, E347)</f>
        <v>0.003174603175</v>
      </c>
      <c r="U347" s="5" t="b">
        <f t="shared" si="1"/>
        <v>1</v>
      </c>
      <c r="V347" s="5" t="b">
        <f t="shared" si="2"/>
        <v>1</v>
      </c>
      <c r="W347" s="5" t="b">
        <f t="shared" si="3"/>
        <v>0</v>
      </c>
    </row>
    <row r="348">
      <c r="A348" s="2" t="s">
        <v>33</v>
      </c>
      <c r="B348" s="2" t="s">
        <v>22</v>
      </c>
      <c r="C348" s="2" t="s">
        <v>35</v>
      </c>
      <c r="D348" s="2" t="s">
        <v>64</v>
      </c>
      <c r="E348" s="2" t="s">
        <v>47</v>
      </c>
      <c r="H348" s="5">
        <f>AVERAGEIFS('Data Combined - all-runs'!$H:$H, 'Data Combined - all-runs'!$A:$A, A348,'Data Combined - all-runs'!$B:$B, B348,'Data Combined - all-runs'!$C:$C, C348, 'Data Combined - all-runs'!$D:$D, D348, 'Data Combined - all-runs'!$E:$E, E348)</f>
        <v>1327</v>
      </c>
      <c r="I348" s="5">
        <f>AVERAGEIFS('Data Combined - all-runs'!$I:$I, 'Data Combined - all-runs'!$A:$A, A348,'Data Combined - all-runs'!$B:$B, B348,'Data Combined - all-runs'!$C:$C, C348, 'Data Combined - all-runs'!$D:$D, D348, 'Data Combined - all-runs'!$E:$E, E348)</f>
        <v>1</v>
      </c>
      <c r="J348" s="5">
        <f>AVERAGEIFS('Data Combined - all-runs'!$J:$J, 'Data Combined - all-runs'!$A:$A, A348,'Data Combined - all-runs'!$B:$B, B348,'Data Combined - all-runs'!$C:$C, C348, 'Data Combined - all-runs'!$D:$D, D348, 'Data Combined - all-runs'!$E:$E, E348)</f>
        <v>67</v>
      </c>
      <c r="K348" s="5">
        <f>AVERAGEIFS('Data Combined - all-runs'!$K:$K, 'Data Combined - all-runs'!$A:$A, A348,'Data Combined - all-runs'!$B:$B, B348,'Data Combined - all-runs'!$C:$C, C348, 'Data Combined - all-runs'!$D:$D, D348, 'Data Combined - all-runs'!$E:$E, E348)</f>
        <v>0.1349520045</v>
      </c>
      <c r="L348" s="5">
        <f>AVERAGEIFS('Data Combined - all-runs'!$L:$L, 'Data Combined - all-runs'!$A:$A, A348,'Data Combined - all-runs'!$B:$B, B348,'Data Combined - all-runs'!$C:$C, C348, 'Data Combined - all-runs'!$D:$D, D348, 'Data Combined - all-runs'!$E:$E, E348)</f>
        <v>43527.37784</v>
      </c>
      <c r="M348" s="5">
        <f>AVERAGEIFS('Data Combined - all-runs'!$M:$M, 'Data Combined - all-runs'!$A:$A, A348,'Data Combined - all-runs'!$B:$B, B348,'Data Combined - all-runs'!$C:$C, C348, 'Data Combined - all-runs'!$D:$D, D348, 'Data Combined - all-runs'!$E:$E, E348)</f>
        <v>209</v>
      </c>
      <c r="N348" s="5">
        <f>AVERAGEIFS('Data Combined - all-runs'!$N:$N, 'Data Combined - all-runs'!$A:$A, A348,'Data Combined - all-runs'!$B:$B, B348,'Data Combined - all-runs'!$C:$C, C348, 'Data Combined - all-runs'!$D:$D, D348, 'Data Combined - all-runs'!$E:$E, E348)</f>
        <v>8</v>
      </c>
      <c r="O348" s="5">
        <f>AVERAGEIFS('Data Combined - all-runs'!$O:$O, 'Data Combined - all-runs'!$A:$A, A348,'Data Combined - all-runs'!$B:$B, B348,'Data Combined - all-runs'!$C:$C, C348, 'Data Combined - all-runs'!$D:$D, D348, 'Data Combined - all-runs'!$E:$E, E348)</f>
        <v>1771</v>
      </c>
      <c r="P348" s="5">
        <f>AVERAGEIFS('Data Combined - all-runs'!$P:$P, 'Data Combined - all-runs'!$A:$A, A348,'Data Combined - all-runs'!$B:$B, B348,'Data Combined - all-runs'!$C:$C, C348, 'Data Combined - all-runs'!$D:$D, D348, 'Data Combined - all-runs'!$E:$E, E348)</f>
        <v>4.517221909</v>
      </c>
      <c r="Q348" s="5">
        <f>AVERAGEIFS('Data Combined - all-runs'!$Q:$Q, 'Data Combined - all-runs'!$A:$A, A348,'Data Combined - all-runs'!$B:$B, B348,'Data Combined - all-runs'!$C:$C, C348, 'Data Combined - all-runs'!$D:$D, D348, 'Data Combined - all-runs'!$E:$E, E348)</f>
        <v>749.2941841</v>
      </c>
      <c r="R348" s="5">
        <f>AVERAGEIFS('Data Combined - all-runs'!$R:$R, 'Data Combined - all-runs'!$A:$A, A348,'Data Combined - all-runs'!$B:$B, B348,'Data Combined - all-runs'!$C:$C, C348, 'Data Combined - all-runs'!$D:$D, D348, 'Data Combined - all-runs'!$E:$E, E348)</f>
        <v>165.875</v>
      </c>
      <c r="S348" s="5">
        <f>AVERAGEIFS('Data Combined - all-runs'!$S:$S, 'Data Combined - all-runs'!$A:$A, A348,'Data Combined - all-runs'!$B:$B, B348,'Data Combined - all-runs'!$C:$C, C348, 'Data Combined - all-runs'!$D:$D, D348, 'Data Combined - all-runs'!$E:$E, E348)</f>
        <v>0.05048982668</v>
      </c>
      <c r="T348" s="5">
        <f>AVERAGEIFS('Data Combined - all-runs'!$T:$T, 'Data Combined - all-runs'!$A:$A, A348,'Data Combined - all-runs'!$B:$B, B348,'Data Combined - all-runs'!$C:$C, C348, 'Data Combined - all-runs'!$D:$D, D348, 'Data Combined - all-runs'!$E:$E, E348)</f>
        <v>0.0007535795026</v>
      </c>
      <c r="U348" s="5" t="b">
        <f t="shared" si="1"/>
        <v>1</v>
      </c>
      <c r="V348" s="5" t="b">
        <f t="shared" si="2"/>
        <v>1</v>
      </c>
      <c r="W348" s="5" t="b">
        <f t="shared" si="3"/>
        <v>0</v>
      </c>
    </row>
    <row r="349">
      <c r="A349" s="2" t="s">
        <v>33</v>
      </c>
      <c r="B349" s="2" t="s">
        <v>22</v>
      </c>
      <c r="C349" s="2" t="s">
        <v>35</v>
      </c>
      <c r="D349" s="2" t="s">
        <v>64</v>
      </c>
      <c r="E349" s="2" t="s">
        <v>51</v>
      </c>
      <c r="H349" s="5">
        <f>AVERAGEIFS('Data Combined - all-runs'!$H:$H, 'Data Combined - all-runs'!$A:$A, A349,'Data Combined - all-runs'!$B:$B, B349,'Data Combined - all-runs'!$C:$C, C349, 'Data Combined - all-runs'!$D:$D, D349, 'Data Combined - all-runs'!$E:$E, E349)</f>
        <v>1035</v>
      </c>
      <c r="I349" s="5">
        <f>AVERAGEIFS('Data Combined - all-runs'!$I:$I, 'Data Combined - all-runs'!$A:$A, A349,'Data Combined - all-runs'!$B:$B, B349,'Data Combined - all-runs'!$C:$C, C349, 'Data Combined - all-runs'!$D:$D, D349, 'Data Combined - all-runs'!$E:$E, E349)</f>
        <v>1</v>
      </c>
      <c r="J349" s="5">
        <f>AVERAGEIFS('Data Combined - all-runs'!$J:$J, 'Data Combined - all-runs'!$A:$A, A349,'Data Combined - all-runs'!$B:$B, B349,'Data Combined - all-runs'!$C:$C, C349, 'Data Combined - all-runs'!$D:$D, D349, 'Data Combined - all-runs'!$E:$E, E349)</f>
        <v>45</v>
      </c>
      <c r="K349" s="5">
        <f>AVERAGEIFS('Data Combined - all-runs'!$K:$K, 'Data Combined - all-runs'!$A:$A, A349,'Data Combined - all-runs'!$B:$B, B349,'Data Combined - all-runs'!$C:$C, C349, 'Data Combined - all-runs'!$D:$D, D349, 'Data Combined - all-runs'!$E:$E, E349)</f>
        <v>0.1359574468</v>
      </c>
      <c r="L349" s="5">
        <f>AVERAGEIFS('Data Combined - all-runs'!$L:$L, 'Data Combined - all-runs'!$A:$A, A349,'Data Combined - all-runs'!$B:$B, B349,'Data Combined - all-runs'!$C:$C, C349, 'Data Combined - all-runs'!$D:$D, D349, 'Data Combined - all-runs'!$E:$E, E349)</f>
        <v>26016.90795</v>
      </c>
      <c r="M349" s="5">
        <f>AVERAGEIFS('Data Combined - all-runs'!$M:$M, 'Data Combined - all-runs'!$A:$A, A349,'Data Combined - all-runs'!$B:$B, B349,'Data Combined - all-runs'!$C:$C, C349, 'Data Combined - all-runs'!$D:$D, D349, 'Data Combined - all-runs'!$E:$E, E349)</f>
        <v>190</v>
      </c>
      <c r="N349" s="5">
        <f>AVERAGEIFS('Data Combined - all-runs'!$N:$N, 'Data Combined - all-runs'!$A:$A, A349,'Data Combined - all-runs'!$B:$B, B349,'Data Combined - all-runs'!$C:$C, C349, 'Data Combined - all-runs'!$D:$D, D349, 'Data Combined - all-runs'!$E:$E, E349)</f>
        <v>3</v>
      </c>
      <c r="O349" s="5">
        <f>AVERAGEIFS('Data Combined - all-runs'!$O:$O, 'Data Combined - all-runs'!$A:$A, A349,'Data Combined - all-runs'!$B:$B, B349,'Data Combined - all-runs'!$C:$C, C349, 'Data Combined - all-runs'!$D:$D, D349, 'Data Combined - all-runs'!$E:$E, E349)</f>
        <v>1175</v>
      </c>
      <c r="P349" s="5">
        <f>AVERAGEIFS('Data Combined - all-runs'!$P:$P, 'Data Combined - all-runs'!$A:$A, A349,'Data Combined - all-runs'!$B:$B, B349,'Data Combined - all-runs'!$C:$C, C349, 'Data Combined - all-runs'!$D:$D, D349, 'Data Combined - all-runs'!$E:$E, E349)</f>
        <v>2.553191489</v>
      </c>
      <c r="Q349" s="5">
        <f>AVERAGEIFS('Data Combined - all-runs'!$Q:$Q, 'Data Combined - all-runs'!$A:$A, A349,'Data Combined - all-runs'!$B:$B, B349,'Data Combined - all-runs'!$C:$C, C349, 'Data Combined - all-runs'!$D:$D, D349, 'Data Combined - all-runs'!$E:$E, E349)</f>
        <v>880.8510638</v>
      </c>
      <c r="R349" s="5">
        <f>AVERAGEIFS('Data Combined - all-runs'!$R:$R, 'Data Combined - all-runs'!$A:$A, A349,'Data Combined - all-runs'!$B:$B, B349,'Data Combined - all-runs'!$C:$C, C349, 'Data Combined - all-runs'!$D:$D, D349, 'Data Combined - all-runs'!$E:$E, E349)</f>
        <v>345</v>
      </c>
      <c r="S349" s="5">
        <f>AVERAGEIFS('Data Combined - all-runs'!$S:$S, 'Data Combined - all-runs'!$A:$A, A349,'Data Combined - all-runs'!$B:$B, B349,'Data Combined - all-runs'!$C:$C, C349, 'Data Combined - all-runs'!$D:$D, D349, 'Data Combined - all-runs'!$E:$E, E349)</f>
        <v>0.04347826087</v>
      </c>
      <c r="T349" s="5">
        <f>AVERAGEIFS('Data Combined - all-runs'!$T:$T, 'Data Combined - all-runs'!$A:$A, A349,'Data Combined - all-runs'!$B:$B, B349,'Data Combined - all-runs'!$C:$C, C349, 'Data Combined - all-runs'!$D:$D, D349, 'Data Combined - all-runs'!$E:$E, E349)</f>
        <v>0.0009661835749</v>
      </c>
      <c r="U349" s="5" t="b">
        <f t="shared" si="1"/>
        <v>1</v>
      </c>
      <c r="V349" s="5" t="b">
        <f t="shared" si="2"/>
        <v>1</v>
      </c>
      <c r="W349" s="5" t="b">
        <f t="shared" si="3"/>
        <v>0</v>
      </c>
    </row>
    <row r="350">
      <c r="A350" s="2" t="s">
        <v>33</v>
      </c>
      <c r="B350" s="2" t="s">
        <v>22</v>
      </c>
      <c r="C350" s="2" t="s">
        <v>35</v>
      </c>
      <c r="D350" s="2" t="s">
        <v>102</v>
      </c>
      <c r="E350" s="2" t="s">
        <v>25</v>
      </c>
      <c r="H350" s="5">
        <f>AVERAGEIFS('Data Combined - all-runs'!$H:$H, 'Data Combined - all-runs'!$A:$A, A350,'Data Combined - all-runs'!$B:$B, B350,'Data Combined - all-runs'!$C:$C, C350, 'Data Combined - all-runs'!$D:$D, D350, 'Data Combined - all-runs'!$E:$E, E350)</f>
        <v>170</v>
      </c>
      <c r="I350" s="5">
        <f>AVERAGEIFS('Data Combined - all-runs'!$I:$I, 'Data Combined - all-runs'!$A:$A, A350,'Data Combined - all-runs'!$B:$B, B350,'Data Combined - all-runs'!$C:$C, C350, 'Data Combined - all-runs'!$D:$D, D350, 'Data Combined - all-runs'!$E:$E, E350)</f>
        <v>0</v>
      </c>
      <c r="J350" s="5">
        <f>AVERAGEIFS('Data Combined - all-runs'!$J:$J, 'Data Combined - all-runs'!$A:$A, A350,'Data Combined - all-runs'!$B:$B, B350,'Data Combined - all-runs'!$C:$C, C350, 'Data Combined - all-runs'!$D:$D, D350, 'Data Combined - all-runs'!$E:$E, E350)</f>
        <v>0</v>
      </c>
      <c r="K350" s="5">
        <f>AVERAGEIFS('Data Combined - all-runs'!$K:$K, 'Data Combined - all-runs'!$A:$A, A350,'Data Combined - all-runs'!$B:$B, B350,'Data Combined - all-runs'!$C:$C, C350, 'Data Combined - all-runs'!$D:$D, D350, 'Data Combined - all-runs'!$E:$E, E350)</f>
        <v>0.09514925373</v>
      </c>
      <c r="L350" s="5">
        <f>AVERAGEIFS('Data Combined - all-runs'!$L:$L, 'Data Combined - all-runs'!$A:$A, A350,'Data Combined - all-runs'!$B:$B, B350,'Data Combined - all-runs'!$C:$C, C350, 'Data Combined - all-runs'!$D:$D, D350, 'Data Combined - all-runs'!$E:$E, E350)</f>
        <v>1219.199742</v>
      </c>
      <c r="M350" s="5">
        <f>AVERAGEIFS('Data Combined - all-runs'!$M:$M, 'Data Combined - all-runs'!$A:$A, A350,'Data Combined - all-runs'!$B:$B, B350,'Data Combined - all-runs'!$C:$C, C350, 'Data Combined - all-runs'!$D:$D, D350, 'Data Combined - all-runs'!$E:$E, E350)</f>
        <v>36</v>
      </c>
      <c r="N350" s="5">
        <f>AVERAGEIFS('Data Combined - all-runs'!$N:$N, 'Data Combined - all-runs'!$A:$A, A350,'Data Combined - all-runs'!$B:$B, B350,'Data Combined - all-runs'!$C:$C, C350, 'Data Combined - all-runs'!$D:$D, D350, 'Data Combined - all-runs'!$E:$E, E350)</f>
        <v>1</v>
      </c>
      <c r="O350" s="5">
        <f>AVERAGEIFS('Data Combined - all-runs'!$O:$O, 'Data Combined - all-runs'!$A:$A, A350,'Data Combined - all-runs'!$B:$B, B350,'Data Combined - all-runs'!$C:$C, C350, 'Data Combined - all-runs'!$D:$D, D350, 'Data Combined - all-runs'!$E:$E, E350)</f>
        <v>536</v>
      </c>
      <c r="P350" s="5">
        <f>AVERAGEIFS('Data Combined - all-runs'!$P:$P, 'Data Combined - all-runs'!$A:$A, A350,'Data Combined - all-runs'!$B:$B, B350,'Data Combined - all-runs'!$C:$C, C350, 'Data Combined - all-runs'!$D:$D, D350, 'Data Combined - all-runs'!$E:$E, E350)</f>
        <v>1.865671642</v>
      </c>
      <c r="Q350" s="5">
        <f>AVERAGEIFS('Data Combined - all-runs'!$Q:$Q, 'Data Combined - all-runs'!$A:$A, A350,'Data Combined - all-runs'!$B:$B, B350,'Data Combined - all-runs'!$C:$C, C350, 'Data Combined - all-runs'!$D:$D, D350, 'Data Combined - all-runs'!$E:$E, E350)</f>
        <v>317.1641791</v>
      </c>
      <c r="R350" s="5">
        <f>AVERAGEIFS('Data Combined - all-runs'!$R:$R, 'Data Combined - all-runs'!$A:$A, A350,'Data Combined - all-runs'!$B:$B, B350,'Data Combined - all-runs'!$C:$C, C350, 'Data Combined - all-runs'!$D:$D, D350, 'Data Combined - all-runs'!$E:$E, E350)</f>
        <v>170</v>
      </c>
      <c r="S350" s="5">
        <f>AVERAGEIFS('Data Combined - all-runs'!$S:$S, 'Data Combined - all-runs'!$A:$A, A350,'Data Combined - all-runs'!$B:$B, B350,'Data Combined - all-runs'!$C:$C, C350, 'Data Combined - all-runs'!$D:$D, D350, 'Data Combined - all-runs'!$E:$E, E350)</f>
        <v>0</v>
      </c>
      <c r="T350" s="5">
        <f>AVERAGEIFS('Data Combined - all-runs'!$T:$T, 'Data Combined - all-runs'!$A:$A, A350,'Data Combined - all-runs'!$B:$B, B350,'Data Combined - all-runs'!$C:$C, C350, 'Data Combined - all-runs'!$D:$D, D350, 'Data Combined - all-runs'!$E:$E, E350)</f>
        <v>0</v>
      </c>
      <c r="U350" s="5" t="b">
        <f t="shared" si="1"/>
        <v>1</v>
      </c>
      <c r="V350" s="5" t="b">
        <f t="shared" si="2"/>
        <v>1</v>
      </c>
      <c r="W350" s="5" t="b">
        <f t="shared" si="3"/>
        <v>0</v>
      </c>
    </row>
    <row r="351">
      <c r="A351" s="2" t="s">
        <v>33</v>
      </c>
      <c r="B351" s="2" t="s">
        <v>22</v>
      </c>
      <c r="C351" s="2" t="s">
        <v>35</v>
      </c>
      <c r="D351" s="2" t="s">
        <v>102</v>
      </c>
      <c r="E351" s="2" t="s">
        <v>39</v>
      </c>
      <c r="H351" s="5">
        <f>AVERAGEIFS('Data Combined - all-runs'!$H:$H, 'Data Combined - all-runs'!$A:$A, A351,'Data Combined - all-runs'!$B:$B, B351,'Data Combined - all-runs'!$C:$C, C351, 'Data Combined - all-runs'!$D:$D, D351, 'Data Combined - all-runs'!$E:$E, E351)</f>
        <v>183</v>
      </c>
      <c r="I351" s="5">
        <f>AVERAGEIFS('Data Combined - all-runs'!$I:$I, 'Data Combined - all-runs'!$A:$A, A351,'Data Combined - all-runs'!$B:$B, B351,'Data Combined - all-runs'!$C:$C, C351, 'Data Combined - all-runs'!$D:$D, D351, 'Data Combined - all-runs'!$E:$E, E351)</f>
        <v>0</v>
      </c>
      <c r="J351" s="5">
        <f>AVERAGEIFS('Data Combined - all-runs'!$J:$J, 'Data Combined - all-runs'!$A:$A, A351,'Data Combined - all-runs'!$B:$B, B351,'Data Combined - all-runs'!$C:$C, C351, 'Data Combined - all-runs'!$D:$D, D351, 'Data Combined - all-runs'!$E:$E, E351)</f>
        <v>0</v>
      </c>
      <c r="K351" s="5">
        <f>AVERAGEIFS('Data Combined - all-runs'!$K:$K, 'Data Combined - all-runs'!$A:$A, A351,'Data Combined - all-runs'!$B:$B, B351,'Data Combined - all-runs'!$C:$C, C351, 'Data Combined - all-runs'!$D:$D, D351, 'Data Combined - all-runs'!$E:$E, E351)</f>
        <v>0.08</v>
      </c>
      <c r="L351" s="5">
        <f>AVERAGEIFS('Data Combined - all-runs'!$L:$L, 'Data Combined - all-runs'!$A:$A, A351,'Data Combined - all-runs'!$B:$B, B351,'Data Combined - all-runs'!$C:$C, C351, 'Data Combined - all-runs'!$D:$D, D351, 'Data Combined - all-runs'!$E:$E, E351)</f>
        <v>1378.992706</v>
      </c>
      <c r="M351" s="5" t="str">
        <f>AVERAGEIFS('Data Combined - all-runs'!$M:$M, 'Data Combined - all-runs'!$A:$A, A351,'Data Combined - all-runs'!$B:$B, B351,'Data Combined - all-runs'!$C:$C, C351, 'Data Combined - all-runs'!$D:$D, D351, 'Data Combined - all-runs'!$E:$E, E351)</f>
        <v>#DIV/0!</v>
      </c>
      <c r="N351" s="5">
        <f>AVERAGEIFS('Data Combined - all-runs'!$N:$N, 'Data Combined - all-runs'!$A:$A, A351,'Data Combined - all-runs'!$B:$B, B351,'Data Combined - all-runs'!$C:$C, C351, 'Data Combined - all-runs'!$D:$D, D351, 'Data Combined - all-runs'!$E:$E, E351)</f>
        <v>0</v>
      </c>
      <c r="O351" s="5">
        <f>AVERAGEIFS('Data Combined - all-runs'!$O:$O, 'Data Combined - all-runs'!$A:$A, A351,'Data Combined - all-runs'!$B:$B, B351,'Data Combined - all-runs'!$C:$C, C351, 'Data Combined - all-runs'!$D:$D, D351, 'Data Combined - all-runs'!$E:$E, E351)</f>
        <v>500</v>
      </c>
      <c r="P351" s="5">
        <f>AVERAGEIFS('Data Combined - all-runs'!$P:$P, 'Data Combined - all-runs'!$A:$A, A351,'Data Combined - all-runs'!$B:$B, B351,'Data Combined - all-runs'!$C:$C, C351, 'Data Combined - all-runs'!$D:$D, D351, 'Data Combined - all-runs'!$E:$E, E351)</f>
        <v>0</v>
      </c>
      <c r="Q351" s="5">
        <f>AVERAGEIFS('Data Combined - all-runs'!$Q:$Q, 'Data Combined - all-runs'!$A:$A, A351,'Data Combined - all-runs'!$B:$B, B351,'Data Combined - all-runs'!$C:$C, C351, 'Data Combined - all-runs'!$D:$D, D351, 'Data Combined - all-runs'!$E:$E, E351)</f>
        <v>366</v>
      </c>
      <c r="R351" s="5" t="str">
        <f>AVERAGEIFS('Data Combined - all-runs'!$R:$R, 'Data Combined - all-runs'!$A:$A, A351,'Data Combined - all-runs'!$B:$B, B351,'Data Combined - all-runs'!$C:$C, C351, 'Data Combined - all-runs'!$D:$D, D351, 'Data Combined - all-runs'!$E:$E, E351)</f>
        <v>#DIV/0!</v>
      </c>
      <c r="S351" s="5">
        <f>AVERAGEIFS('Data Combined - all-runs'!$S:$S, 'Data Combined - all-runs'!$A:$A, A351,'Data Combined - all-runs'!$B:$B, B351,'Data Combined - all-runs'!$C:$C, C351, 'Data Combined - all-runs'!$D:$D, D351, 'Data Combined - all-runs'!$E:$E, E351)</f>
        <v>0</v>
      </c>
      <c r="T351" s="5">
        <f>AVERAGEIFS('Data Combined - all-runs'!$T:$T, 'Data Combined - all-runs'!$A:$A, A351,'Data Combined - all-runs'!$B:$B, B351,'Data Combined - all-runs'!$C:$C, C351, 'Data Combined - all-runs'!$D:$D, D351, 'Data Combined - all-runs'!$E:$E, E351)</f>
        <v>0</v>
      </c>
      <c r="U351" s="5" t="b">
        <f t="shared" si="1"/>
        <v>1</v>
      </c>
      <c r="V351" s="5" t="b">
        <f t="shared" si="2"/>
        <v>1</v>
      </c>
      <c r="W351" s="5" t="b">
        <f t="shared" si="3"/>
        <v>0</v>
      </c>
    </row>
    <row r="352">
      <c r="A352" s="2" t="s">
        <v>33</v>
      </c>
      <c r="B352" s="2" t="s">
        <v>22</v>
      </c>
      <c r="C352" s="2" t="s">
        <v>35</v>
      </c>
      <c r="D352" s="2" t="s">
        <v>102</v>
      </c>
      <c r="E352" s="2" t="s">
        <v>43</v>
      </c>
      <c r="H352" s="5">
        <f>AVERAGEIFS('Data Combined - all-runs'!$H:$H, 'Data Combined - all-runs'!$A:$A, A352,'Data Combined - all-runs'!$B:$B, B352,'Data Combined - all-runs'!$C:$C, C352, 'Data Combined - all-runs'!$D:$D, D352, 'Data Combined - all-runs'!$E:$E, E352)</f>
        <v>1086</v>
      </c>
      <c r="I352" s="5">
        <f>AVERAGEIFS('Data Combined - all-runs'!$I:$I, 'Data Combined - all-runs'!$A:$A, A352,'Data Combined - all-runs'!$B:$B, B352,'Data Combined - all-runs'!$C:$C, C352, 'Data Combined - all-runs'!$D:$D, D352, 'Data Combined - all-runs'!$E:$E, E352)</f>
        <v>0</v>
      </c>
      <c r="J352" s="5">
        <f>AVERAGEIFS('Data Combined - all-runs'!$J:$J, 'Data Combined - all-runs'!$A:$A, A352,'Data Combined - all-runs'!$B:$B, B352,'Data Combined - all-runs'!$C:$C, C352, 'Data Combined - all-runs'!$D:$D, D352, 'Data Combined - all-runs'!$E:$E, E352)</f>
        <v>0</v>
      </c>
      <c r="K352" s="5">
        <f>AVERAGEIFS('Data Combined - all-runs'!$K:$K, 'Data Combined - all-runs'!$A:$A, A352,'Data Combined - all-runs'!$B:$B, B352,'Data Combined - all-runs'!$C:$C, C352, 'Data Combined - all-runs'!$D:$D, D352, 'Data Combined - all-runs'!$E:$E, E352)</f>
        <v>0.09236714976</v>
      </c>
      <c r="L352" s="5">
        <f>AVERAGEIFS('Data Combined - all-runs'!$L:$L, 'Data Combined - all-runs'!$A:$A, A352,'Data Combined - all-runs'!$B:$B, B352,'Data Combined - all-runs'!$C:$C, C352, 'Data Combined - all-runs'!$D:$D, D352, 'Data Combined - all-runs'!$E:$E, E352)</f>
        <v>9661.567105</v>
      </c>
      <c r="M352" s="5">
        <f>AVERAGEIFS('Data Combined - all-runs'!$M:$M, 'Data Combined - all-runs'!$A:$A, A352,'Data Combined - all-runs'!$B:$B, B352,'Data Combined - all-runs'!$C:$C, C352, 'Data Combined - all-runs'!$D:$D, D352, 'Data Combined - all-runs'!$E:$E, E352)</f>
        <v>38</v>
      </c>
      <c r="N352" s="5">
        <f>AVERAGEIFS('Data Combined - all-runs'!$N:$N, 'Data Combined - all-runs'!$A:$A, A352,'Data Combined - all-runs'!$B:$B, B352,'Data Combined - all-runs'!$C:$C, C352, 'Data Combined - all-runs'!$D:$D, D352, 'Data Combined - all-runs'!$E:$E, E352)</f>
        <v>16</v>
      </c>
      <c r="O352" s="5">
        <f>AVERAGEIFS('Data Combined - all-runs'!$O:$O, 'Data Combined - all-runs'!$A:$A, A352,'Data Combined - all-runs'!$B:$B, B352,'Data Combined - all-runs'!$C:$C, C352, 'Data Combined - all-runs'!$D:$D, D352, 'Data Combined - all-runs'!$E:$E, E352)</f>
        <v>1725</v>
      </c>
      <c r="P352" s="5">
        <f>AVERAGEIFS('Data Combined - all-runs'!$P:$P, 'Data Combined - all-runs'!$A:$A, A352,'Data Combined - all-runs'!$B:$B, B352,'Data Combined - all-runs'!$C:$C, C352, 'Data Combined - all-runs'!$D:$D, D352, 'Data Combined - all-runs'!$E:$E, E352)</f>
        <v>9.275362319</v>
      </c>
      <c r="Q352" s="5">
        <f>AVERAGEIFS('Data Combined - all-runs'!$Q:$Q, 'Data Combined - all-runs'!$A:$A, A352,'Data Combined - all-runs'!$B:$B, B352,'Data Combined - all-runs'!$C:$C, C352, 'Data Combined - all-runs'!$D:$D, D352, 'Data Combined - all-runs'!$E:$E, E352)</f>
        <v>629.5652174</v>
      </c>
      <c r="R352" s="5">
        <f>AVERAGEIFS('Data Combined - all-runs'!$R:$R, 'Data Combined - all-runs'!$A:$A, A352,'Data Combined - all-runs'!$B:$B, B352,'Data Combined - all-runs'!$C:$C, C352, 'Data Combined - all-runs'!$D:$D, D352, 'Data Combined - all-runs'!$E:$E, E352)</f>
        <v>67.875</v>
      </c>
      <c r="S352" s="5">
        <f>AVERAGEIFS('Data Combined - all-runs'!$S:$S, 'Data Combined - all-runs'!$A:$A, A352,'Data Combined - all-runs'!$B:$B, B352,'Data Combined - all-runs'!$C:$C, C352, 'Data Combined - all-runs'!$D:$D, D352, 'Data Combined - all-runs'!$E:$E, E352)</f>
        <v>0</v>
      </c>
      <c r="T352" s="5">
        <f>AVERAGEIFS('Data Combined - all-runs'!$T:$T, 'Data Combined - all-runs'!$A:$A, A352,'Data Combined - all-runs'!$B:$B, B352,'Data Combined - all-runs'!$C:$C, C352, 'Data Combined - all-runs'!$D:$D, D352, 'Data Combined - all-runs'!$E:$E, E352)</f>
        <v>0</v>
      </c>
      <c r="U352" s="5" t="b">
        <f t="shared" si="1"/>
        <v>1</v>
      </c>
      <c r="V352" s="5" t="b">
        <f t="shared" si="2"/>
        <v>1</v>
      </c>
      <c r="W352" s="5" t="b">
        <f t="shared" si="3"/>
        <v>0</v>
      </c>
    </row>
    <row r="353">
      <c r="A353" s="2" t="s">
        <v>33</v>
      </c>
      <c r="B353" s="2" t="s">
        <v>22</v>
      </c>
      <c r="C353" s="2" t="s">
        <v>35</v>
      </c>
      <c r="D353" s="2" t="s">
        <v>102</v>
      </c>
      <c r="E353" s="2" t="s">
        <v>34</v>
      </c>
      <c r="H353" s="5">
        <f>AVERAGEIFS('Data Combined - all-runs'!$H:$H, 'Data Combined - all-runs'!$A:$A, A353,'Data Combined - all-runs'!$B:$B, B353,'Data Combined - all-runs'!$C:$C, C353, 'Data Combined - all-runs'!$D:$D, D353, 'Data Combined - all-runs'!$E:$E, E353)</f>
        <v>985</v>
      </c>
      <c r="I353" s="5">
        <f>AVERAGEIFS('Data Combined - all-runs'!$I:$I, 'Data Combined - all-runs'!$A:$A, A353,'Data Combined - all-runs'!$B:$B, B353,'Data Combined - all-runs'!$C:$C, C353, 'Data Combined - all-runs'!$D:$D, D353, 'Data Combined - all-runs'!$E:$E, E353)</f>
        <v>0</v>
      </c>
      <c r="J353" s="5">
        <f>AVERAGEIFS('Data Combined - all-runs'!$J:$J, 'Data Combined - all-runs'!$A:$A, A353,'Data Combined - all-runs'!$B:$B, B353,'Data Combined - all-runs'!$C:$C, C353, 'Data Combined - all-runs'!$D:$D, D353, 'Data Combined - all-runs'!$E:$E, E353)</f>
        <v>0</v>
      </c>
      <c r="K353" s="5">
        <f>AVERAGEIFS('Data Combined - all-runs'!$K:$K, 'Data Combined - all-runs'!$A:$A, A353,'Data Combined - all-runs'!$B:$B, B353,'Data Combined - all-runs'!$C:$C, C353, 'Data Combined - all-runs'!$D:$D, D353, 'Data Combined - all-runs'!$E:$E, E353)</f>
        <v>0.1608350828</v>
      </c>
      <c r="L353" s="5">
        <f>AVERAGEIFS('Data Combined - all-runs'!$L:$L, 'Data Combined - all-runs'!$A:$A, A353,'Data Combined - all-runs'!$B:$B, B353,'Data Combined - all-runs'!$C:$C, C353, 'Data Combined - all-runs'!$D:$D, D353, 'Data Combined - all-runs'!$E:$E, E353)</f>
        <v>8314.079247</v>
      </c>
      <c r="M353" s="5">
        <f>AVERAGEIFS('Data Combined - all-runs'!$M:$M, 'Data Combined - all-runs'!$A:$A, A353,'Data Combined - all-runs'!$B:$B, B353,'Data Combined - all-runs'!$C:$C, C353, 'Data Combined - all-runs'!$D:$D, D353, 'Data Combined - all-runs'!$E:$E, E353)</f>
        <v>23</v>
      </c>
      <c r="N353" s="5">
        <f>AVERAGEIFS('Data Combined - all-runs'!$N:$N, 'Data Combined - all-runs'!$A:$A, A353,'Data Combined - all-runs'!$B:$B, B353,'Data Combined - all-runs'!$C:$C, C353, 'Data Combined - all-runs'!$D:$D, D353, 'Data Combined - all-runs'!$E:$E, E353)</f>
        <v>8</v>
      </c>
      <c r="O353" s="5">
        <f>AVERAGEIFS('Data Combined - all-runs'!$O:$O, 'Data Combined - all-runs'!$A:$A, A353,'Data Combined - all-runs'!$B:$B, B353,'Data Combined - all-runs'!$C:$C, C353, 'Data Combined - all-runs'!$D:$D, D353, 'Data Combined - all-runs'!$E:$E, E353)</f>
        <v>1429</v>
      </c>
      <c r="P353" s="5">
        <f>AVERAGEIFS('Data Combined - all-runs'!$P:$P, 'Data Combined - all-runs'!$A:$A, A353,'Data Combined - all-runs'!$B:$B, B353,'Data Combined - all-runs'!$C:$C, C353, 'Data Combined - all-runs'!$D:$D, D353, 'Data Combined - all-runs'!$E:$E, E353)</f>
        <v>5.598320504</v>
      </c>
      <c r="Q353" s="5">
        <f>AVERAGEIFS('Data Combined - all-runs'!$Q:$Q, 'Data Combined - all-runs'!$A:$A, A353,'Data Combined - all-runs'!$B:$B, B353,'Data Combined - all-runs'!$C:$C, C353, 'Data Combined - all-runs'!$D:$D, D353, 'Data Combined - all-runs'!$E:$E, E353)</f>
        <v>689.293212</v>
      </c>
      <c r="R353" s="5">
        <f>AVERAGEIFS('Data Combined - all-runs'!$R:$R, 'Data Combined - all-runs'!$A:$A, A353,'Data Combined - all-runs'!$B:$B, B353,'Data Combined - all-runs'!$C:$C, C353, 'Data Combined - all-runs'!$D:$D, D353, 'Data Combined - all-runs'!$E:$E, E353)</f>
        <v>123.125</v>
      </c>
      <c r="S353" s="5">
        <f>AVERAGEIFS('Data Combined - all-runs'!$S:$S, 'Data Combined - all-runs'!$A:$A, A353,'Data Combined - all-runs'!$B:$B, B353,'Data Combined - all-runs'!$C:$C, C353, 'Data Combined - all-runs'!$D:$D, D353, 'Data Combined - all-runs'!$E:$E, E353)</f>
        <v>0</v>
      </c>
      <c r="T353" s="5">
        <f>AVERAGEIFS('Data Combined - all-runs'!$T:$T, 'Data Combined - all-runs'!$A:$A, A353,'Data Combined - all-runs'!$B:$B, B353,'Data Combined - all-runs'!$C:$C, C353, 'Data Combined - all-runs'!$D:$D, D353, 'Data Combined - all-runs'!$E:$E, E353)</f>
        <v>0</v>
      </c>
      <c r="U353" s="5" t="b">
        <f t="shared" si="1"/>
        <v>1</v>
      </c>
      <c r="V353" s="5" t="b">
        <f t="shared" si="2"/>
        <v>1</v>
      </c>
      <c r="W353" s="5" t="b">
        <f t="shared" si="3"/>
        <v>0</v>
      </c>
    </row>
    <row r="354">
      <c r="A354" s="2" t="s">
        <v>33</v>
      </c>
      <c r="B354" s="2" t="s">
        <v>22</v>
      </c>
      <c r="C354" s="2" t="s">
        <v>35</v>
      </c>
      <c r="D354" s="2" t="s">
        <v>102</v>
      </c>
      <c r="E354" s="2" t="s">
        <v>47</v>
      </c>
      <c r="H354" s="5">
        <f>AVERAGEIFS('Data Combined - all-runs'!$H:$H, 'Data Combined - all-runs'!$A:$A, A354,'Data Combined - all-runs'!$B:$B, B354,'Data Combined - all-runs'!$C:$C, C354, 'Data Combined - all-runs'!$D:$D, D354, 'Data Combined - all-runs'!$E:$E, E354)</f>
        <v>554</v>
      </c>
      <c r="I354" s="5">
        <f>AVERAGEIFS('Data Combined - all-runs'!$I:$I, 'Data Combined - all-runs'!$A:$A, A354,'Data Combined - all-runs'!$B:$B, B354,'Data Combined - all-runs'!$C:$C, C354, 'Data Combined - all-runs'!$D:$D, D354, 'Data Combined - all-runs'!$E:$E, E354)</f>
        <v>0</v>
      </c>
      <c r="J354" s="5">
        <f>AVERAGEIFS('Data Combined - all-runs'!$J:$J, 'Data Combined - all-runs'!$A:$A, A354,'Data Combined - all-runs'!$B:$B, B354,'Data Combined - all-runs'!$C:$C, C354, 'Data Combined - all-runs'!$D:$D, D354, 'Data Combined - all-runs'!$E:$E, E354)</f>
        <v>0</v>
      </c>
      <c r="K354" s="5">
        <f>AVERAGEIFS('Data Combined - all-runs'!$K:$K, 'Data Combined - all-runs'!$A:$A, A354,'Data Combined - all-runs'!$B:$B, B354,'Data Combined - all-runs'!$C:$C, C354, 'Data Combined - all-runs'!$D:$D, D354, 'Data Combined - all-runs'!$E:$E, E354)</f>
        <v>0.04830917874</v>
      </c>
      <c r="L354" s="5">
        <f>AVERAGEIFS('Data Combined - all-runs'!$L:$L, 'Data Combined - all-runs'!$A:$A, A354,'Data Combined - all-runs'!$B:$B, B354,'Data Combined - all-runs'!$C:$C, C354, 'Data Combined - all-runs'!$D:$D, D354, 'Data Combined - all-runs'!$E:$E, E354)</f>
        <v>6552.137466</v>
      </c>
      <c r="M354" s="5">
        <f>AVERAGEIFS('Data Combined - all-runs'!$M:$M, 'Data Combined - all-runs'!$A:$A, A354,'Data Combined - all-runs'!$B:$B, B354,'Data Combined - all-runs'!$C:$C, C354, 'Data Combined - all-runs'!$D:$D, D354, 'Data Combined - all-runs'!$E:$E, E354)</f>
        <v>51</v>
      </c>
      <c r="N354" s="5">
        <f>AVERAGEIFS('Data Combined - all-runs'!$N:$N, 'Data Combined - all-runs'!$A:$A, A354,'Data Combined - all-runs'!$B:$B, B354,'Data Combined - all-runs'!$C:$C, C354, 'Data Combined - all-runs'!$D:$D, D354, 'Data Combined - all-runs'!$E:$E, E354)</f>
        <v>4</v>
      </c>
      <c r="O354" s="5">
        <f>AVERAGEIFS('Data Combined - all-runs'!$O:$O, 'Data Combined - all-runs'!$A:$A, A354,'Data Combined - all-runs'!$B:$B, B354,'Data Combined - all-runs'!$C:$C, C354, 'Data Combined - all-runs'!$D:$D, D354, 'Data Combined - all-runs'!$E:$E, E354)</f>
        <v>621</v>
      </c>
      <c r="P354" s="5">
        <f>AVERAGEIFS('Data Combined - all-runs'!$P:$P, 'Data Combined - all-runs'!$A:$A, A354,'Data Combined - all-runs'!$B:$B, B354,'Data Combined - all-runs'!$C:$C, C354, 'Data Combined - all-runs'!$D:$D, D354, 'Data Combined - all-runs'!$E:$E, E354)</f>
        <v>6.441223833</v>
      </c>
      <c r="Q354" s="5">
        <f>AVERAGEIFS('Data Combined - all-runs'!$Q:$Q, 'Data Combined - all-runs'!$A:$A, A354,'Data Combined - all-runs'!$B:$B, B354,'Data Combined - all-runs'!$C:$C, C354, 'Data Combined - all-runs'!$D:$D, D354, 'Data Combined - all-runs'!$E:$E, E354)</f>
        <v>892.1095008</v>
      </c>
      <c r="R354" s="5">
        <f>AVERAGEIFS('Data Combined - all-runs'!$R:$R, 'Data Combined - all-runs'!$A:$A, A354,'Data Combined - all-runs'!$B:$B, B354,'Data Combined - all-runs'!$C:$C, C354, 'Data Combined - all-runs'!$D:$D, D354, 'Data Combined - all-runs'!$E:$E, E354)</f>
        <v>138.5</v>
      </c>
      <c r="S354" s="5">
        <f>AVERAGEIFS('Data Combined - all-runs'!$S:$S, 'Data Combined - all-runs'!$A:$A, A354,'Data Combined - all-runs'!$B:$B, B354,'Data Combined - all-runs'!$C:$C, C354, 'Data Combined - all-runs'!$D:$D, D354, 'Data Combined - all-runs'!$E:$E, E354)</f>
        <v>0</v>
      </c>
      <c r="T354" s="5">
        <f>AVERAGEIFS('Data Combined - all-runs'!$T:$T, 'Data Combined - all-runs'!$A:$A, A354,'Data Combined - all-runs'!$B:$B, B354,'Data Combined - all-runs'!$C:$C, C354, 'Data Combined - all-runs'!$D:$D, D354, 'Data Combined - all-runs'!$E:$E, E354)</f>
        <v>0</v>
      </c>
      <c r="U354" s="5" t="b">
        <f t="shared" si="1"/>
        <v>1</v>
      </c>
      <c r="V354" s="5" t="b">
        <f t="shared" si="2"/>
        <v>1</v>
      </c>
      <c r="W354" s="5" t="b">
        <f t="shared" si="3"/>
        <v>0</v>
      </c>
    </row>
    <row r="355">
      <c r="A355" s="2" t="s">
        <v>33</v>
      </c>
      <c r="B355" s="2" t="s">
        <v>22</v>
      </c>
      <c r="C355" s="2" t="s">
        <v>35</v>
      </c>
      <c r="D355" s="2" t="s">
        <v>102</v>
      </c>
      <c r="E355" s="2" t="s">
        <v>51</v>
      </c>
      <c r="H355" s="5">
        <f>AVERAGEIFS('Data Combined - all-runs'!$H:$H, 'Data Combined - all-runs'!$A:$A, A355,'Data Combined - all-runs'!$B:$B, B355,'Data Combined - all-runs'!$C:$C, C355, 'Data Combined - all-runs'!$D:$D, D355, 'Data Combined - all-runs'!$E:$E, E355)</f>
        <v>287</v>
      </c>
      <c r="I355" s="5">
        <f>AVERAGEIFS('Data Combined - all-runs'!$I:$I, 'Data Combined - all-runs'!$A:$A, A355,'Data Combined - all-runs'!$B:$B, B355,'Data Combined - all-runs'!$C:$C, C355, 'Data Combined - all-runs'!$D:$D, D355, 'Data Combined - all-runs'!$E:$E, E355)</f>
        <v>0</v>
      </c>
      <c r="J355" s="5">
        <f>AVERAGEIFS('Data Combined - all-runs'!$J:$J, 'Data Combined - all-runs'!$A:$A, A355,'Data Combined - all-runs'!$B:$B, B355,'Data Combined - all-runs'!$C:$C, C355, 'Data Combined - all-runs'!$D:$D, D355, 'Data Combined - all-runs'!$E:$E, E355)</f>
        <v>0</v>
      </c>
      <c r="K355" s="5">
        <f>AVERAGEIFS('Data Combined - all-runs'!$K:$K, 'Data Combined - all-runs'!$A:$A, A355,'Data Combined - all-runs'!$B:$B, B355,'Data Combined - all-runs'!$C:$C, C355, 'Data Combined - all-runs'!$D:$D, D355, 'Data Combined - all-runs'!$E:$E, E355)</f>
        <v>0.06839622642</v>
      </c>
      <c r="L355" s="5">
        <f>AVERAGEIFS('Data Combined - all-runs'!$L:$L, 'Data Combined - all-runs'!$A:$A, A355,'Data Combined - all-runs'!$B:$B, B355,'Data Combined - all-runs'!$C:$C, C355, 'Data Combined - all-runs'!$D:$D, D355, 'Data Combined - all-runs'!$E:$E, E355)</f>
        <v>2723.411838</v>
      </c>
      <c r="M355" s="5">
        <f>AVERAGEIFS('Data Combined - all-runs'!$M:$M, 'Data Combined - all-runs'!$A:$A, A355,'Data Combined - all-runs'!$B:$B, B355,'Data Combined - all-runs'!$C:$C, C355, 'Data Combined - all-runs'!$D:$D, D355, 'Data Combined - all-runs'!$E:$E, E355)</f>
        <v>40</v>
      </c>
      <c r="N355" s="5">
        <f>AVERAGEIFS('Data Combined - all-runs'!$N:$N, 'Data Combined - all-runs'!$A:$A, A355,'Data Combined - all-runs'!$B:$B, B355,'Data Combined - all-runs'!$C:$C, C355, 'Data Combined - all-runs'!$D:$D, D355, 'Data Combined - all-runs'!$E:$E, E355)</f>
        <v>4</v>
      </c>
      <c r="O355" s="5">
        <f>AVERAGEIFS('Data Combined - all-runs'!$O:$O, 'Data Combined - all-runs'!$A:$A, A355,'Data Combined - all-runs'!$B:$B, B355,'Data Combined - all-runs'!$C:$C, C355, 'Data Combined - all-runs'!$D:$D, D355, 'Data Combined - all-runs'!$E:$E, E355)</f>
        <v>636</v>
      </c>
      <c r="P355" s="5">
        <f>AVERAGEIFS('Data Combined - all-runs'!$P:$P, 'Data Combined - all-runs'!$A:$A, A355,'Data Combined - all-runs'!$B:$B, B355,'Data Combined - all-runs'!$C:$C, C355, 'Data Combined - all-runs'!$D:$D, D355, 'Data Combined - all-runs'!$E:$E, E355)</f>
        <v>6.289308176</v>
      </c>
      <c r="Q355" s="5">
        <f>AVERAGEIFS('Data Combined - all-runs'!$Q:$Q, 'Data Combined - all-runs'!$A:$A, A355,'Data Combined - all-runs'!$B:$B, B355,'Data Combined - all-runs'!$C:$C, C355, 'Data Combined - all-runs'!$D:$D, D355, 'Data Combined - all-runs'!$E:$E, E355)</f>
        <v>451.2578616</v>
      </c>
      <c r="R355" s="5">
        <f>AVERAGEIFS('Data Combined - all-runs'!$R:$R, 'Data Combined - all-runs'!$A:$A, A355,'Data Combined - all-runs'!$B:$B, B355,'Data Combined - all-runs'!$C:$C, C355, 'Data Combined - all-runs'!$D:$D, D355, 'Data Combined - all-runs'!$E:$E, E355)</f>
        <v>71.75</v>
      </c>
      <c r="S355" s="5">
        <f>AVERAGEIFS('Data Combined - all-runs'!$S:$S, 'Data Combined - all-runs'!$A:$A, A355,'Data Combined - all-runs'!$B:$B, B355,'Data Combined - all-runs'!$C:$C, C355, 'Data Combined - all-runs'!$D:$D, D355, 'Data Combined - all-runs'!$E:$E, E355)</f>
        <v>0</v>
      </c>
      <c r="T355" s="5">
        <f>AVERAGEIFS('Data Combined - all-runs'!$T:$T, 'Data Combined - all-runs'!$A:$A, A355,'Data Combined - all-runs'!$B:$B, B355,'Data Combined - all-runs'!$C:$C, C355, 'Data Combined - all-runs'!$D:$D, D355, 'Data Combined - all-runs'!$E:$E, E355)</f>
        <v>0</v>
      </c>
      <c r="U355" s="5" t="b">
        <f t="shared" si="1"/>
        <v>1</v>
      </c>
      <c r="V355" s="5" t="b">
        <f t="shared" si="2"/>
        <v>1</v>
      </c>
      <c r="W355" s="5" t="b">
        <f t="shared" si="3"/>
        <v>0</v>
      </c>
    </row>
    <row r="356">
      <c r="A356" s="2" t="s">
        <v>33</v>
      </c>
      <c r="B356" s="2" t="s">
        <v>22</v>
      </c>
      <c r="C356" s="2" t="s">
        <v>35</v>
      </c>
      <c r="D356" s="2" t="s">
        <v>118</v>
      </c>
      <c r="E356" s="2" t="s">
        <v>25</v>
      </c>
      <c r="H356" s="5">
        <f>AVERAGEIFS('Data Combined - all-runs'!$H:$H, 'Data Combined - all-runs'!$A:$A, A356,'Data Combined - all-runs'!$B:$B, B356,'Data Combined - all-runs'!$C:$C, C356, 'Data Combined - all-runs'!$D:$D, D356, 'Data Combined - all-runs'!$E:$E, E356)</f>
        <v>504</v>
      </c>
      <c r="I356" s="5">
        <f>AVERAGEIFS('Data Combined - all-runs'!$I:$I, 'Data Combined - all-runs'!$A:$A, A356,'Data Combined - all-runs'!$B:$B, B356,'Data Combined - all-runs'!$C:$C, C356, 'Data Combined - all-runs'!$D:$D, D356, 'Data Combined - all-runs'!$E:$E, E356)</f>
        <v>0</v>
      </c>
      <c r="J356" s="5">
        <f>AVERAGEIFS('Data Combined - all-runs'!$J:$J, 'Data Combined - all-runs'!$A:$A, A356,'Data Combined - all-runs'!$B:$B, B356,'Data Combined - all-runs'!$C:$C, C356, 'Data Combined - all-runs'!$D:$D, D356, 'Data Combined - all-runs'!$E:$E, E356)</f>
        <v>25</v>
      </c>
      <c r="K356" s="5">
        <f>AVERAGEIFS('Data Combined - all-runs'!$K:$K, 'Data Combined - all-runs'!$A:$A, A356,'Data Combined - all-runs'!$B:$B, B356,'Data Combined - all-runs'!$C:$C, C356, 'Data Combined - all-runs'!$D:$D, D356, 'Data Combined - all-runs'!$E:$E, E356)</f>
        <v>0.3989266547</v>
      </c>
      <c r="L356" s="5">
        <f>AVERAGEIFS('Data Combined - all-runs'!$L:$L, 'Data Combined - all-runs'!$A:$A, A356,'Data Combined - all-runs'!$B:$B, B356,'Data Combined - all-runs'!$C:$C, C356, 'Data Combined - all-runs'!$D:$D, D356, 'Data Combined - all-runs'!$E:$E, E356)</f>
        <v>2637.389686</v>
      </c>
      <c r="M356" s="5">
        <f>AVERAGEIFS('Data Combined - all-runs'!$M:$M, 'Data Combined - all-runs'!$A:$A, A356,'Data Combined - all-runs'!$B:$B, B356,'Data Combined - all-runs'!$C:$C, C356, 'Data Combined - all-runs'!$D:$D, D356, 'Data Combined - all-runs'!$E:$E, E356)</f>
        <v>59</v>
      </c>
      <c r="N356" s="5">
        <f>AVERAGEIFS('Data Combined - all-runs'!$N:$N, 'Data Combined - all-runs'!$A:$A, A356,'Data Combined - all-runs'!$B:$B, B356,'Data Combined - all-runs'!$C:$C, C356, 'Data Combined - all-runs'!$D:$D, D356, 'Data Combined - all-runs'!$E:$E, E356)</f>
        <v>1</v>
      </c>
      <c r="O356" s="5">
        <f>AVERAGEIFS('Data Combined - all-runs'!$O:$O, 'Data Combined - all-runs'!$A:$A, A356,'Data Combined - all-runs'!$B:$B, B356,'Data Combined - all-runs'!$C:$C, C356, 'Data Combined - all-runs'!$D:$D, D356, 'Data Combined - all-runs'!$E:$E, E356)</f>
        <v>559</v>
      </c>
      <c r="P356" s="5">
        <f>AVERAGEIFS('Data Combined - all-runs'!$P:$P, 'Data Combined - all-runs'!$A:$A, A356,'Data Combined - all-runs'!$B:$B, B356,'Data Combined - all-runs'!$C:$C, C356, 'Data Combined - all-runs'!$D:$D, D356, 'Data Combined - all-runs'!$E:$E, E356)</f>
        <v>1.788908766</v>
      </c>
      <c r="Q356" s="5">
        <f>AVERAGEIFS('Data Combined - all-runs'!$Q:$Q, 'Data Combined - all-runs'!$A:$A, A356,'Data Combined - all-runs'!$B:$B, B356,'Data Combined - all-runs'!$C:$C, C356, 'Data Combined - all-runs'!$D:$D, D356, 'Data Combined - all-runs'!$E:$E, E356)</f>
        <v>901.6100179</v>
      </c>
      <c r="R356" s="5">
        <f>AVERAGEIFS('Data Combined - all-runs'!$R:$R, 'Data Combined - all-runs'!$A:$A, A356,'Data Combined - all-runs'!$B:$B, B356,'Data Combined - all-runs'!$C:$C, C356, 'Data Combined - all-runs'!$D:$D, D356, 'Data Combined - all-runs'!$E:$E, E356)</f>
        <v>504</v>
      </c>
      <c r="S356" s="5">
        <f>AVERAGEIFS('Data Combined - all-runs'!$S:$S, 'Data Combined - all-runs'!$A:$A, A356,'Data Combined - all-runs'!$B:$B, B356,'Data Combined - all-runs'!$C:$C, C356, 'Data Combined - all-runs'!$D:$D, D356, 'Data Combined - all-runs'!$E:$E, E356)</f>
        <v>0.0496031746</v>
      </c>
      <c r="T356" s="5">
        <f>AVERAGEIFS('Data Combined - all-runs'!$T:$T, 'Data Combined - all-runs'!$A:$A, A356,'Data Combined - all-runs'!$B:$B, B356,'Data Combined - all-runs'!$C:$C, C356, 'Data Combined - all-runs'!$D:$D, D356, 'Data Combined - all-runs'!$E:$E, E356)</f>
        <v>0</v>
      </c>
      <c r="U356" s="5" t="b">
        <f t="shared" si="1"/>
        <v>1</v>
      </c>
      <c r="V356" s="5" t="b">
        <f t="shared" si="2"/>
        <v>1</v>
      </c>
      <c r="W356" s="5" t="b">
        <f t="shared" si="3"/>
        <v>0</v>
      </c>
    </row>
    <row r="357">
      <c r="A357" s="2" t="s">
        <v>33</v>
      </c>
      <c r="B357" s="2" t="s">
        <v>22</v>
      </c>
      <c r="C357" s="2" t="s">
        <v>35</v>
      </c>
      <c r="D357" s="2" t="s">
        <v>118</v>
      </c>
      <c r="E357" s="2" t="s">
        <v>39</v>
      </c>
      <c r="H357" s="5">
        <f>AVERAGEIFS('Data Combined - all-runs'!$H:$H, 'Data Combined - all-runs'!$A:$A, A357,'Data Combined - all-runs'!$B:$B, B357,'Data Combined - all-runs'!$C:$C, C357, 'Data Combined - all-runs'!$D:$D, D357, 'Data Combined - all-runs'!$E:$E, E357)</f>
        <v>164</v>
      </c>
      <c r="I357" s="5">
        <f>AVERAGEIFS('Data Combined - all-runs'!$I:$I, 'Data Combined - all-runs'!$A:$A, A357,'Data Combined - all-runs'!$B:$B, B357,'Data Combined - all-runs'!$C:$C, C357, 'Data Combined - all-runs'!$D:$D, D357, 'Data Combined - all-runs'!$E:$E, E357)</f>
        <v>0</v>
      </c>
      <c r="J357" s="5">
        <f>AVERAGEIFS('Data Combined - all-runs'!$J:$J, 'Data Combined - all-runs'!$A:$A, A357,'Data Combined - all-runs'!$B:$B, B357,'Data Combined - all-runs'!$C:$C, C357, 'Data Combined - all-runs'!$D:$D, D357, 'Data Combined - all-runs'!$E:$E, E357)</f>
        <v>0</v>
      </c>
      <c r="K357" s="5">
        <f>AVERAGEIFS('Data Combined - all-runs'!$K:$K, 'Data Combined - all-runs'!$A:$A, A357,'Data Combined - all-runs'!$B:$B, B357,'Data Combined - all-runs'!$C:$C, C357, 'Data Combined - all-runs'!$D:$D, D357, 'Data Combined - all-runs'!$E:$E, E357)</f>
        <v>0.1145</v>
      </c>
      <c r="L357" s="5">
        <f>AVERAGEIFS('Data Combined - all-runs'!$L:$L, 'Data Combined - all-runs'!$A:$A, A357,'Data Combined - all-runs'!$B:$B, B357,'Data Combined - all-runs'!$C:$C, C357, 'Data Combined - all-runs'!$D:$D, D357, 'Data Combined - all-runs'!$E:$E, E357)</f>
        <v>1392.838124</v>
      </c>
      <c r="M357" s="5" t="str">
        <f>AVERAGEIFS('Data Combined - all-runs'!$M:$M, 'Data Combined - all-runs'!$A:$A, A357,'Data Combined - all-runs'!$B:$B, B357,'Data Combined - all-runs'!$C:$C, C357, 'Data Combined - all-runs'!$D:$D, D357, 'Data Combined - all-runs'!$E:$E, E357)</f>
        <v>#DIV/0!</v>
      </c>
      <c r="N357" s="5">
        <f>AVERAGEIFS('Data Combined - all-runs'!$N:$N, 'Data Combined - all-runs'!$A:$A, A357,'Data Combined - all-runs'!$B:$B, B357,'Data Combined - all-runs'!$C:$C, C357, 'Data Combined - all-runs'!$D:$D, D357, 'Data Combined - all-runs'!$E:$E, E357)</f>
        <v>0</v>
      </c>
      <c r="O357" s="5">
        <f>AVERAGEIFS('Data Combined - all-runs'!$O:$O, 'Data Combined - all-runs'!$A:$A, A357,'Data Combined - all-runs'!$B:$B, B357,'Data Combined - all-runs'!$C:$C, C357, 'Data Combined - all-runs'!$D:$D, D357, 'Data Combined - all-runs'!$E:$E, E357)</f>
        <v>500</v>
      </c>
      <c r="P357" s="5">
        <f>AVERAGEIFS('Data Combined - all-runs'!$P:$P, 'Data Combined - all-runs'!$A:$A, A357,'Data Combined - all-runs'!$B:$B, B357,'Data Combined - all-runs'!$C:$C, C357, 'Data Combined - all-runs'!$D:$D, D357, 'Data Combined - all-runs'!$E:$E, E357)</f>
        <v>0</v>
      </c>
      <c r="Q357" s="5">
        <f>AVERAGEIFS('Data Combined - all-runs'!$Q:$Q, 'Data Combined - all-runs'!$A:$A, A357,'Data Combined - all-runs'!$B:$B, B357,'Data Combined - all-runs'!$C:$C, C357, 'Data Combined - all-runs'!$D:$D, D357, 'Data Combined - all-runs'!$E:$E, E357)</f>
        <v>328</v>
      </c>
      <c r="R357" s="5" t="str">
        <f>AVERAGEIFS('Data Combined - all-runs'!$R:$R, 'Data Combined - all-runs'!$A:$A, A357,'Data Combined - all-runs'!$B:$B, B357,'Data Combined - all-runs'!$C:$C, C357, 'Data Combined - all-runs'!$D:$D, D357, 'Data Combined - all-runs'!$E:$E, E357)</f>
        <v>#DIV/0!</v>
      </c>
      <c r="S357" s="5">
        <f>AVERAGEIFS('Data Combined - all-runs'!$S:$S, 'Data Combined - all-runs'!$A:$A, A357,'Data Combined - all-runs'!$B:$B, B357,'Data Combined - all-runs'!$C:$C, C357, 'Data Combined - all-runs'!$D:$D, D357, 'Data Combined - all-runs'!$E:$E, E357)</f>
        <v>0</v>
      </c>
      <c r="T357" s="5">
        <f>AVERAGEIFS('Data Combined - all-runs'!$T:$T, 'Data Combined - all-runs'!$A:$A, A357,'Data Combined - all-runs'!$B:$B, B357,'Data Combined - all-runs'!$C:$C, C357, 'Data Combined - all-runs'!$D:$D, D357, 'Data Combined - all-runs'!$E:$E, E357)</f>
        <v>0</v>
      </c>
      <c r="U357" s="5" t="b">
        <f t="shared" si="1"/>
        <v>1</v>
      </c>
      <c r="V357" s="5" t="b">
        <f t="shared" si="2"/>
        <v>1</v>
      </c>
      <c r="W357" s="5" t="b">
        <f t="shared" si="3"/>
        <v>0</v>
      </c>
    </row>
    <row r="358">
      <c r="A358" s="2" t="s">
        <v>33</v>
      </c>
      <c r="B358" s="2" t="s">
        <v>22</v>
      </c>
      <c r="C358" s="2" t="s">
        <v>35</v>
      </c>
      <c r="D358" s="2" t="s">
        <v>118</v>
      </c>
      <c r="E358" s="2" t="s">
        <v>43</v>
      </c>
      <c r="H358" s="5">
        <f>AVERAGEIFS('Data Combined - all-runs'!$H:$H, 'Data Combined - all-runs'!$A:$A, A358,'Data Combined - all-runs'!$B:$B, B358,'Data Combined - all-runs'!$C:$C, C358, 'Data Combined - all-runs'!$D:$D, D358, 'Data Combined - all-runs'!$E:$E, E358)</f>
        <v>1030</v>
      </c>
      <c r="I358" s="5">
        <f>AVERAGEIFS('Data Combined - all-runs'!$I:$I, 'Data Combined - all-runs'!$A:$A, A358,'Data Combined - all-runs'!$B:$B, B358,'Data Combined - all-runs'!$C:$C, C358, 'Data Combined - all-runs'!$D:$D, D358, 'Data Combined - all-runs'!$E:$E, E358)</f>
        <v>0</v>
      </c>
      <c r="J358" s="5">
        <f>AVERAGEIFS('Data Combined - all-runs'!$J:$J, 'Data Combined - all-runs'!$A:$A, A358,'Data Combined - all-runs'!$B:$B, B358,'Data Combined - all-runs'!$C:$C, C358, 'Data Combined - all-runs'!$D:$D, D358, 'Data Combined - all-runs'!$E:$E, E358)</f>
        <v>1</v>
      </c>
      <c r="K358" s="5">
        <f>AVERAGEIFS('Data Combined - all-runs'!$K:$K, 'Data Combined - all-runs'!$A:$A, A358,'Data Combined - all-runs'!$B:$B, B358,'Data Combined - all-runs'!$C:$C, C358, 'Data Combined - all-runs'!$D:$D, D358, 'Data Combined - all-runs'!$E:$E, E358)</f>
        <v>0.1044164668</v>
      </c>
      <c r="L358" s="5">
        <f>AVERAGEIFS('Data Combined - all-runs'!$L:$L, 'Data Combined - all-runs'!$A:$A, A358,'Data Combined - all-runs'!$B:$B, B358,'Data Combined - all-runs'!$C:$C, C358, 'Data Combined - all-runs'!$D:$D, D358, 'Data Combined - all-runs'!$E:$E, E358)</f>
        <v>11241.63954</v>
      </c>
      <c r="M358" s="5">
        <f>AVERAGEIFS('Data Combined - all-runs'!$M:$M, 'Data Combined - all-runs'!$A:$A, A358,'Data Combined - all-runs'!$B:$B, B358,'Data Combined - all-runs'!$C:$C, C358, 'Data Combined - all-runs'!$D:$D, D358, 'Data Combined - all-runs'!$E:$E, E358)</f>
        <v>41</v>
      </c>
      <c r="N358" s="5">
        <f>AVERAGEIFS('Data Combined - all-runs'!$N:$N, 'Data Combined - all-runs'!$A:$A, A358,'Data Combined - all-runs'!$B:$B, B358,'Data Combined - all-runs'!$C:$C, C358, 'Data Combined - all-runs'!$D:$D, D358, 'Data Combined - all-runs'!$E:$E, E358)</f>
        <v>14</v>
      </c>
      <c r="O358" s="5">
        <f>AVERAGEIFS('Data Combined - all-runs'!$O:$O, 'Data Combined - all-runs'!$A:$A, A358,'Data Combined - all-runs'!$B:$B, B358,'Data Combined - all-runs'!$C:$C, C358, 'Data Combined - all-runs'!$D:$D, D358, 'Data Combined - all-runs'!$E:$E, E358)</f>
        <v>1668</v>
      </c>
      <c r="P358" s="5">
        <f>AVERAGEIFS('Data Combined - all-runs'!$P:$P, 'Data Combined - all-runs'!$A:$A, A358,'Data Combined - all-runs'!$B:$B, B358,'Data Combined - all-runs'!$C:$C, C358, 'Data Combined - all-runs'!$D:$D, D358, 'Data Combined - all-runs'!$E:$E, E358)</f>
        <v>8.393285372</v>
      </c>
      <c r="Q358" s="5">
        <f>AVERAGEIFS('Data Combined - all-runs'!$Q:$Q, 'Data Combined - all-runs'!$A:$A, A358,'Data Combined - all-runs'!$B:$B, B358,'Data Combined - all-runs'!$C:$C, C358, 'Data Combined - all-runs'!$D:$D, D358, 'Data Combined - all-runs'!$E:$E, E358)</f>
        <v>617.5059952</v>
      </c>
      <c r="R358" s="5">
        <f>AVERAGEIFS('Data Combined - all-runs'!$R:$R, 'Data Combined - all-runs'!$A:$A, A358,'Data Combined - all-runs'!$B:$B, B358,'Data Combined - all-runs'!$C:$C, C358, 'Data Combined - all-runs'!$D:$D, D358, 'Data Combined - all-runs'!$E:$E, E358)</f>
        <v>73.57142857</v>
      </c>
      <c r="S358" s="5">
        <f>AVERAGEIFS('Data Combined - all-runs'!$S:$S, 'Data Combined - all-runs'!$A:$A, A358,'Data Combined - all-runs'!$B:$B, B358,'Data Combined - all-runs'!$C:$C, C358, 'Data Combined - all-runs'!$D:$D, D358, 'Data Combined - all-runs'!$E:$E, E358)</f>
        <v>0.0009708737864</v>
      </c>
      <c r="T358" s="5">
        <f>AVERAGEIFS('Data Combined - all-runs'!$T:$T, 'Data Combined - all-runs'!$A:$A, A358,'Data Combined - all-runs'!$B:$B, B358,'Data Combined - all-runs'!$C:$C, C358, 'Data Combined - all-runs'!$D:$D, D358, 'Data Combined - all-runs'!$E:$E, E358)</f>
        <v>0</v>
      </c>
      <c r="U358" s="5" t="b">
        <f t="shared" si="1"/>
        <v>1</v>
      </c>
      <c r="V358" s="5" t="b">
        <f t="shared" si="2"/>
        <v>1</v>
      </c>
      <c r="W358" s="5" t="b">
        <f t="shared" si="3"/>
        <v>0</v>
      </c>
    </row>
    <row r="359">
      <c r="A359" s="2" t="s">
        <v>33</v>
      </c>
      <c r="B359" s="2" t="s">
        <v>22</v>
      </c>
      <c r="C359" s="2" t="s">
        <v>35</v>
      </c>
      <c r="D359" s="2" t="s">
        <v>118</v>
      </c>
      <c r="E359" s="2" t="s">
        <v>34</v>
      </c>
      <c r="H359" s="5">
        <f>AVERAGEIFS('Data Combined - all-runs'!$H:$H, 'Data Combined - all-runs'!$A:$A, A359,'Data Combined - all-runs'!$B:$B, B359,'Data Combined - all-runs'!$C:$C, C359, 'Data Combined - all-runs'!$D:$D, D359, 'Data Combined - all-runs'!$E:$E, E359)</f>
        <v>486</v>
      </c>
      <c r="I359" s="5">
        <f>AVERAGEIFS('Data Combined - all-runs'!$I:$I, 'Data Combined - all-runs'!$A:$A, A359,'Data Combined - all-runs'!$B:$B, B359,'Data Combined - all-runs'!$C:$C, C359, 'Data Combined - all-runs'!$D:$D, D359, 'Data Combined - all-runs'!$E:$E, E359)</f>
        <v>0</v>
      </c>
      <c r="J359" s="5">
        <f>AVERAGEIFS('Data Combined - all-runs'!$J:$J, 'Data Combined - all-runs'!$A:$A, A359,'Data Combined - all-runs'!$B:$B, B359,'Data Combined - all-runs'!$C:$C, C359, 'Data Combined - all-runs'!$D:$D, D359, 'Data Combined - all-runs'!$E:$E, E359)</f>
        <v>1</v>
      </c>
      <c r="K359" s="5">
        <f>AVERAGEIFS('Data Combined - all-runs'!$K:$K, 'Data Combined - all-runs'!$A:$A, A359,'Data Combined - all-runs'!$B:$B, B359,'Data Combined - all-runs'!$C:$C, C359, 'Data Combined - all-runs'!$D:$D, D359, 'Data Combined - all-runs'!$E:$E, E359)</f>
        <v>0.4189518586</v>
      </c>
      <c r="L359" s="5">
        <f>AVERAGEIFS('Data Combined - all-runs'!$L:$L, 'Data Combined - all-runs'!$A:$A, A359,'Data Combined - all-runs'!$B:$B, B359,'Data Combined - all-runs'!$C:$C, C359, 'Data Combined - all-runs'!$D:$D, D359, 'Data Combined - all-runs'!$E:$E, E359)</f>
        <v>7284.021661</v>
      </c>
      <c r="M359" s="5">
        <f>AVERAGEIFS('Data Combined - all-runs'!$M:$M, 'Data Combined - all-runs'!$A:$A, A359,'Data Combined - all-runs'!$B:$B, B359,'Data Combined - all-runs'!$C:$C, C359, 'Data Combined - all-runs'!$D:$D, D359, 'Data Combined - all-runs'!$E:$E, E359)</f>
        <v>37</v>
      </c>
      <c r="N359" s="5">
        <f>AVERAGEIFS('Data Combined - all-runs'!$N:$N, 'Data Combined - all-runs'!$A:$A, A359,'Data Combined - all-runs'!$B:$B, B359,'Data Combined - all-runs'!$C:$C, C359, 'Data Combined - all-runs'!$D:$D, D359, 'Data Combined - all-runs'!$E:$E, E359)</f>
        <v>2</v>
      </c>
      <c r="O359" s="5">
        <f>AVERAGEIFS('Data Combined - all-runs'!$O:$O, 'Data Combined - all-runs'!$A:$A, A359,'Data Combined - all-runs'!$B:$B, B359,'Data Combined - all-runs'!$C:$C, C359, 'Data Combined - all-runs'!$D:$D, D359, 'Data Combined - all-runs'!$E:$E, E359)</f>
        <v>547</v>
      </c>
      <c r="P359" s="5">
        <f>AVERAGEIFS('Data Combined - all-runs'!$P:$P, 'Data Combined - all-runs'!$A:$A, A359,'Data Combined - all-runs'!$B:$B, B359,'Data Combined - all-runs'!$C:$C, C359, 'Data Combined - all-runs'!$D:$D, D359, 'Data Combined - all-runs'!$E:$E, E359)</f>
        <v>3.65630713</v>
      </c>
      <c r="Q359" s="5">
        <f>AVERAGEIFS('Data Combined - all-runs'!$Q:$Q, 'Data Combined - all-runs'!$A:$A, A359,'Data Combined - all-runs'!$B:$B, B359,'Data Combined - all-runs'!$C:$C, C359, 'Data Combined - all-runs'!$D:$D, D359, 'Data Combined - all-runs'!$E:$E, E359)</f>
        <v>888.4826325</v>
      </c>
      <c r="R359" s="5">
        <f>AVERAGEIFS('Data Combined - all-runs'!$R:$R, 'Data Combined - all-runs'!$A:$A, A359,'Data Combined - all-runs'!$B:$B, B359,'Data Combined - all-runs'!$C:$C, C359, 'Data Combined - all-runs'!$D:$D, D359, 'Data Combined - all-runs'!$E:$E, E359)</f>
        <v>243</v>
      </c>
      <c r="S359" s="5">
        <f>AVERAGEIFS('Data Combined - all-runs'!$S:$S, 'Data Combined - all-runs'!$A:$A, A359,'Data Combined - all-runs'!$B:$B, B359,'Data Combined - all-runs'!$C:$C, C359, 'Data Combined - all-runs'!$D:$D, D359, 'Data Combined - all-runs'!$E:$E, E359)</f>
        <v>0.002057613169</v>
      </c>
      <c r="T359" s="5">
        <f>AVERAGEIFS('Data Combined - all-runs'!$T:$T, 'Data Combined - all-runs'!$A:$A, A359,'Data Combined - all-runs'!$B:$B, B359,'Data Combined - all-runs'!$C:$C, C359, 'Data Combined - all-runs'!$D:$D, D359, 'Data Combined - all-runs'!$E:$E, E359)</f>
        <v>0</v>
      </c>
      <c r="U359" s="5" t="b">
        <f t="shared" si="1"/>
        <v>1</v>
      </c>
      <c r="V359" s="5" t="b">
        <f t="shared" si="2"/>
        <v>1</v>
      </c>
      <c r="W359" s="5" t="b">
        <f t="shared" si="3"/>
        <v>0</v>
      </c>
    </row>
    <row r="360">
      <c r="A360" s="2" t="s">
        <v>33</v>
      </c>
      <c r="B360" s="2" t="s">
        <v>22</v>
      </c>
      <c r="C360" s="2" t="s">
        <v>35</v>
      </c>
      <c r="D360" s="2" t="s">
        <v>118</v>
      </c>
      <c r="E360" s="2" t="s">
        <v>47</v>
      </c>
      <c r="H360" s="5">
        <f>AVERAGEIFS('Data Combined - all-runs'!$H:$H, 'Data Combined - all-runs'!$A:$A, A360,'Data Combined - all-runs'!$B:$B, B360,'Data Combined - all-runs'!$C:$C, C360, 'Data Combined - all-runs'!$D:$D, D360, 'Data Combined - all-runs'!$E:$E, E360)</f>
        <v>1412</v>
      </c>
      <c r="I360" s="5">
        <f>AVERAGEIFS('Data Combined - all-runs'!$I:$I, 'Data Combined - all-runs'!$A:$A, A360,'Data Combined - all-runs'!$B:$B, B360,'Data Combined - all-runs'!$C:$C, C360, 'Data Combined - all-runs'!$D:$D, D360, 'Data Combined - all-runs'!$E:$E, E360)</f>
        <v>0</v>
      </c>
      <c r="J360" s="5">
        <f>AVERAGEIFS('Data Combined - all-runs'!$J:$J, 'Data Combined - all-runs'!$A:$A, A360,'Data Combined - all-runs'!$B:$B, B360,'Data Combined - all-runs'!$C:$C, C360, 'Data Combined - all-runs'!$D:$D, D360, 'Data Combined - all-runs'!$E:$E, E360)</f>
        <v>0</v>
      </c>
      <c r="K360" s="5">
        <f>AVERAGEIFS('Data Combined - all-runs'!$K:$K, 'Data Combined - all-runs'!$A:$A, A360,'Data Combined - all-runs'!$B:$B, B360,'Data Combined - all-runs'!$C:$C, C360, 'Data Combined - all-runs'!$D:$D, D360, 'Data Combined - all-runs'!$E:$E, E360)</f>
        <v>0.1321538462</v>
      </c>
      <c r="L360" s="5">
        <f>AVERAGEIFS('Data Combined - all-runs'!$L:$L, 'Data Combined - all-runs'!$A:$A, A360,'Data Combined - all-runs'!$B:$B, B360,'Data Combined - all-runs'!$C:$C, C360, 'Data Combined - all-runs'!$D:$D, D360, 'Data Combined - all-runs'!$E:$E, E360)</f>
        <v>21390.14917</v>
      </c>
      <c r="M360" s="5">
        <f>AVERAGEIFS('Data Combined - all-runs'!$M:$M, 'Data Combined - all-runs'!$A:$A, A360,'Data Combined - all-runs'!$B:$B, B360,'Data Combined - all-runs'!$C:$C, C360, 'Data Combined - all-runs'!$D:$D, D360, 'Data Combined - all-runs'!$E:$E, E360)</f>
        <v>62</v>
      </c>
      <c r="N360" s="5">
        <f>AVERAGEIFS('Data Combined - all-runs'!$N:$N, 'Data Combined - all-runs'!$A:$A, A360,'Data Combined - all-runs'!$B:$B, B360,'Data Combined - all-runs'!$C:$C, C360, 'Data Combined - all-runs'!$D:$D, D360, 'Data Combined - all-runs'!$E:$E, E360)</f>
        <v>20</v>
      </c>
      <c r="O360" s="5">
        <f>AVERAGEIFS('Data Combined - all-runs'!$O:$O, 'Data Combined - all-runs'!$A:$A, A360,'Data Combined - all-runs'!$B:$B, B360,'Data Combined - all-runs'!$C:$C, C360, 'Data Combined - all-runs'!$D:$D, D360, 'Data Combined - all-runs'!$E:$E, E360)</f>
        <v>1625</v>
      </c>
      <c r="P360" s="5">
        <f>AVERAGEIFS('Data Combined - all-runs'!$P:$P, 'Data Combined - all-runs'!$A:$A, A360,'Data Combined - all-runs'!$B:$B, B360,'Data Combined - all-runs'!$C:$C, C360, 'Data Combined - all-runs'!$D:$D, D360, 'Data Combined - all-runs'!$E:$E, E360)</f>
        <v>12.30769231</v>
      </c>
      <c r="Q360" s="5">
        <f>AVERAGEIFS('Data Combined - all-runs'!$Q:$Q, 'Data Combined - all-runs'!$A:$A, A360,'Data Combined - all-runs'!$B:$B, B360,'Data Combined - all-runs'!$C:$C, C360, 'Data Combined - all-runs'!$D:$D, D360, 'Data Combined - all-runs'!$E:$E, E360)</f>
        <v>868.9230769</v>
      </c>
      <c r="R360" s="5">
        <f>AVERAGEIFS('Data Combined - all-runs'!$R:$R, 'Data Combined - all-runs'!$A:$A, A360,'Data Combined - all-runs'!$B:$B, B360,'Data Combined - all-runs'!$C:$C, C360, 'Data Combined - all-runs'!$D:$D, D360, 'Data Combined - all-runs'!$E:$E, E360)</f>
        <v>70.6</v>
      </c>
      <c r="S360" s="5">
        <f>AVERAGEIFS('Data Combined - all-runs'!$S:$S, 'Data Combined - all-runs'!$A:$A, A360,'Data Combined - all-runs'!$B:$B, B360,'Data Combined - all-runs'!$C:$C, C360, 'Data Combined - all-runs'!$D:$D, D360, 'Data Combined - all-runs'!$E:$E, E360)</f>
        <v>0</v>
      </c>
      <c r="T360" s="5">
        <f>AVERAGEIFS('Data Combined - all-runs'!$T:$T, 'Data Combined - all-runs'!$A:$A, A360,'Data Combined - all-runs'!$B:$B, B360,'Data Combined - all-runs'!$C:$C, C360, 'Data Combined - all-runs'!$D:$D, D360, 'Data Combined - all-runs'!$E:$E, E360)</f>
        <v>0</v>
      </c>
      <c r="U360" s="5" t="b">
        <f t="shared" si="1"/>
        <v>1</v>
      </c>
      <c r="V360" s="5" t="b">
        <f t="shared" si="2"/>
        <v>1</v>
      </c>
      <c r="W360" s="5" t="b">
        <f t="shared" si="3"/>
        <v>0</v>
      </c>
    </row>
    <row r="361">
      <c r="A361" s="2" t="s">
        <v>33</v>
      </c>
      <c r="B361" s="2" t="s">
        <v>22</v>
      </c>
      <c r="C361" s="2" t="s">
        <v>35</v>
      </c>
      <c r="D361" s="2" t="s">
        <v>118</v>
      </c>
      <c r="E361" s="2" t="s">
        <v>51</v>
      </c>
      <c r="H361" s="5">
        <f>AVERAGEIFS('Data Combined - all-runs'!$H:$H, 'Data Combined - all-runs'!$A:$A, A361,'Data Combined - all-runs'!$B:$B, B361,'Data Combined - all-runs'!$C:$C, C361, 'Data Combined - all-runs'!$D:$D, D361, 'Data Combined - all-runs'!$E:$E, E361)</f>
        <v>371</v>
      </c>
      <c r="I361" s="5">
        <f>AVERAGEIFS('Data Combined - all-runs'!$I:$I, 'Data Combined - all-runs'!$A:$A, A361,'Data Combined - all-runs'!$B:$B, B361,'Data Combined - all-runs'!$C:$C, C361, 'Data Combined - all-runs'!$D:$D, D361, 'Data Combined - all-runs'!$E:$E, E361)</f>
        <v>0</v>
      </c>
      <c r="J361" s="5">
        <f>AVERAGEIFS('Data Combined - all-runs'!$J:$J, 'Data Combined - all-runs'!$A:$A, A361,'Data Combined - all-runs'!$B:$B, B361,'Data Combined - all-runs'!$C:$C, C361, 'Data Combined - all-runs'!$D:$D, D361, 'Data Combined - all-runs'!$E:$E, E361)</f>
        <v>0</v>
      </c>
      <c r="K361" s="5">
        <f>AVERAGEIFS('Data Combined - all-runs'!$K:$K, 'Data Combined - all-runs'!$A:$A, A361,'Data Combined - all-runs'!$B:$B, B361,'Data Combined - all-runs'!$C:$C, C361, 'Data Combined - all-runs'!$D:$D, D361, 'Data Combined - all-runs'!$E:$E, E361)</f>
        <v>0.08459787557</v>
      </c>
      <c r="L361" s="5">
        <f>AVERAGEIFS('Data Combined - all-runs'!$L:$L, 'Data Combined - all-runs'!$A:$A, A361,'Data Combined - all-runs'!$B:$B, B361,'Data Combined - all-runs'!$C:$C, C361, 'Data Combined - all-runs'!$D:$D, D361, 'Data Combined - all-runs'!$E:$E, E361)</f>
        <v>5054.752082</v>
      </c>
      <c r="M361" s="5">
        <f>AVERAGEIFS('Data Combined - all-runs'!$M:$M, 'Data Combined - all-runs'!$A:$A, A361,'Data Combined - all-runs'!$B:$B, B361,'Data Combined - all-runs'!$C:$C, C361, 'Data Combined - all-runs'!$D:$D, D361, 'Data Combined - all-runs'!$E:$E, E361)</f>
        <v>73</v>
      </c>
      <c r="N361" s="5">
        <f>AVERAGEIFS('Data Combined - all-runs'!$N:$N, 'Data Combined - all-runs'!$A:$A, A361,'Data Combined - all-runs'!$B:$B, B361,'Data Combined - all-runs'!$C:$C, C361, 'Data Combined - all-runs'!$D:$D, D361, 'Data Combined - all-runs'!$E:$E, E361)</f>
        <v>6</v>
      </c>
      <c r="O361" s="5">
        <f>AVERAGEIFS('Data Combined - all-runs'!$O:$O, 'Data Combined - all-runs'!$A:$A, A361,'Data Combined - all-runs'!$B:$B, B361,'Data Combined - all-runs'!$C:$C, C361, 'Data Combined - all-runs'!$D:$D, D361, 'Data Combined - all-runs'!$E:$E, E361)</f>
        <v>659</v>
      </c>
      <c r="P361" s="5">
        <f>AVERAGEIFS('Data Combined - all-runs'!$P:$P, 'Data Combined - all-runs'!$A:$A, A361,'Data Combined - all-runs'!$B:$B, B361,'Data Combined - all-runs'!$C:$C, C361, 'Data Combined - all-runs'!$D:$D, D361, 'Data Combined - all-runs'!$E:$E, E361)</f>
        <v>9.104704097</v>
      </c>
      <c r="Q361" s="5">
        <f>AVERAGEIFS('Data Combined - all-runs'!$Q:$Q, 'Data Combined - all-runs'!$A:$A, A361,'Data Combined - all-runs'!$B:$B, B361,'Data Combined - all-runs'!$C:$C, C361, 'Data Combined - all-runs'!$D:$D, D361, 'Data Combined - all-runs'!$E:$E, E361)</f>
        <v>562.9742033</v>
      </c>
      <c r="R361" s="5">
        <f>AVERAGEIFS('Data Combined - all-runs'!$R:$R, 'Data Combined - all-runs'!$A:$A, A361,'Data Combined - all-runs'!$B:$B, B361,'Data Combined - all-runs'!$C:$C, C361, 'Data Combined - all-runs'!$D:$D, D361, 'Data Combined - all-runs'!$E:$E, E361)</f>
        <v>61.83333333</v>
      </c>
      <c r="S361" s="5">
        <f>AVERAGEIFS('Data Combined - all-runs'!$S:$S, 'Data Combined - all-runs'!$A:$A, A361,'Data Combined - all-runs'!$B:$B, B361,'Data Combined - all-runs'!$C:$C, C361, 'Data Combined - all-runs'!$D:$D, D361, 'Data Combined - all-runs'!$E:$E, E361)</f>
        <v>0</v>
      </c>
      <c r="T361" s="5">
        <f>AVERAGEIFS('Data Combined - all-runs'!$T:$T, 'Data Combined - all-runs'!$A:$A, A361,'Data Combined - all-runs'!$B:$B, B361,'Data Combined - all-runs'!$C:$C, C361, 'Data Combined - all-runs'!$D:$D, D361, 'Data Combined - all-runs'!$E:$E, E361)</f>
        <v>0</v>
      </c>
      <c r="U361" s="5" t="b">
        <f t="shared" si="1"/>
        <v>1</v>
      </c>
      <c r="V361" s="5" t="b">
        <f t="shared" si="2"/>
        <v>1</v>
      </c>
      <c r="W361" s="5" t="b">
        <f t="shared" si="3"/>
        <v>0</v>
      </c>
    </row>
    <row r="362">
      <c r="A362" s="2" t="s">
        <v>33</v>
      </c>
      <c r="B362" s="2" t="s">
        <v>114</v>
      </c>
      <c r="C362" s="2" t="s">
        <v>23</v>
      </c>
      <c r="D362" s="2" t="s">
        <v>24</v>
      </c>
      <c r="E362" s="2" t="s">
        <v>25</v>
      </c>
      <c r="H362" s="5">
        <f>AVERAGEIFS('Data Combined - all-runs'!$H:$H, 'Data Combined - all-runs'!$A:$A, A362,'Data Combined - all-runs'!$B:$B, B362,'Data Combined - all-runs'!$C:$C, C362, 'Data Combined - all-runs'!$D:$D, D362, 'Data Combined - all-runs'!$E:$E, E362)</f>
        <v>629.3333333</v>
      </c>
      <c r="I362" s="5" t="str">
        <f>AVERAGEIFS('Data Combined - all-runs'!$I:$I, 'Data Combined - all-runs'!$A:$A, A362,'Data Combined - all-runs'!$B:$B, B362,'Data Combined - all-runs'!$C:$C, C362, 'Data Combined - all-runs'!$D:$D, D362, 'Data Combined - all-runs'!$E:$E, E362)</f>
        <v>#DIV/0!</v>
      </c>
      <c r="J362" s="5">
        <f>AVERAGEIFS('Data Combined - all-runs'!$J:$J, 'Data Combined - all-runs'!$A:$A, A362,'Data Combined - all-runs'!$B:$B, B362,'Data Combined - all-runs'!$C:$C, C362, 'Data Combined - all-runs'!$D:$D, D362, 'Data Combined - all-runs'!$E:$E, E362)</f>
        <v>0</v>
      </c>
      <c r="K362" s="5">
        <f>AVERAGEIFS('Data Combined - all-runs'!$K:$K, 'Data Combined - all-runs'!$A:$A, A362,'Data Combined - all-runs'!$B:$B, B362,'Data Combined - all-runs'!$C:$C, C362, 'Data Combined - all-runs'!$D:$D, D362, 'Data Combined - all-runs'!$E:$E, E362)</f>
        <v>0.3886662446</v>
      </c>
      <c r="L362" s="5">
        <f>AVERAGEIFS('Data Combined - all-runs'!$L:$L, 'Data Combined - all-runs'!$A:$A, A362,'Data Combined - all-runs'!$B:$B, B362,'Data Combined - all-runs'!$C:$C, C362, 'Data Combined - all-runs'!$D:$D, D362, 'Data Combined - all-runs'!$E:$E, E362)</f>
        <v>286.0639325</v>
      </c>
      <c r="M362" s="5">
        <f>AVERAGEIFS('Data Combined - all-runs'!$M:$M, 'Data Combined - all-runs'!$A:$A, A362,'Data Combined - all-runs'!$B:$B, B362,'Data Combined - all-runs'!$C:$C, C362, 'Data Combined - all-runs'!$D:$D, D362, 'Data Combined - all-runs'!$E:$E, E362)</f>
        <v>62</v>
      </c>
      <c r="N362" s="5">
        <f>AVERAGEIFS('Data Combined - all-runs'!$N:$N, 'Data Combined - all-runs'!$A:$A, A362,'Data Combined - all-runs'!$B:$B, B362,'Data Combined - all-runs'!$C:$C, C362, 'Data Combined - all-runs'!$D:$D, D362, 'Data Combined - all-runs'!$E:$E, E362)</f>
        <v>4.333333333</v>
      </c>
      <c r="O362" s="5">
        <f>AVERAGEIFS('Data Combined - all-runs'!$O:$O, 'Data Combined - all-runs'!$A:$A, A362,'Data Combined - all-runs'!$B:$B, B362,'Data Combined - all-runs'!$C:$C, C362, 'Data Combined - all-runs'!$D:$D, D362, 'Data Combined - all-runs'!$E:$E, E362)</f>
        <v>938.6666667</v>
      </c>
      <c r="P362" s="5">
        <f>AVERAGEIFS('Data Combined - all-runs'!$P:$P, 'Data Combined - all-runs'!$A:$A, A362,'Data Combined - all-runs'!$B:$B, B362,'Data Combined - all-runs'!$C:$C, C362, 'Data Combined - all-runs'!$D:$D, D362, 'Data Combined - all-runs'!$E:$E, E362)</f>
        <v>4.60381505</v>
      </c>
      <c r="Q362" s="5">
        <f>AVERAGEIFS('Data Combined - all-runs'!$Q:$Q, 'Data Combined - all-runs'!$A:$A, A362,'Data Combined - all-runs'!$B:$B, B362,'Data Combined - all-runs'!$C:$C, C362, 'Data Combined - all-runs'!$D:$D, D362, 'Data Combined - all-runs'!$E:$E, E362)</f>
        <v>667.585929</v>
      </c>
      <c r="R362" s="5">
        <f>AVERAGEIFS('Data Combined - all-runs'!$R:$R, 'Data Combined - all-runs'!$A:$A, A362,'Data Combined - all-runs'!$B:$B, B362,'Data Combined - all-runs'!$C:$C, C362, 'Data Combined - all-runs'!$D:$D, D362, 'Data Combined - all-runs'!$E:$E, E362)</f>
        <v>140.5333333</v>
      </c>
      <c r="S362" s="5">
        <f>AVERAGEIFS('Data Combined - all-runs'!$S:$S, 'Data Combined - all-runs'!$A:$A, A362,'Data Combined - all-runs'!$B:$B, B362,'Data Combined - all-runs'!$C:$C, C362, 'Data Combined - all-runs'!$D:$D, D362, 'Data Combined - all-runs'!$E:$E, E362)</f>
        <v>0</v>
      </c>
      <c r="T362" s="5" t="str">
        <f>AVERAGEIFS('Data Combined - all-runs'!$T:$T, 'Data Combined - all-runs'!$A:$A, A362,'Data Combined - all-runs'!$B:$B, B362,'Data Combined - all-runs'!$C:$C, C362, 'Data Combined - all-runs'!$D:$D, D362, 'Data Combined - all-runs'!$E:$E, E362)</f>
        <v>#DIV/0!</v>
      </c>
      <c r="U362" s="5" t="b">
        <f t="shared" si="1"/>
        <v>1</v>
      </c>
      <c r="V362" s="5" t="b">
        <f t="shared" si="2"/>
        <v>1</v>
      </c>
      <c r="W362" s="5" t="b">
        <f t="shared" si="3"/>
        <v>1</v>
      </c>
    </row>
    <row r="363">
      <c r="A363" s="2" t="s">
        <v>33</v>
      </c>
      <c r="B363" s="2" t="s">
        <v>114</v>
      </c>
      <c r="C363" s="2" t="s">
        <v>23</v>
      </c>
      <c r="D363" s="2" t="s">
        <v>24</v>
      </c>
      <c r="E363" s="2" t="s">
        <v>39</v>
      </c>
      <c r="H363" s="5">
        <f>AVERAGEIFS('Data Combined - all-runs'!$H:$H, 'Data Combined - all-runs'!$A:$A, A363,'Data Combined - all-runs'!$B:$B, B363,'Data Combined - all-runs'!$C:$C, C363, 'Data Combined - all-runs'!$D:$D, D363, 'Data Combined - all-runs'!$E:$E, E363)</f>
        <v>443.3333333</v>
      </c>
      <c r="I363" s="5" t="str">
        <f>AVERAGEIFS('Data Combined - all-runs'!$I:$I, 'Data Combined - all-runs'!$A:$A, A363,'Data Combined - all-runs'!$B:$B, B363,'Data Combined - all-runs'!$C:$C, C363, 'Data Combined - all-runs'!$D:$D, D363, 'Data Combined - all-runs'!$E:$E, E363)</f>
        <v>#DIV/0!</v>
      </c>
      <c r="J363" s="5">
        <f>AVERAGEIFS('Data Combined - all-runs'!$J:$J, 'Data Combined - all-runs'!$A:$A, A363,'Data Combined - all-runs'!$B:$B, B363,'Data Combined - all-runs'!$C:$C, C363, 'Data Combined - all-runs'!$D:$D, D363, 'Data Combined - all-runs'!$E:$E, E363)</f>
        <v>0</v>
      </c>
      <c r="K363" s="5">
        <f>AVERAGEIFS('Data Combined - all-runs'!$K:$K, 'Data Combined - all-runs'!$A:$A, A363,'Data Combined - all-runs'!$B:$B, B363,'Data Combined - all-runs'!$C:$C, C363, 'Data Combined - all-runs'!$D:$D, D363, 'Data Combined - all-runs'!$E:$E, E363)</f>
        <v>0.07583333333</v>
      </c>
      <c r="L363" s="5">
        <f>AVERAGEIFS('Data Combined - all-runs'!$L:$L, 'Data Combined - all-runs'!$A:$A, A363,'Data Combined - all-runs'!$B:$B, B363,'Data Combined - all-runs'!$C:$C, C363, 'Data Combined - all-runs'!$D:$D, D363, 'Data Combined - all-runs'!$E:$E, E363)</f>
        <v>395.8548995</v>
      </c>
      <c r="M363" s="5" t="str">
        <f>AVERAGEIFS('Data Combined - all-runs'!$M:$M, 'Data Combined - all-runs'!$A:$A, A363,'Data Combined - all-runs'!$B:$B, B363,'Data Combined - all-runs'!$C:$C, C363, 'Data Combined - all-runs'!$D:$D, D363, 'Data Combined - all-runs'!$E:$E, E363)</f>
        <v>#DIV/0!</v>
      </c>
      <c r="N363" s="5">
        <f>AVERAGEIFS('Data Combined - all-runs'!$N:$N, 'Data Combined - all-runs'!$A:$A, A363,'Data Combined - all-runs'!$B:$B, B363,'Data Combined - all-runs'!$C:$C, C363, 'Data Combined - all-runs'!$D:$D, D363, 'Data Combined - all-runs'!$E:$E, E363)</f>
        <v>0</v>
      </c>
      <c r="O363" s="5">
        <f>AVERAGEIFS('Data Combined - all-runs'!$O:$O, 'Data Combined - all-runs'!$A:$A, A363,'Data Combined - all-runs'!$B:$B, B363,'Data Combined - all-runs'!$C:$C, C363, 'Data Combined - all-runs'!$D:$D, D363, 'Data Combined - all-runs'!$E:$E, E363)</f>
        <v>500</v>
      </c>
      <c r="P363" s="5">
        <f>AVERAGEIFS('Data Combined - all-runs'!$P:$P, 'Data Combined - all-runs'!$A:$A, A363,'Data Combined - all-runs'!$B:$B, B363,'Data Combined - all-runs'!$C:$C, C363, 'Data Combined - all-runs'!$D:$D, D363, 'Data Combined - all-runs'!$E:$E, E363)</f>
        <v>0</v>
      </c>
      <c r="Q363" s="5">
        <f>AVERAGEIFS('Data Combined - all-runs'!$Q:$Q, 'Data Combined - all-runs'!$A:$A, A363,'Data Combined - all-runs'!$B:$B, B363,'Data Combined - all-runs'!$C:$C, C363, 'Data Combined - all-runs'!$D:$D, D363, 'Data Combined - all-runs'!$E:$E, E363)</f>
        <v>886.6666667</v>
      </c>
      <c r="R363" s="5" t="str">
        <f>AVERAGEIFS('Data Combined - all-runs'!$R:$R, 'Data Combined - all-runs'!$A:$A, A363,'Data Combined - all-runs'!$B:$B, B363,'Data Combined - all-runs'!$C:$C, C363, 'Data Combined - all-runs'!$D:$D, D363, 'Data Combined - all-runs'!$E:$E, E363)</f>
        <v>#DIV/0!</v>
      </c>
      <c r="S363" s="5">
        <f>AVERAGEIFS('Data Combined - all-runs'!$S:$S, 'Data Combined - all-runs'!$A:$A, A363,'Data Combined - all-runs'!$B:$B, B363,'Data Combined - all-runs'!$C:$C, C363, 'Data Combined - all-runs'!$D:$D, D363, 'Data Combined - all-runs'!$E:$E, E363)</f>
        <v>0</v>
      </c>
      <c r="T363" s="5" t="str">
        <f>AVERAGEIFS('Data Combined - all-runs'!$T:$T, 'Data Combined - all-runs'!$A:$A, A363,'Data Combined - all-runs'!$B:$B, B363,'Data Combined - all-runs'!$C:$C, C363, 'Data Combined - all-runs'!$D:$D, D363, 'Data Combined - all-runs'!$E:$E, E363)</f>
        <v>#DIV/0!</v>
      </c>
      <c r="U363" s="5" t="b">
        <f t="shared" si="1"/>
        <v>1</v>
      </c>
      <c r="V363" s="5" t="b">
        <f t="shared" si="2"/>
        <v>1</v>
      </c>
      <c r="W363" s="5" t="b">
        <f t="shared" si="3"/>
        <v>1</v>
      </c>
    </row>
    <row r="364">
      <c r="A364" s="2" t="s">
        <v>33</v>
      </c>
      <c r="B364" s="2" t="s">
        <v>114</v>
      </c>
      <c r="C364" s="2" t="s">
        <v>23</v>
      </c>
      <c r="D364" s="2" t="s">
        <v>24</v>
      </c>
      <c r="E364" s="2" t="s">
        <v>43</v>
      </c>
      <c r="H364" s="5">
        <f>AVERAGEIFS('Data Combined - all-runs'!$H:$H, 'Data Combined - all-runs'!$A:$A, A364,'Data Combined - all-runs'!$B:$B, B364,'Data Combined - all-runs'!$C:$C, C364, 'Data Combined - all-runs'!$D:$D, D364, 'Data Combined - all-runs'!$E:$E, E364)</f>
        <v>2430</v>
      </c>
      <c r="I364" s="5" t="str">
        <f>AVERAGEIFS('Data Combined - all-runs'!$I:$I, 'Data Combined - all-runs'!$A:$A, A364,'Data Combined - all-runs'!$B:$B, B364,'Data Combined - all-runs'!$C:$C, C364, 'Data Combined - all-runs'!$D:$D, D364, 'Data Combined - all-runs'!$E:$E, E364)</f>
        <v>#DIV/0!</v>
      </c>
      <c r="J364" s="5">
        <f>AVERAGEIFS('Data Combined - all-runs'!$J:$J, 'Data Combined - all-runs'!$A:$A, A364,'Data Combined - all-runs'!$B:$B, B364,'Data Combined - all-runs'!$C:$C, C364, 'Data Combined - all-runs'!$D:$D, D364, 'Data Combined - all-runs'!$E:$E, E364)</f>
        <v>0</v>
      </c>
      <c r="K364" s="5">
        <f>AVERAGEIFS('Data Combined - all-runs'!$K:$K, 'Data Combined - all-runs'!$A:$A, A364,'Data Combined - all-runs'!$B:$B, B364,'Data Combined - all-runs'!$C:$C, C364, 'Data Combined - all-runs'!$D:$D, D364, 'Data Combined - all-runs'!$E:$E, E364)</f>
        <v>0.1302008608</v>
      </c>
      <c r="L364" s="5">
        <f>AVERAGEIFS('Data Combined - all-runs'!$L:$L, 'Data Combined - all-runs'!$A:$A, A364,'Data Combined - all-runs'!$B:$B, B364,'Data Combined - all-runs'!$C:$C, C364, 'Data Combined - all-runs'!$D:$D, D364, 'Data Combined - all-runs'!$E:$E, E364)</f>
        <v>2148.520982</v>
      </c>
      <c r="M364" s="5">
        <f>AVERAGEIFS('Data Combined - all-runs'!$M:$M, 'Data Combined - all-runs'!$A:$A, A364,'Data Combined - all-runs'!$B:$B, B364,'Data Combined - all-runs'!$C:$C, C364, 'Data Combined - all-runs'!$D:$D, D364, 'Data Combined - all-runs'!$E:$E, E364)</f>
        <v>15</v>
      </c>
      <c r="N364" s="5">
        <f>AVERAGEIFS('Data Combined - all-runs'!$N:$N, 'Data Combined - all-runs'!$A:$A, A364,'Data Combined - all-runs'!$B:$B, B364,'Data Combined - all-runs'!$C:$C, C364, 'Data Combined - all-runs'!$D:$D, D364, 'Data Combined - all-runs'!$E:$E, E364)</f>
        <v>9</v>
      </c>
      <c r="O364" s="5">
        <f>AVERAGEIFS('Data Combined - all-runs'!$O:$O, 'Data Combined - all-runs'!$A:$A, A364,'Data Combined - all-runs'!$B:$B, B364,'Data Combined - all-runs'!$C:$C, C364, 'Data Combined - all-runs'!$D:$D, D364, 'Data Combined - all-runs'!$E:$E, E364)</f>
        <v>1394</v>
      </c>
      <c r="P364" s="5">
        <f>AVERAGEIFS('Data Combined - all-runs'!$P:$P, 'Data Combined - all-runs'!$A:$A, A364,'Data Combined - all-runs'!$B:$B, B364,'Data Combined - all-runs'!$C:$C, C364, 'Data Combined - all-runs'!$D:$D, D364, 'Data Combined - all-runs'!$E:$E, E364)</f>
        <v>6.456241033</v>
      </c>
      <c r="Q364" s="5">
        <f>AVERAGEIFS('Data Combined - all-runs'!$Q:$Q, 'Data Combined - all-runs'!$A:$A, A364,'Data Combined - all-runs'!$B:$B, B364,'Data Combined - all-runs'!$C:$C, C364, 'Data Combined - all-runs'!$D:$D, D364, 'Data Combined - all-runs'!$E:$E, E364)</f>
        <v>1743.185079</v>
      </c>
      <c r="R364" s="5">
        <f>AVERAGEIFS('Data Combined - all-runs'!$R:$R, 'Data Combined - all-runs'!$A:$A, A364,'Data Combined - all-runs'!$B:$B, B364,'Data Combined - all-runs'!$C:$C, C364, 'Data Combined - all-runs'!$D:$D, D364, 'Data Combined - all-runs'!$E:$E, E364)</f>
        <v>270</v>
      </c>
      <c r="S364" s="5">
        <f>AVERAGEIFS('Data Combined - all-runs'!$S:$S, 'Data Combined - all-runs'!$A:$A, A364,'Data Combined - all-runs'!$B:$B, B364,'Data Combined - all-runs'!$C:$C, C364, 'Data Combined - all-runs'!$D:$D, D364, 'Data Combined - all-runs'!$E:$E, E364)</f>
        <v>0</v>
      </c>
      <c r="T364" s="5" t="str">
        <f>AVERAGEIFS('Data Combined - all-runs'!$T:$T, 'Data Combined - all-runs'!$A:$A, A364,'Data Combined - all-runs'!$B:$B, B364,'Data Combined - all-runs'!$C:$C, C364, 'Data Combined - all-runs'!$D:$D, D364, 'Data Combined - all-runs'!$E:$E, E364)</f>
        <v>#DIV/0!</v>
      </c>
      <c r="U364" s="5" t="b">
        <f t="shared" si="1"/>
        <v>1</v>
      </c>
      <c r="V364" s="5" t="b">
        <f t="shared" si="2"/>
        <v>1</v>
      </c>
      <c r="W364" s="5" t="b">
        <f t="shared" si="3"/>
        <v>1</v>
      </c>
    </row>
    <row r="365">
      <c r="A365" s="2" t="s">
        <v>33</v>
      </c>
      <c r="B365" s="2" t="s">
        <v>114</v>
      </c>
      <c r="C365" s="2" t="s">
        <v>23</v>
      </c>
      <c r="D365" s="2" t="s">
        <v>24</v>
      </c>
      <c r="E365" s="2" t="s">
        <v>34</v>
      </c>
      <c r="H365" s="5">
        <f>AVERAGEIFS('Data Combined - all-runs'!$H:$H, 'Data Combined - all-runs'!$A:$A, A365,'Data Combined - all-runs'!$B:$B, B365,'Data Combined - all-runs'!$C:$C, C365, 'Data Combined - all-runs'!$D:$D, D365, 'Data Combined - all-runs'!$E:$E, E365)</f>
        <v>2298</v>
      </c>
      <c r="I365" s="5" t="str">
        <f>AVERAGEIFS('Data Combined - all-runs'!$I:$I, 'Data Combined - all-runs'!$A:$A, A365,'Data Combined - all-runs'!$B:$B, B365,'Data Combined - all-runs'!$C:$C, C365, 'Data Combined - all-runs'!$D:$D, D365, 'Data Combined - all-runs'!$E:$E, E365)</f>
        <v>#DIV/0!</v>
      </c>
      <c r="J365" s="5">
        <f>AVERAGEIFS('Data Combined - all-runs'!$J:$J, 'Data Combined - all-runs'!$A:$A, A365,'Data Combined - all-runs'!$B:$B, B365,'Data Combined - all-runs'!$C:$C, C365, 'Data Combined - all-runs'!$D:$D, D365, 'Data Combined - all-runs'!$E:$E, E365)</f>
        <v>0</v>
      </c>
      <c r="K365" s="5">
        <f>AVERAGEIFS('Data Combined - all-runs'!$K:$K, 'Data Combined - all-runs'!$A:$A, A365,'Data Combined - all-runs'!$B:$B, B365,'Data Combined - all-runs'!$C:$C, C365, 'Data Combined - all-runs'!$D:$D, D365, 'Data Combined - all-runs'!$E:$E, E365)</f>
        <v>0.3142649199</v>
      </c>
      <c r="L365" s="5">
        <f>AVERAGEIFS('Data Combined - all-runs'!$L:$L, 'Data Combined - all-runs'!$A:$A, A365,'Data Combined - all-runs'!$B:$B, B365,'Data Combined - all-runs'!$C:$C, C365, 'Data Combined - all-runs'!$D:$D, D365, 'Data Combined - all-runs'!$E:$E, E365)</f>
        <v>1469.388585</v>
      </c>
      <c r="M365" s="5">
        <f>AVERAGEIFS('Data Combined - all-runs'!$M:$M, 'Data Combined - all-runs'!$A:$A, A365,'Data Combined - all-runs'!$B:$B, B365,'Data Combined - all-runs'!$C:$C, C365, 'Data Combined - all-runs'!$D:$D, D365, 'Data Combined - all-runs'!$E:$E, E365)</f>
        <v>106</v>
      </c>
      <c r="N365" s="5">
        <f>AVERAGEIFS('Data Combined - all-runs'!$N:$N, 'Data Combined - all-runs'!$A:$A, A365,'Data Combined - all-runs'!$B:$B, B365,'Data Combined - all-runs'!$C:$C, C365, 'Data Combined - all-runs'!$D:$D, D365, 'Data Combined - all-runs'!$E:$E, E365)</f>
        <v>7</v>
      </c>
      <c r="O365" s="5">
        <f>AVERAGEIFS('Data Combined - all-runs'!$O:$O, 'Data Combined - all-runs'!$A:$A, A365,'Data Combined - all-runs'!$B:$B, B365,'Data Combined - all-runs'!$C:$C, C365, 'Data Combined - all-runs'!$D:$D, D365, 'Data Combined - all-runs'!$E:$E, E365)</f>
        <v>1145</v>
      </c>
      <c r="P365" s="5">
        <f>AVERAGEIFS('Data Combined - all-runs'!$P:$P, 'Data Combined - all-runs'!$A:$A, A365,'Data Combined - all-runs'!$B:$B, B365,'Data Combined - all-runs'!$C:$C, C365, 'Data Combined - all-runs'!$D:$D, D365, 'Data Combined - all-runs'!$E:$E, E365)</f>
        <v>6.113537118</v>
      </c>
      <c r="Q365" s="5">
        <f>AVERAGEIFS('Data Combined - all-runs'!$Q:$Q, 'Data Combined - all-runs'!$A:$A, A365,'Data Combined - all-runs'!$B:$B, B365,'Data Combined - all-runs'!$C:$C, C365, 'Data Combined - all-runs'!$D:$D, D365, 'Data Combined - all-runs'!$E:$E, E365)</f>
        <v>2006.9869</v>
      </c>
      <c r="R365" s="5">
        <f>AVERAGEIFS('Data Combined - all-runs'!$R:$R, 'Data Combined - all-runs'!$A:$A, A365,'Data Combined - all-runs'!$B:$B, B365,'Data Combined - all-runs'!$C:$C, C365, 'Data Combined - all-runs'!$D:$D, D365, 'Data Combined - all-runs'!$E:$E, E365)</f>
        <v>328.2857143</v>
      </c>
      <c r="S365" s="5">
        <f>AVERAGEIFS('Data Combined - all-runs'!$S:$S, 'Data Combined - all-runs'!$A:$A, A365,'Data Combined - all-runs'!$B:$B, B365,'Data Combined - all-runs'!$C:$C, C365, 'Data Combined - all-runs'!$D:$D, D365, 'Data Combined - all-runs'!$E:$E, E365)</f>
        <v>0</v>
      </c>
      <c r="T365" s="5" t="str">
        <f>AVERAGEIFS('Data Combined - all-runs'!$T:$T, 'Data Combined - all-runs'!$A:$A, A365,'Data Combined - all-runs'!$B:$B, B365,'Data Combined - all-runs'!$C:$C, C365, 'Data Combined - all-runs'!$D:$D, D365, 'Data Combined - all-runs'!$E:$E, E365)</f>
        <v>#DIV/0!</v>
      </c>
      <c r="U365" s="5" t="b">
        <f t="shared" si="1"/>
        <v>1</v>
      </c>
      <c r="V365" s="5" t="b">
        <f t="shared" si="2"/>
        <v>1</v>
      </c>
      <c r="W365" s="5" t="b">
        <f t="shared" si="3"/>
        <v>1</v>
      </c>
    </row>
    <row r="366">
      <c r="A366" s="2" t="s">
        <v>33</v>
      </c>
      <c r="B366" s="2" t="s">
        <v>114</v>
      </c>
      <c r="C366" s="2" t="s">
        <v>23</v>
      </c>
      <c r="D366" s="2" t="s">
        <v>24</v>
      </c>
      <c r="E366" s="2" t="s">
        <v>47</v>
      </c>
      <c r="H366" s="5">
        <f>AVERAGEIFS('Data Combined - all-runs'!$H:$H, 'Data Combined - all-runs'!$A:$A, A366,'Data Combined - all-runs'!$B:$B, B366,'Data Combined - all-runs'!$C:$C, C366, 'Data Combined - all-runs'!$D:$D, D366, 'Data Combined - all-runs'!$E:$E, E366)</f>
        <v>3364.333333</v>
      </c>
      <c r="I366" s="5" t="str">
        <f>AVERAGEIFS('Data Combined - all-runs'!$I:$I, 'Data Combined - all-runs'!$A:$A, A366,'Data Combined - all-runs'!$B:$B, B366,'Data Combined - all-runs'!$C:$C, C366, 'Data Combined - all-runs'!$D:$D, D366, 'Data Combined - all-runs'!$E:$E, E366)</f>
        <v>#DIV/0!</v>
      </c>
      <c r="J366" s="5">
        <f>AVERAGEIFS('Data Combined - all-runs'!$J:$J, 'Data Combined - all-runs'!$A:$A, A366,'Data Combined - all-runs'!$B:$B, B366,'Data Combined - all-runs'!$C:$C, C366, 'Data Combined - all-runs'!$D:$D, D366, 'Data Combined - all-runs'!$E:$E, E366)</f>
        <v>0</v>
      </c>
      <c r="K366" s="5">
        <f>AVERAGEIFS('Data Combined - all-runs'!$K:$K, 'Data Combined - all-runs'!$A:$A, A366,'Data Combined - all-runs'!$B:$B, B366,'Data Combined - all-runs'!$C:$C, C366, 'Data Combined - all-runs'!$D:$D, D366, 'Data Combined - all-runs'!$E:$E, E366)</f>
        <v>0.1599255326</v>
      </c>
      <c r="L366" s="5">
        <f>AVERAGEIFS('Data Combined - all-runs'!$L:$L, 'Data Combined - all-runs'!$A:$A, A366,'Data Combined - all-runs'!$B:$B, B366,'Data Combined - all-runs'!$C:$C, C366, 'Data Combined - all-runs'!$D:$D, D366, 'Data Combined - all-runs'!$E:$E, E366)</f>
        <v>4082.39449</v>
      </c>
      <c r="M366" s="5">
        <f>AVERAGEIFS('Data Combined - all-runs'!$M:$M, 'Data Combined - all-runs'!$A:$A, A366,'Data Combined - all-runs'!$B:$B, B366,'Data Combined - all-runs'!$C:$C, C366, 'Data Combined - all-runs'!$D:$D, D366, 'Data Combined - all-runs'!$E:$E, E366)</f>
        <v>50.66666667</v>
      </c>
      <c r="N366" s="5">
        <f>AVERAGEIFS('Data Combined - all-runs'!$N:$N, 'Data Combined - all-runs'!$A:$A, A366,'Data Combined - all-runs'!$B:$B, B366,'Data Combined - all-runs'!$C:$C, C366, 'Data Combined - all-runs'!$D:$D, D366, 'Data Combined - all-runs'!$E:$E, E366)</f>
        <v>11</v>
      </c>
      <c r="O366" s="5">
        <f>AVERAGEIFS('Data Combined - all-runs'!$O:$O, 'Data Combined - all-runs'!$A:$A, A366,'Data Combined - all-runs'!$B:$B, B366,'Data Combined - all-runs'!$C:$C, C366, 'Data Combined - all-runs'!$D:$D, D366, 'Data Combined - all-runs'!$E:$E, E366)</f>
        <v>1159.333333</v>
      </c>
      <c r="P366" s="5">
        <f>AVERAGEIFS('Data Combined - all-runs'!$P:$P, 'Data Combined - all-runs'!$A:$A, A366,'Data Combined - all-runs'!$B:$B, B366,'Data Combined - all-runs'!$C:$C, C366, 'Data Combined - all-runs'!$D:$D, D366, 'Data Combined - all-runs'!$E:$E, E366)</f>
        <v>8.890959838</v>
      </c>
      <c r="Q366" s="5">
        <f>AVERAGEIFS('Data Combined - all-runs'!$Q:$Q, 'Data Combined - all-runs'!$A:$A, A366,'Data Combined - all-runs'!$B:$B, B366,'Data Combined - all-runs'!$C:$C, C366, 'Data Combined - all-runs'!$D:$D, D366, 'Data Combined - all-runs'!$E:$E, E366)</f>
        <v>2849.828085</v>
      </c>
      <c r="R366" s="5">
        <f>AVERAGEIFS('Data Combined - all-runs'!$R:$R, 'Data Combined - all-runs'!$A:$A, A366,'Data Combined - all-runs'!$B:$B, B366,'Data Combined - all-runs'!$C:$C, C366, 'Data Combined - all-runs'!$D:$D, D366, 'Data Combined - all-runs'!$E:$E, E366)</f>
        <v>342.8910256</v>
      </c>
      <c r="S366" s="5">
        <f>AVERAGEIFS('Data Combined - all-runs'!$S:$S, 'Data Combined - all-runs'!$A:$A, A366,'Data Combined - all-runs'!$B:$B, B366,'Data Combined - all-runs'!$C:$C, C366, 'Data Combined - all-runs'!$D:$D, D366, 'Data Combined - all-runs'!$E:$E, E366)</f>
        <v>0</v>
      </c>
      <c r="T366" s="5" t="str">
        <f>AVERAGEIFS('Data Combined - all-runs'!$T:$T, 'Data Combined - all-runs'!$A:$A, A366,'Data Combined - all-runs'!$B:$B, B366,'Data Combined - all-runs'!$C:$C, C366, 'Data Combined - all-runs'!$D:$D, D366, 'Data Combined - all-runs'!$E:$E, E366)</f>
        <v>#DIV/0!</v>
      </c>
      <c r="U366" s="5" t="b">
        <f t="shared" si="1"/>
        <v>1</v>
      </c>
      <c r="V366" s="5" t="b">
        <f t="shared" si="2"/>
        <v>1</v>
      </c>
      <c r="W366" s="5" t="b">
        <f t="shared" si="3"/>
        <v>1</v>
      </c>
    </row>
    <row r="367">
      <c r="A367" s="2" t="s">
        <v>33</v>
      </c>
      <c r="B367" s="2" t="s">
        <v>114</v>
      </c>
      <c r="C367" s="2" t="s">
        <v>23</v>
      </c>
      <c r="D367" s="2" t="s">
        <v>24</v>
      </c>
      <c r="E367" s="2" t="s">
        <v>51</v>
      </c>
      <c r="H367" s="5">
        <f>AVERAGEIFS('Data Combined - all-runs'!$H:$H, 'Data Combined - all-runs'!$A:$A, A367,'Data Combined - all-runs'!$B:$B, B367,'Data Combined - all-runs'!$C:$C, C367, 'Data Combined - all-runs'!$D:$D, D367, 'Data Combined - all-runs'!$E:$E, E367)</f>
        <v>1875</v>
      </c>
      <c r="I367" s="5" t="str">
        <f>AVERAGEIFS('Data Combined - all-runs'!$I:$I, 'Data Combined - all-runs'!$A:$A, A367,'Data Combined - all-runs'!$B:$B, B367,'Data Combined - all-runs'!$C:$C, C367, 'Data Combined - all-runs'!$D:$D, D367, 'Data Combined - all-runs'!$E:$E, E367)</f>
        <v>#DIV/0!</v>
      </c>
      <c r="J367" s="5">
        <f>AVERAGEIFS('Data Combined - all-runs'!$J:$J, 'Data Combined - all-runs'!$A:$A, A367,'Data Combined - all-runs'!$B:$B, B367,'Data Combined - all-runs'!$C:$C, C367, 'Data Combined - all-runs'!$D:$D, D367, 'Data Combined - all-runs'!$E:$E, E367)</f>
        <v>0</v>
      </c>
      <c r="K367" s="5">
        <f>AVERAGEIFS('Data Combined - all-runs'!$K:$K, 'Data Combined - all-runs'!$A:$A, A367,'Data Combined - all-runs'!$B:$B, B367,'Data Combined - all-runs'!$C:$C, C367, 'Data Combined - all-runs'!$D:$D, D367, 'Data Combined - all-runs'!$E:$E, E367)</f>
        <v>0.002911208151</v>
      </c>
      <c r="L367" s="5">
        <f>AVERAGEIFS('Data Combined - all-runs'!$L:$L, 'Data Combined - all-runs'!$A:$A, A367,'Data Combined - all-runs'!$B:$B, B367,'Data Combined - all-runs'!$C:$C, C367, 'Data Combined - all-runs'!$D:$D, D367, 'Data Combined - all-runs'!$E:$E, E367)</f>
        <v>4219.129161</v>
      </c>
      <c r="M367" s="5">
        <f>AVERAGEIFS('Data Combined - all-runs'!$M:$M, 'Data Combined - all-runs'!$A:$A, A367,'Data Combined - all-runs'!$B:$B, B367,'Data Combined - all-runs'!$C:$C, C367, 'Data Combined - all-runs'!$D:$D, D367, 'Data Combined - all-runs'!$E:$E, E367)</f>
        <v>43</v>
      </c>
      <c r="N367" s="5">
        <f>AVERAGEIFS('Data Combined - all-runs'!$N:$N, 'Data Combined - all-runs'!$A:$A, A367,'Data Combined - all-runs'!$B:$B, B367,'Data Combined - all-runs'!$C:$C, C367, 'Data Combined - all-runs'!$D:$D, D367, 'Data Combined - all-runs'!$E:$E, E367)</f>
        <v>4</v>
      </c>
      <c r="O367" s="5">
        <f>AVERAGEIFS('Data Combined - all-runs'!$O:$O, 'Data Combined - all-runs'!$A:$A, A367,'Data Combined - all-runs'!$B:$B, B367,'Data Combined - all-runs'!$C:$C, C367, 'Data Combined - all-runs'!$D:$D, D367, 'Data Combined - all-runs'!$E:$E, E367)</f>
        <v>687</v>
      </c>
      <c r="P367" s="5">
        <f>AVERAGEIFS('Data Combined - all-runs'!$P:$P, 'Data Combined - all-runs'!$A:$A, A367,'Data Combined - all-runs'!$B:$B, B367,'Data Combined - all-runs'!$C:$C, C367, 'Data Combined - all-runs'!$D:$D, D367, 'Data Combined - all-runs'!$E:$E, E367)</f>
        <v>5.822416303</v>
      </c>
      <c r="Q367" s="5">
        <f>AVERAGEIFS('Data Combined - all-runs'!$Q:$Q, 'Data Combined - all-runs'!$A:$A, A367,'Data Combined - all-runs'!$B:$B, B367,'Data Combined - all-runs'!$C:$C, C367, 'Data Combined - all-runs'!$D:$D, D367, 'Data Combined - all-runs'!$E:$E, E367)</f>
        <v>2729.257642</v>
      </c>
      <c r="R367" s="5">
        <f>AVERAGEIFS('Data Combined - all-runs'!$R:$R, 'Data Combined - all-runs'!$A:$A, A367,'Data Combined - all-runs'!$B:$B, B367,'Data Combined - all-runs'!$C:$C, C367, 'Data Combined - all-runs'!$D:$D, D367, 'Data Combined - all-runs'!$E:$E, E367)</f>
        <v>468.75</v>
      </c>
      <c r="S367" s="5">
        <f>AVERAGEIFS('Data Combined - all-runs'!$S:$S, 'Data Combined - all-runs'!$A:$A, A367,'Data Combined - all-runs'!$B:$B, B367,'Data Combined - all-runs'!$C:$C, C367, 'Data Combined - all-runs'!$D:$D, D367, 'Data Combined - all-runs'!$E:$E, E367)</f>
        <v>0</v>
      </c>
      <c r="T367" s="5" t="str">
        <f>AVERAGEIFS('Data Combined - all-runs'!$T:$T, 'Data Combined - all-runs'!$A:$A, A367,'Data Combined - all-runs'!$B:$B, B367,'Data Combined - all-runs'!$C:$C, C367, 'Data Combined - all-runs'!$D:$D, D367, 'Data Combined - all-runs'!$E:$E, E367)</f>
        <v>#DIV/0!</v>
      </c>
      <c r="U367" s="5" t="b">
        <f t="shared" si="1"/>
        <v>1</v>
      </c>
      <c r="V367" s="5" t="b">
        <f t="shared" si="2"/>
        <v>1</v>
      </c>
      <c r="W367" s="5" t="b">
        <f t="shared" si="3"/>
        <v>1</v>
      </c>
    </row>
    <row r="368">
      <c r="A368" s="2" t="s">
        <v>33</v>
      </c>
      <c r="B368" s="2" t="s">
        <v>114</v>
      </c>
      <c r="C368" s="2" t="s">
        <v>23</v>
      </c>
      <c r="D368" s="2" t="s">
        <v>54</v>
      </c>
      <c r="E368" s="2" t="s">
        <v>25</v>
      </c>
      <c r="H368" s="5">
        <f>AVERAGEIFS('Data Combined - all-runs'!$H:$H, 'Data Combined - all-runs'!$A:$A, A368,'Data Combined - all-runs'!$B:$B, B368,'Data Combined - all-runs'!$C:$C, C368, 'Data Combined - all-runs'!$D:$D, D368, 'Data Combined - all-runs'!$E:$E, E368)</f>
        <v>819</v>
      </c>
      <c r="I368" s="5" t="str">
        <f>AVERAGEIFS('Data Combined - all-runs'!$I:$I, 'Data Combined - all-runs'!$A:$A, A368,'Data Combined - all-runs'!$B:$B, B368,'Data Combined - all-runs'!$C:$C, C368, 'Data Combined - all-runs'!$D:$D, D368, 'Data Combined - all-runs'!$E:$E, E368)</f>
        <v>#DIV/0!</v>
      </c>
      <c r="J368" s="5">
        <f>AVERAGEIFS('Data Combined - all-runs'!$J:$J, 'Data Combined - all-runs'!$A:$A, A368,'Data Combined - all-runs'!$B:$B, B368,'Data Combined - all-runs'!$C:$C, C368, 'Data Combined - all-runs'!$D:$D, D368, 'Data Combined - all-runs'!$E:$E, E368)</f>
        <v>0</v>
      </c>
      <c r="K368" s="5">
        <f>AVERAGEIFS('Data Combined - all-runs'!$K:$K, 'Data Combined - all-runs'!$A:$A, A368,'Data Combined - all-runs'!$B:$B, B368,'Data Combined - all-runs'!$C:$C, C368, 'Data Combined - all-runs'!$D:$D, D368, 'Data Combined - all-runs'!$E:$E, E368)</f>
        <v>0.1094249201</v>
      </c>
      <c r="L368" s="5">
        <f>AVERAGEIFS('Data Combined - all-runs'!$L:$L, 'Data Combined - all-runs'!$A:$A, A368,'Data Combined - all-runs'!$B:$B, B368,'Data Combined - all-runs'!$C:$C, C368, 'Data Combined - all-runs'!$D:$D, D368, 'Data Combined - all-runs'!$E:$E, E368)</f>
        <v>610.104316</v>
      </c>
      <c r="M368" s="5">
        <f>AVERAGEIFS('Data Combined - all-runs'!$M:$M, 'Data Combined - all-runs'!$A:$A, A368,'Data Combined - all-runs'!$B:$B, B368,'Data Combined - all-runs'!$C:$C, C368, 'Data Combined - all-runs'!$D:$D, D368, 'Data Combined - all-runs'!$E:$E, E368)</f>
        <v>37</v>
      </c>
      <c r="N368" s="5">
        <f>AVERAGEIFS('Data Combined - all-runs'!$N:$N, 'Data Combined - all-runs'!$A:$A, A368,'Data Combined - all-runs'!$B:$B, B368,'Data Combined - all-runs'!$C:$C, C368, 'Data Combined - all-runs'!$D:$D, D368, 'Data Combined - all-runs'!$E:$E, E368)</f>
        <v>11</v>
      </c>
      <c r="O368" s="5">
        <f>AVERAGEIFS('Data Combined - all-runs'!$O:$O, 'Data Combined - all-runs'!$A:$A, A368,'Data Combined - all-runs'!$B:$B, B368,'Data Combined - all-runs'!$C:$C, C368, 'Data Combined - all-runs'!$D:$D, D368, 'Data Combined - all-runs'!$E:$E, E368)</f>
        <v>1252</v>
      </c>
      <c r="P368" s="5">
        <f>AVERAGEIFS('Data Combined - all-runs'!$P:$P, 'Data Combined - all-runs'!$A:$A, A368,'Data Combined - all-runs'!$B:$B, B368,'Data Combined - all-runs'!$C:$C, C368, 'Data Combined - all-runs'!$D:$D, D368, 'Data Combined - all-runs'!$E:$E, E368)</f>
        <v>8.785942492</v>
      </c>
      <c r="Q368" s="5">
        <f>AVERAGEIFS('Data Combined - all-runs'!$Q:$Q, 'Data Combined - all-runs'!$A:$A, A368,'Data Combined - all-runs'!$B:$B, B368,'Data Combined - all-runs'!$C:$C, C368, 'Data Combined - all-runs'!$D:$D, D368, 'Data Combined - all-runs'!$E:$E, E368)</f>
        <v>654.1533546</v>
      </c>
      <c r="R368" s="5">
        <f>AVERAGEIFS('Data Combined - all-runs'!$R:$R, 'Data Combined - all-runs'!$A:$A, A368,'Data Combined - all-runs'!$B:$B, B368,'Data Combined - all-runs'!$C:$C, C368, 'Data Combined - all-runs'!$D:$D, D368, 'Data Combined - all-runs'!$E:$E, E368)</f>
        <v>74.45454545</v>
      </c>
      <c r="S368" s="5">
        <f>AVERAGEIFS('Data Combined - all-runs'!$S:$S, 'Data Combined - all-runs'!$A:$A, A368,'Data Combined - all-runs'!$B:$B, B368,'Data Combined - all-runs'!$C:$C, C368, 'Data Combined - all-runs'!$D:$D, D368, 'Data Combined - all-runs'!$E:$E, E368)</f>
        <v>0</v>
      </c>
      <c r="T368" s="5" t="str">
        <f>AVERAGEIFS('Data Combined - all-runs'!$T:$T, 'Data Combined - all-runs'!$A:$A, A368,'Data Combined - all-runs'!$B:$B, B368,'Data Combined - all-runs'!$C:$C, C368, 'Data Combined - all-runs'!$D:$D, D368, 'Data Combined - all-runs'!$E:$E, E368)</f>
        <v>#DIV/0!</v>
      </c>
      <c r="U368" s="5" t="b">
        <f t="shared" si="1"/>
        <v>1</v>
      </c>
      <c r="V368" s="5" t="b">
        <f t="shared" si="2"/>
        <v>1</v>
      </c>
      <c r="W368" s="5" t="b">
        <f t="shared" si="3"/>
        <v>1</v>
      </c>
    </row>
    <row r="369">
      <c r="A369" s="2" t="s">
        <v>33</v>
      </c>
      <c r="B369" s="2" t="s">
        <v>114</v>
      </c>
      <c r="C369" s="2" t="s">
        <v>23</v>
      </c>
      <c r="D369" s="2" t="s">
        <v>54</v>
      </c>
      <c r="E369" s="2" t="s">
        <v>39</v>
      </c>
      <c r="H369" s="5">
        <f>AVERAGEIFS('Data Combined - all-runs'!$H:$H, 'Data Combined - all-runs'!$A:$A, A369,'Data Combined - all-runs'!$B:$B, B369,'Data Combined - all-runs'!$C:$C, C369, 'Data Combined - all-runs'!$D:$D, D369, 'Data Combined - all-runs'!$E:$E, E369)</f>
        <v>1989</v>
      </c>
      <c r="I369" s="5" t="str">
        <f>AVERAGEIFS('Data Combined - all-runs'!$I:$I, 'Data Combined - all-runs'!$A:$A, A369,'Data Combined - all-runs'!$B:$B, B369,'Data Combined - all-runs'!$C:$C, C369, 'Data Combined - all-runs'!$D:$D, D369, 'Data Combined - all-runs'!$E:$E, E369)</f>
        <v>#DIV/0!</v>
      </c>
      <c r="J369" s="5">
        <f>AVERAGEIFS('Data Combined - all-runs'!$J:$J, 'Data Combined - all-runs'!$A:$A, A369,'Data Combined - all-runs'!$B:$B, B369,'Data Combined - all-runs'!$C:$C, C369, 'Data Combined - all-runs'!$D:$D, D369, 'Data Combined - all-runs'!$E:$E, E369)</f>
        <v>0</v>
      </c>
      <c r="K369" s="5">
        <f>AVERAGEIFS('Data Combined - all-runs'!$K:$K, 'Data Combined - all-runs'!$A:$A, A369,'Data Combined - all-runs'!$B:$B, B369,'Data Combined - all-runs'!$C:$C, C369, 'Data Combined - all-runs'!$D:$D, D369, 'Data Combined - all-runs'!$E:$E, E369)</f>
        <v>0.05579399142</v>
      </c>
      <c r="L369" s="5">
        <f>AVERAGEIFS('Data Combined - all-runs'!$L:$L, 'Data Combined - all-runs'!$A:$A, A369,'Data Combined - all-runs'!$B:$B, B369,'Data Combined - all-runs'!$C:$C, C369, 'Data Combined - all-runs'!$D:$D, D369, 'Data Combined - all-runs'!$E:$E, E369)</f>
        <v>2118.923899</v>
      </c>
      <c r="M369" s="5">
        <f>AVERAGEIFS('Data Combined - all-runs'!$M:$M, 'Data Combined - all-runs'!$A:$A, A369,'Data Combined - all-runs'!$B:$B, B369,'Data Combined - all-runs'!$C:$C, C369, 'Data Combined - all-runs'!$D:$D, D369, 'Data Combined - all-runs'!$E:$E, E369)</f>
        <v>44</v>
      </c>
      <c r="N369" s="5">
        <f>AVERAGEIFS('Data Combined - all-runs'!$N:$N, 'Data Combined - all-runs'!$A:$A, A369,'Data Combined - all-runs'!$B:$B, B369,'Data Combined - all-runs'!$C:$C, C369, 'Data Combined - all-runs'!$D:$D, D369, 'Data Combined - all-runs'!$E:$E, E369)</f>
        <v>10</v>
      </c>
      <c r="O369" s="5">
        <f>AVERAGEIFS('Data Combined - all-runs'!$O:$O, 'Data Combined - all-runs'!$A:$A, A369,'Data Combined - all-runs'!$B:$B, B369,'Data Combined - all-runs'!$C:$C, C369, 'Data Combined - all-runs'!$D:$D, D369, 'Data Combined - all-runs'!$E:$E, E369)</f>
        <v>1165</v>
      </c>
      <c r="P369" s="5">
        <f>AVERAGEIFS('Data Combined - all-runs'!$P:$P, 'Data Combined - all-runs'!$A:$A, A369,'Data Combined - all-runs'!$B:$B, B369,'Data Combined - all-runs'!$C:$C, C369, 'Data Combined - all-runs'!$D:$D, D369, 'Data Combined - all-runs'!$E:$E, E369)</f>
        <v>8.583690987</v>
      </c>
      <c r="Q369" s="5">
        <f>AVERAGEIFS('Data Combined - all-runs'!$Q:$Q, 'Data Combined - all-runs'!$A:$A, A369,'Data Combined - all-runs'!$B:$B, B369,'Data Combined - all-runs'!$C:$C, C369, 'Data Combined - all-runs'!$D:$D, D369, 'Data Combined - all-runs'!$E:$E, E369)</f>
        <v>1707.296137</v>
      </c>
      <c r="R369" s="5">
        <f>AVERAGEIFS('Data Combined - all-runs'!$R:$R, 'Data Combined - all-runs'!$A:$A, A369,'Data Combined - all-runs'!$B:$B, B369,'Data Combined - all-runs'!$C:$C, C369, 'Data Combined - all-runs'!$D:$D, D369, 'Data Combined - all-runs'!$E:$E, E369)</f>
        <v>198.9</v>
      </c>
      <c r="S369" s="5">
        <f>AVERAGEIFS('Data Combined - all-runs'!$S:$S, 'Data Combined - all-runs'!$A:$A, A369,'Data Combined - all-runs'!$B:$B, B369,'Data Combined - all-runs'!$C:$C, C369, 'Data Combined - all-runs'!$D:$D, D369, 'Data Combined - all-runs'!$E:$E, E369)</f>
        <v>0</v>
      </c>
      <c r="T369" s="5" t="str">
        <f>AVERAGEIFS('Data Combined - all-runs'!$T:$T, 'Data Combined - all-runs'!$A:$A, A369,'Data Combined - all-runs'!$B:$B, B369,'Data Combined - all-runs'!$C:$C, C369, 'Data Combined - all-runs'!$D:$D, D369, 'Data Combined - all-runs'!$E:$E, E369)</f>
        <v>#DIV/0!</v>
      </c>
      <c r="U369" s="5" t="b">
        <f t="shared" si="1"/>
        <v>1</v>
      </c>
      <c r="V369" s="5" t="b">
        <f t="shared" si="2"/>
        <v>1</v>
      </c>
      <c r="W369" s="5" t="b">
        <f t="shared" si="3"/>
        <v>1</v>
      </c>
    </row>
    <row r="370">
      <c r="A370" s="2" t="s">
        <v>33</v>
      </c>
      <c r="B370" s="2" t="s">
        <v>114</v>
      </c>
      <c r="C370" s="2" t="s">
        <v>23</v>
      </c>
      <c r="D370" s="2" t="s">
        <v>54</v>
      </c>
      <c r="E370" s="2" t="s">
        <v>43</v>
      </c>
      <c r="H370" s="5">
        <f>AVERAGEIFS('Data Combined - all-runs'!$H:$H, 'Data Combined - all-runs'!$A:$A, A370,'Data Combined - all-runs'!$B:$B, B370,'Data Combined - all-runs'!$C:$C, C370, 'Data Combined - all-runs'!$D:$D, D370, 'Data Combined - all-runs'!$E:$E, E370)</f>
        <v>2633</v>
      </c>
      <c r="I370" s="5" t="str">
        <f>AVERAGEIFS('Data Combined - all-runs'!$I:$I, 'Data Combined - all-runs'!$A:$A, A370,'Data Combined - all-runs'!$B:$B, B370,'Data Combined - all-runs'!$C:$C, C370, 'Data Combined - all-runs'!$D:$D, D370, 'Data Combined - all-runs'!$E:$E, E370)</f>
        <v>#DIV/0!</v>
      </c>
      <c r="J370" s="5">
        <f>AVERAGEIFS('Data Combined - all-runs'!$J:$J, 'Data Combined - all-runs'!$A:$A, A370,'Data Combined - all-runs'!$B:$B, B370,'Data Combined - all-runs'!$C:$C, C370, 'Data Combined - all-runs'!$D:$D, D370, 'Data Combined - all-runs'!$E:$E, E370)</f>
        <v>0</v>
      </c>
      <c r="K370" s="5">
        <f>AVERAGEIFS('Data Combined - all-runs'!$K:$K, 'Data Combined - all-runs'!$A:$A, A370,'Data Combined - all-runs'!$B:$B, B370,'Data Combined - all-runs'!$C:$C, C370, 'Data Combined - all-runs'!$D:$D, D370, 'Data Combined - all-runs'!$E:$E, E370)</f>
        <v>0.1344950849</v>
      </c>
      <c r="L370" s="5">
        <f>AVERAGEIFS('Data Combined - all-runs'!$L:$L, 'Data Combined - all-runs'!$A:$A, A370,'Data Combined - all-runs'!$B:$B, B370,'Data Combined - all-runs'!$C:$C, C370, 'Data Combined - all-runs'!$D:$D, D370, 'Data Combined - all-runs'!$E:$E, E370)</f>
        <v>2698.75423</v>
      </c>
      <c r="M370" s="5">
        <f>AVERAGEIFS('Data Combined - all-runs'!$M:$M, 'Data Combined - all-runs'!$A:$A, A370,'Data Combined - all-runs'!$B:$B, B370,'Data Combined - all-runs'!$C:$C, C370, 'Data Combined - all-runs'!$D:$D, D370, 'Data Combined - all-runs'!$E:$E, E370)</f>
        <v>31</v>
      </c>
      <c r="N370" s="5">
        <f>AVERAGEIFS('Data Combined - all-runs'!$N:$N, 'Data Combined - all-runs'!$A:$A, A370,'Data Combined - all-runs'!$B:$B, B370,'Data Combined - all-runs'!$C:$C, C370, 'Data Combined - all-runs'!$D:$D, D370, 'Data Combined - all-runs'!$E:$E, E370)</f>
        <v>20</v>
      </c>
      <c r="O370" s="5">
        <f>AVERAGEIFS('Data Combined - all-runs'!$O:$O, 'Data Combined - all-runs'!$A:$A, A370,'Data Combined - all-runs'!$B:$B, B370,'Data Combined - all-runs'!$C:$C, C370, 'Data Combined - all-runs'!$D:$D, D370, 'Data Combined - all-runs'!$E:$E, E370)</f>
        <v>1119</v>
      </c>
      <c r="P370" s="5">
        <f>AVERAGEIFS('Data Combined - all-runs'!$P:$P, 'Data Combined - all-runs'!$A:$A, A370,'Data Combined - all-runs'!$B:$B, B370,'Data Combined - all-runs'!$C:$C, C370, 'Data Combined - all-runs'!$D:$D, D370, 'Data Combined - all-runs'!$E:$E, E370)</f>
        <v>17.87310098</v>
      </c>
      <c r="Q370" s="5">
        <f>AVERAGEIFS('Data Combined - all-runs'!$Q:$Q, 'Data Combined - all-runs'!$A:$A, A370,'Data Combined - all-runs'!$B:$B, B370,'Data Combined - all-runs'!$C:$C, C370, 'Data Combined - all-runs'!$D:$D, D370, 'Data Combined - all-runs'!$E:$E, E370)</f>
        <v>2352.993744</v>
      </c>
      <c r="R370" s="5">
        <f>AVERAGEIFS('Data Combined - all-runs'!$R:$R, 'Data Combined - all-runs'!$A:$A, A370,'Data Combined - all-runs'!$B:$B, B370,'Data Combined - all-runs'!$C:$C, C370, 'Data Combined - all-runs'!$D:$D, D370, 'Data Combined - all-runs'!$E:$E, E370)</f>
        <v>131.65</v>
      </c>
      <c r="S370" s="5">
        <f>AVERAGEIFS('Data Combined - all-runs'!$S:$S, 'Data Combined - all-runs'!$A:$A, A370,'Data Combined - all-runs'!$B:$B, B370,'Data Combined - all-runs'!$C:$C, C370, 'Data Combined - all-runs'!$D:$D, D370, 'Data Combined - all-runs'!$E:$E, E370)</f>
        <v>0</v>
      </c>
      <c r="T370" s="5" t="str">
        <f>AVERAGEIFS('Data Combined - all-runs'!$T:$T, 'Data Combined - all-runs'!$A:$A, A370,'Data Combined - all-runs'!$B:$B, B370,'Data Combined - all-runs'!$C:$C, C370, 'Data Combined - all-runs'!$D:$D, D370, 'Data Combined - all-runs'!$E:$E, E370)</f>
        <v>#DIV/0!</v>
      </c>
      <c r="U370" s="5" t="b">
        <f t="shared" si="1"/>
        <v>1</v>
      </c>
      <c r="V370" s="5" t="b">
        <f t="shared" si="2"/>
        <v>1</v>
      </c>
      <c r="W370" s="5" t="b">
        <f t="shared" si="3"/>
        <v>1</v>
      </c>
    </row>
    <row r="371">
      <c r="A371" s="2" t="s">
        <v>33</v>
      </c>
      <c r="B371" s="2" t="s">
        <v>114</v>
      </c>
      <c r="C371" s="2" t="s">
        <v>23</v>
      </c>
      <c r="D371" s="2" t="s">
        <v>54</v>
      </c>
      <c r="E371" s="2" t="s">
        <v>34</v>
      </c>
      <c r="H371" s="5">
        <f>AVERAGEIFS('Data Combined - all-runs'!$H:$H, 'Data Combined - all-runs'!$A:$A, A371,'Data Combined - all-runs'!$B:$B, B371,'Data Combined - all-runs'!$C:$C, C371, 'Data Combined - all-runs'!$D:$D, D371, 'Data Combined - all-runs'!$E:$E, E371)</f>
        <v>2111</v>
      </c>
      <c r="I371" s="5" t="str">
        <f>AVERAGEIFS('Data Combined - all-runs'!$I:$I, 'Data Combined - all-runs'!$A:$A, A371,'Data Combined - all-runs'!$B:$B, B371,'Data Combined - all-runs'!$C:$C, C371, 'Data Combined - all-runs'!$D:$D, D371, 'Data Combined - all-runs'!$E:$E, E371)</f>
        <v>#DIV/0!</v>
      </c>
      <c r="J371" s="5">
        <f>AVERAGEIFS('Data Combined - all-runs'!$J:$J, 'Data Combined - all-runs'!$A:$A, A371,'Data Combined - all-runs'!$B:$B, B371,'Data Combined - all-runs'!$C:$C, C371, 'Data Combined - all-runs'!$D:$D, D371, 'Data Combined - all-runs'!$E:$E, E371)</f>
        <v>0</v>
      </c>
      <c r="K371" s="5">
        <f>AVERAGEIFS('Data Combined - all-runs'!$K:$K, 'Data Combined - all-runs'!$A:$A, A371,'Data Combined - all-runs'!$B:$B, B371,'Data Combined - all-runs'!$C:$C, C371, 'Data Combined - all-runs'!$D:$D, D371, 'Data Combined - all-runs'!$E:$E, E371)</f>
        <v>0.03272357724</v>
      </c>
      <c r="L371" s="5">
        <f>AVERAGEIFS('Data Combined - all-runs'!$L:$L, 'Data Combined - all-runs'!$A:$A, A371,'Data Combined - all-runs'!$B:$B, B371,'Data Combined - all-runs'!$C:$C, C371, 'Data Combined - all-runs'!$D:$D, D371, 'Data Combined - all-runs'!$E:$E, E371)</f>
        <v>2943.123106</v>
      </c>
      <c r="M371" s="5">
        <f>AVERAGEIFS('Data Combined - all-runs'!$M:$M, 'Data Combined - all-runs'!$A:$A, A371,'Data Combined - all-runs'!$B:$B, B371,'Data Combined - all-runs'!$C:$C, C371, 'Data Combined - all-runs'!$D:$D, D371, 'Data Combined - all-runs'!$E:$E, E371)</f>
        <v>32</v>
      </c>
      <c r="N371" s="5">
        <f>AVERAGEIFS('Data Combined - all-runs'!$N:$N, 'Data Combined - all-runs'!$A:$A, A371,'Data Combined - all-runs'!$B:$B, B371,'Data Combined - all-runs'!$C:$C, C371, 'Data Combined - all-runs'!$D:$D, D371, 'Data Combined - all-runs'!$E:$E, E371)</f>
        <v>6</v>
      </c>
      <c r="O371" s="5">
        <f>AVERAGEIFS('Data Combined - all-runs'!$O:$O, 'Data Combined - all-runs'!$A:$A, A371,'Data Combined - all-runs'!$B:$B, B371,'Data Combined - all-runs'!$C:$C, C371, 'Data Combined - all-runs'!$D:$D, D371, 'Data Combined - all-runs'!$E:$E, E371)</f>
        <v>820</v>
      </c>
      <c r="P371" s="5">
        <f>AVERAGEIFS('Data Combined - all-runs'!$P:$P, 'Data Combined - all-runs'!$A:$A, A371,'Data Combined - all-runs'!$B:$B, B371,'Data Combined - all-runs'!$C:$C, C371, 'Data Combined - all-runs'!$D:$D, D371, 'Data Combined - all-runs'!$E:$E, E371)</f>
        <v>7.317073171</v>
      </c>
      <c r="Q371" s="5">
        <f>AVERAGEIFS('Data Combined - all-runs'!$Q:$Q, 'Data Combined - all-runs'!$A:$A, A371,'Data Combined - all-runs'!$B:$B, B371,'Data Combined - all-runs'!$C:$C, C371, 'Data Combined - all-runs'!$D:$D, D371, 'Data Combined - all-runs'!$E:$E, E371)</f>
        <v>2574.390244</v>
      </c>
      <c r="R371" s="5">
        <f>AVERAGEIFS('Data Combined - all-runs'!$R:$R, 'Data Combined - all-runs'!$A:$A, A371,'Data Combined - all-runs'!$B:$B, B371,'Data Combined - all-runs'!$C:$C, C371, 'Data Combined - all-runs'!$D:$D, D371, 'Data Combined - all-runs'!$E:$E, E371)</f>
        <v>351.8333333</v>
      </c>
      <c r="S371" s="5">
        <f>AVERAGEIFS('Data Combined - all-runs'!$S:$S, 'Data Combined - all-runs'!$A:$A, A371,'Data Combined - all-runs'!$B:$B, B371,'Data Combined - all-runs'!$C:$C, C371, 'Data Combined - all-runs'!$D:$D, D371, 'Data Combined - all-runs'!$E:$E, E371)</f>
        <v>0</v>
      </c>
      <c r="T371" s="5" t="str">
        <f>AVERAGEIFS('Data Combined - all-runs'!$T:$T, 'Data Combined - all-runs'!$A:$A, A371,'Data Combined - all-runs'!$B:$B, B371,'Data Combined - all-runs'!$C:$C, C371, 'Data Combined - all-runs'!$D:$D, D371, 'Data Combined - all-runs'!$E:$E, E371)</f>
        <v>#DIV/0!</v>
      </c>
      <c r="U371" s="5" t="b">
        <f t="shared" si="1"/>
        <v>1</v>
      </c>
      <c r="V371" s="5" t="b">
        <f t="shared" si="2"/>
        <v>1</v>
      </c>
      <c r="W371" s="5" t="b">
        <f t="shared" si="3"/>
        <v>1</v>
      </c>
    </row>
    <row r="372">
      <c r="A372" s="2" t="s">
        <v>33</v>
      </c>
      <c r="B372" s="2" t="s">
        <v>114</v>
      </c>
      <c r="C372" s="2" t="s">
        <v>23</v>
      </c>
      <c r="D372" s="2" t="s">
        <v>54</v>
      </c>
      <c r="E372" s="2" t="s">
        <v>47</v>
      </c>
      <c r="H372" s="5">
        <f>AVERAGEIFS('Data Combined - all-runs'!$H:$H, 'Data Combined - all-runs'!$A:$A, A372,'Data Combined - all-runs'!$B:$B, B372,'Data Combined - all-runs'!$C:$C, C372, 'Data Combined - all-runs'!$D:$D, D372, 'Data Combined - all-runs'!$E:$E, E372)</f>
        <v>1643</v>
      </c>
      <c r="I372" s="5" t="str">
        <f>AVERAGEIFS('Data Combined - all-runs'!$I:$I, 'Data Combined - all-runs'!$A:$A, A372,'Data Combined - all-runs'!$B:$B, B372,'Data Combined - all-runs'!$C:$C, C372, 'Data Combined - all-runs'!$D:$D, D372, 'Data Combined - all-runs'!$E:$E, E372)</f>
        <v>#DIV/0!</v>
      </c>
      <c r="J372" s="5">
        <f>AVERAGEIFS('Data Combined - all-runs'!$J:$J, 'Data Combined - all-runs'!$A:$A, A372,'Data Combined - all-runs'!$B:$B, B372,'Data Combined - all-runs'!$C:$C, C372, 'Data Combined - all-runs'!$D:$D, D372, 'Data Combined - all-runs'!$E:$E, E372)</f>
        <v>0</v>
      </c>
      <c r="K372" s="5">
        <f>AVERAGEIFS('Data Combined - all-runs'!$K:$K, 'Data Combined - all-runs'!$A:$A, A372,'Data Combined - all-runs'!$B:$B, B372,'Data Combined - all-runs'!$C:$C, C372, 'Data Combined - all-runs'!$D:$D, D372, 'Data Combined - all-runs'!$E:$E, E372)</f>
        <v>0.0218878249</v>
      </c>
      <c r="L372" s="5">
        <f>AVERAGEIFS('Data Combined - all-runs'!$L:$L, 'Data Combined - all-runs'!$A:$A, A372,'Data Combined - all-runs'!$B:$B, B372,'Data Combined - all-runs'!$C:$C, C372, 'Data Combined - all-runs'!$D:$D, D372, 'Data Combined - all-runs'!$E:$E, E372)</f>
        <v>4142.84675</v>
      </c>
      <c r="M372" s="5">
        <f>AVERAGEIFS('Data Combined - all-runs'!$M:$M, 'Data Combined - all-runs'!$A:$A, A372,'Data Combined - all-runs'!$B:$B, B372,'Data Combined - all-runs'!$C:$C, C372, 'Data Combined - all-runs'!$D:$D, D372, 'Data Combined - all-runs'!$E:$E, E372)</f>
        <v>48</v>
      </c>
      <c r="N372" s="5">
        <f>AVERAGEIFS('Data Combined - all-runs'!$N:$N, 'Data Combined - all-runs'!$A:$A, A372,'Data Combined - all-runs'!$B:$B, B372,'Data Combined - all-runs'!$C:$C, C372, 'Data Combined - all-runs'!$D:$D, D372, 'Data Combined - all-runs'!$E:$E, E372)</f>
        <v>6</v>
      </c>
      <c r="O372" s="5">
        <f>AVERAGEIFS('Data Combined - all-runs'!$O:$O, 'Data Combined - all-runs'!$A:$A, A372,'Data Combined - all-runs'!$B:$B, B372,'Data Combined - all-runs'!$C:$C, C372, 'Data Combined - all-runs'!$D:$D, D372, 'Data Combined - all-runs'!$E:$E, E372)</f>
        <v>731</v>
      </c>
      <c r="P372" s="5">
        <f>AVERAGEIFS('Data Combined - all-runs'!$P:$P, 'Data Combined - all-runs'!$A:$A, A372,'Data Combined - all-runs'!$B:$B, B372,'Data Combined - all-runs'!$C:$C, C372, 'Data Combined - all-runs'!$D:$D, D372, 'Data Combined - all-runs'!$E:$E, E372)</f>
        <v>8.207934337</v>
      </c>
      <c r="Q372" s="5">
        <f>AVERAGEIFS('Data Combined - all-runs'!$Q:$Q, 'Data Combined - all-runs'!$A:$A, A372,'Data Combined - all-runs'!$B:$B, B372,'Data Combined - all-runs'!$C:$C, C372, 'Data Combined - all-runs'!$D:$D, D372, 'Data Combined - all-runs'!$E:$E, E372)</f>
        <v>2247.606019</v>
      </c>
      <c r="R372" s="5">
        <f>AVERAGEIFS('Data Combined - all-runs'!$R:$R, 'Data Combined - all-runs'!$A:$A, A372,'Data Combined - all-runs'!$B:$B, B372,'Data Combined - all-runs'!$C:$C, C372, 'Data Combined - all-runs'!$D:$D, D372, 'Data Combined - all-runs'!$E:$E, E372)</f>
        <v>273.8333333</v>
      </c>
      <c r="S372" s="5">
        <f>AVERAGEIFS('Data Combined - all-runs'!$S:$S, 'Data Combined - all-runs'!$A:$A, A372,'Data Combined - all-runs'!$B:$B, B372,'Data Combined - all-runs'!$C:$C, C372, 'Data Combined - all-runs'!$D:$D, D372, 'Data Combined - all-runs'!$E:$E, E372)</f>
        <v>0</v>
      </c>
      <c r="T372" s="5" t="str">
        <f>AVERAGEIFS('Data Combined - all-runs'!$T:$T, 'Data Combined - all-runs'!$A:$A, A372,'Data Combined - all-runs'!$B:$B, B372,'Data Combined - all-runs'!$C:$C, C372, 'Data Combined - all-runs'!$D:$D, D372, 'Data Combined - all-runs'!$E:$E, E372)</f>
        <v>#DIV/0!</v>
      </c>
      <c r="U372" s="5" t="b">
        <f t="shared" si="1"/>
        <v>1</v>
      </c>
      <c r="V372" s="5" t="b">
        <f t="shared" si="2"/>
        <v>1</v>
      </c>
      <c r="W372" s="5" t="b">
        <f t="shared" si="3"/>
        <v>1</v>
      </c>
    </row>
    <row r="373">
      <c r="A373" s="2" t="s">
        <v>33</v>
      </c>
      <c r="B373" s="2" t="s">
        <v>114</v>
      </c>
      <c r="C373" s="2" t="s">
        <v>23</v>
      </c>
      <c r="D373" s="2" t="s">
        <v>54</v>
      </c>
      <c r="E373" s="2" t="s">
        <v>51</v>
      </c>
      <c r="H373" s="5">
        <f>AVERAGEIFS('Data Combined - all-runs'!$H:$H, 'Data Combined - all-runs'!$A:$A, A373,'Data Combined - all-runs'!$B:$B, B373,'Data Combined - all-runs'!$C:$C, C373, 'Data Combined - all-runs'!$D:$D, D373, 'Data Combined - all-runs'!$E:$E, E373)</f>
        <v>3044</v>
      </c>
      <c r="I373" s="5" t="str">
        <f>AVERAGEIFS('Data Combined - all-runs'!$I:$I, 'Data Combined - all-runs'!$A:$A, A373,'Data Combined - all-runs'!$B:$B, B373,'Data Combined - all-runs'!$C:$C, C373, 'Data Combined - all-runs'!$D:$D, D373, 'Data Combined - all-runs'!$E:$E, E373)</f>
        <v>#DIV/0!</v>
      </c>
      <c r="J373" s="5">
        <f>AVERAGEIFS('Data Combined - all-runs'!$J:$J, 'Data Combined - all-runs'!$A:$A, A373,'Data Combined - all-runs'!$B:$B, B373,'Data Combined - all-runs'!$C:$C, C373, 'Data Combined - all-runs'!$D:$D, D373, 'Data Combined - all-runs'!$E:$E, E373)</f>
        <v>0</v>
      </c>
      <c r="K373" s="5">
        <f>AVERAGEIFS('Data Combined - all-runs'!$K:$K, 'Data Combined - all-runs'!$A:$A, A373,'Data Combined - all-runs'!$B:$B, B373,'Data Combined - all-runs'!$C:$C, C373, 'Data Combined - all-runs'!$D:$D, D373, 'Data Combined - all-runs'!$E:$E, E373)</f>
        <v>0.1063368056</v>
      </c>
      <c r="L373" s="5">
        <f>AVERAGEIFS('Data Combined - all-runs'!$L:$L, 'Data Combined - all-runs'!$A:$A, A373,'Data Combined - all-runs'!$B:$B, B373,'Data Combined - all-runs'!$C:$C, C373, 'Data Combined - all-runs'!$D:$D, D373, 'Data Combined - all-runs'!$E:$E, E373)</f>
        <v>4894.833868</v>
      </c>
      <c r="M373" s="5">
        <f>AVERAGEIFS('Data Combined - all-runs'!$M:$M, 'Data Combined - all-runs'!$A:$A, A373,'Data Combined - all-runs'!$B:$B, B373,'Data Combined - all-runs'!$C:$C, C373, 'Data Combined - all-runs'!$D:$D, D373, 'Data Combined - all-runs'!$E:$E, E373)</f>
        <v>26</v>
      </c>
      <c r="N373" s="5">
        <f>AVERAGEIFS('Data Combined - all-runs'!$N:$N, 'Data Combined - all-runs'!$A:$A, A373,'Data Combined - all-runs'!$B:$B, B373,'Data Combined - all-runs'!$C:$C, C373, 'Data Combined - all-runs'!$D:$D, D373, 'Data Combined - all-runs'!$E:$E, E373)</f>
        <v>20</v>
      </c>
      <c r="O373" s="5">
        <f>AVERAGEIFS('Data Combined - all-runs'!$O:$O, 'Data Combined - all-runs'!$A:$A, A373,'Data Combined - all-runs'!$B:$B, B373,'Data Combined - all-runs'!$C:$C, C373, 'Data Combined - all-runs'!$D:$D, D373, 'Data Combined - all-runs'!$E:$E, E373)</f>
        <v>1152</v>
      </c>
      <c r="P373" s="5">
        <f>AVERAGEIFS('Data Combined - all-runs'!$P:$P, 'Data Combined - all-runs'!$A:$A, A373,'Data Combined - all-runs'!$B:$B, B373,'Data Combined - all-runs'!$C:$C, C373, 'Data Combined - all-runs'!$D:$D, D373, 'Data Combined - all-runs'!$E:$E, E373)</f>
        <v>17.36111111</v>
      </c>
      <c r="Q373" s="5">
        <f>AVERAGEIFS('Data Combined - all-runs'!$Q:$Q, 'Data Combined - all-runs'!$A:$A, A373,'Data Combined - all-runs'!$B:$B, B373,'Data Combined - all-runs'!$C:$C, C373, 'Data Combined - all-runs'!$D:$D, D373, 'Data Combined - all-runs'!$E:$E, E373)</f>
        <v>2642.361111</v>
      </c>
      <c r="R373" s="5">
        <f>AVERAGEIFS('Data Combined - all-runs'!$R:$R, 'Data Combined - all-runs'!$A:$A, A373,'Data Combined - all-runs'!$B:$B, B373,'Data Combined - all-runs'!$C:$C, C373, 'Data Combined - all-runs'!$D:$D, D373, 'Data Combined - all-runs'!$E:$E, E373)</f>
        <v>152.2</v>
      </c>
      <c r="S373" s="5">
        <f>AVERAGEIFS('Data Combined - all-runs'!$S:$S, 'Data Combined - all-runs'!$A:$A, A373,'Data Combined - all-runs'!$B:$B, B373,'Data Combined - all-runs'!$C:$C, C373, 'Data Combined - all-runs'!$D:$D, D373, 'Data Combined - all-runs'!$E:$E, E373)</f>
        <v>0</v>
      </c>
      <c r="T373" s="5" t="str">
        <f>AVERAGEIFS('Data Combined - all-runs'!$T:$T, 'Data Combined - all-runs'!$A:$A, A373,'Data Combined - all-runs'!$B:$B, B373,'Data Combined - all-runs'!$C:$C, C373, 'Data Combined - all-runs'!$D:$D, D373, 'Data Combined - all-runs'!$E:$E, E373)</f>
        <v>#DIV/0!</v>
      </c>
      <c r="U373" s="5" t="b">
        <f t="shared" si="1"/>
        <v>1</v>
      </c>
      <c r="V373" s="5" t="b">
        <f t="shared" si="2"/>
        <v>1</v>
      </c>
      <c r="W373" s="5" t="b">
        <f t="shared" si="3"/>
        <v>1</v>
      </c>
    </row>
    <row r="374">
      <c r="A374" s="2" t="s">
        <v>33</v>
      </c>
      <c r="B374" s="2" t="s">
        <v>114</v>
      </c>
      <c r="C374" s="2" t="s">
        <v>23</v>
      </c>
      <c r="D374" s="2" t="s">
        <v>72</v>
      </c>
      <c r="E374" s="2" t="s">
        <v>25</v>
      </c>
      <c r="H374" s="5">
        <f>AVERAGEIFS('Data Combined - all-runs'!$H:$H, 'Data Combined - all-runs'!$A:$A, A374,'Data Combined - all-runs'!$B:$B, B374,'Data Combined - all-runs'!$C:$C, C374, 'Data Combined - all-runs'!$D:$D, D374, 'Data Combined - all-runs'!$E:$E, E374)</f>
        <v>665</v>
      </c>
      <c r="I374" s="5" t="str">
        <f>AVERAGEIFS('Data Combined - all-runs'!$I:$I, 'Data Combined - all-runs'!$A:$A, A374,'Data Combined - all-runs'!$B:$B, B374,'Data Combined - all-runs'!$C:$C, C374, 'Data Combined - all-runs'!$D:$D, D374, 'Data Combined - all-runs'!$E:$E, E374)</f>
        <v>#DIV/0!</v>
      </c>
      <c r="J374" s="5">
        <f>AVERAGEIFS('Data Combined - all-runs'!$J:$J, 'Data Combined - all-runs'!$A:$A, A374,'Data Combined - all-runs'!$B:$B, B374,'Data Combined - all-runs'!$C:$C, C374, 'Data Combined - all-runs'!$D:$D, D374, 'Data Combined - all-runs'!$E:$E, E374)</f>
        <v>0</v>
      </c>
      <c r="K374" s="5">
        <f>AVERAGEIFS('Data Combined - all-runs'!$K:$K, 'Data Combined - all-runs'!$A:$A, A374,'Data Combined - all-runs'!$B:$B, B374,'Data Combined - all-runs'!$C:$C, C374, 'Data Combined - all-runs'!$D:$D, D374, 'Data Combined - all-runs'!$E:$E, E374)</f>
        <v>0.1075353218</v>
      </c>
      <c r="L374" s="5">
        <f>AVERAGEIFS('Data Combined - all-runs'!$L:$L, 'Data Combined - all-runs'!$A:$A, A374,'Data Combined - all-runs'!$B:$B, B374,'Data Combined - all-runs'!$C:$C, C374, 'Data Combined - all-runs'!$D:$D, D374, 'Data Combined - all-runs'!$E:$E, E374)</f>
        <v>841.8979909</v>
      </c>
      <c r="M374" s="5">
        <f>AVERAGEIFS('Data Combined - all-runs'!$M:$M, 'Data Combined - all-runs'!$A:$A, A374,'Data Combined - all-runs'!$B:$B, B374,'Data Combined - all-runs'!$C:$C, C374, 'Data Combined - all-runs'!$D:$D, D374, 'Data Combined - all-runs'!$E:$E, E374)</f>
        <v>34</v>
      </c>
      <c r="N374" s="5">
        <f>AVERAGEIFS('Data Combined - all-runs'!$N:$N, 'Data Combined - all-runs'!$A:$A, A374,'Data Combined - all-runs'!$B:$B, B374,'Data Combined - all-runs'!$C:$C, C374, 'Data Combined - all-runs'!$D:$D, D374, 'Data Combined - all-runs'!$E:$E, E374)</f>
        <v>2</v>
      </c>
      <c r="O374" s="5">
        <f>AVERAGEIFS('Data Combined - all-runs'!$O:$O, 'Data Combined - all-runs'!$A:$A, A374,'Data Combined - all-runs'!$B:$B, B374,'Data Combined - all-runs'!$C:$C, C374, 'Data Combined - all-runs'!$D:$D, D374, 'Data Combined - all-runs'!$E:$E, E374)</f>
        <v>637</v>
      </c>
      <c r="P374" s="5">
        <f>AVERAGEIFS('Data Combined - all-runs'!$P:$P, 'Data Combined - all-runs'!$A:$A, A374,'Data Combined - all-runs'!$B:$B, B374,'Data Combined - all-runs'!$C:$C, C374, 'Data Combined - all-runs'!$D:$D, D374, 'Data Combined - all-runs'!$E:$E, E374)</f>
        <v>3.139717425</v>
      </c>
      <c r="Q374" s="5">
        <f>AVERAGEIFS('Data Combined - all-runs'!$Q:$Q, 'Data Combined - all-runs'!$A:$A, A374,'Data Combined - all-runs'!$B:$B, B374,'Data Combined - all-runs'!$C:$C, C374, 'Data Combined - all-runs'!$D:$D, D374, 'Data Combined - all-runs'!$E:$E, E374)</f>
        <v>1043.956044</v>
      </c>
      <c r="R374" s="5">
        <f>AVERAGEIFS('Data Combined - all-runs'!$R:$R, 'Data Combined - all-runs'!$A:$A, A374,'Data Combined - all-runs'!$B:$B, B374,'Data Combined - all-runs'!$C:$C, C374, 'Data Combined - all-runs'!$D:$D, D374, 'Data Combined - all-runs'!$E:$E, E374)</f>
        <v>332.5</v>
      </c>
      <c r="S374" s="5">
        <f>AVERAGEIFS('Data Combined - all-runs'!$S:$S, 'Data Combined - all-runs'!$A:$A, A374,'Data Combined - all-runs'!$B:$B, B374,'Data Combined - all-runs'!$C:$C, C374, 'Data Combined - all-runs'!$D:$D, D374, 'Data Combined - all-runs'!$E:$E, E374)</f>
        <v>0</v>
      </c>
      <c r="T374" s="5" t="str">
        <f>AVERAGEIFS('Data Combined - all-runs'!$T:$T, 'Data Combined - all-runs'!$A:$A, A374,'Data Combined - all-runs'!$B:$B, B374,'Data Combined - all-runs'!$C:$C, C374, 'Data Combined - all-runs'!$D:$D, D374, 'Data Combined - all-runs'!$E:$E, E374)</f>
        <v>#DIV/0!</v>
      </c>
      <c r="U374" s="5" t="b">
        <f t="shared" si="1"/>
        <v>1</v>
      </c>
      <c r="V374" s="5" t="b">
        <f t="shared" si="2"/>
        <v>1</v>
      </c>
      <c r="W374" s="5" t="b">
        <f t="shared" si="3"/>
        <v>1</v>
      </c>
    </row>
    <row r="375">
      <c r="A375" s="2" t="s">
        <v>33</v>
      </c>
      <c r="B375" s="2" t="s">
        <v>114</v>
      </c>
      <c r="C375" s="2" t="s">
        <v>23</v>
      </c>
      <c r="D375" s="2" t="s">
        <v>72</v>
      </c>
      <c r="E375" s="2" t="s">
        <v>39</v>
      </c>
      <c r="H375" s="5">
        <f>AVERAGEIFS('Data Combined - all-runs'!$H:$H, 'Data Combined - all-runs'!$A:$A, A375,'Data Combined - all-runs'!$B:$B, B375,'Data Combined - all-runs'!$C:$C, C375, 'Data Combined - all-runs'!$D:$D, D375, 'Data Combined - all-runs'!$E:$E, E375)</f>
        <v>3664</v>
      </c>
      <c r="I375" s="5" t="str">
        <f>AVERAGEIFS('Data Combined - all-runs'!$I:$I, 'Data Combined - all-runs'!$A:$A, A375,'Data Combined - all-runs'!$B:$B, B375,'Data Combined - all-runs'!$C:$C, C375, 'Data Combined - all-runs'!$D:$D, D375, 'Data Combined - all-runs'!$E:$E, E375)</f>
        <v>#DIV/0!</v>
      </c>
      <c r="J375" s="5">
        <f>AVERAGEIFS('Data Combined - all-runs'!$J:$J, 'Data Combined - all-runs'!$A:$A, A375,'Data Combined - all-runs'!$B:$B, B375,'Data Combined - all-runs'!$C:$C, C375, 'Data Combined - all-runs'!$D:$D, D375, 'Data Combined - all-runs'!$E:$E, E375)</f>
        <v>0</v>
      </c>
      <c r="K375" s="5">
        <f>AVERAGEIFS('Data Combined - all-runs'!$K:$K, 'Data Combined - all-runs'!$A:$A, A375,'Data Combined - all-runs'!$B:$B, B375,'Data Combined - all-runs'!$C:$C, C375, 'Data Combined - all-runs'!$D:$D, D375, 'Data Combined - all-runs'!$E:$E, E375)</f>
        <v>0.2670424751</v>
      </c>
      <c r="L375" s="5">
        <f>AVERAGEIFS('Data Combined - all-runs'!$L:$L, 'Data Combined - all-runs'!$A:$A, A375,'Data Combined - all-runs'!$B:$B, B375,'Data Combined - all-runs'!$C:$C, C375, 'Data Combined - all-runs'!$D:$D, D375, 'Data Combined - all-runs'!$E:$E, E375)</f>
        <v>5263.001689</v>
      </c>
      <c r="M375" s="5">
        <f>AVERAGEIFS('Data Combined - all-runs'!$M:$M, 'Data Combined - all-runs'!$A:$A, A375,'Data Combined - all-runs'!$B:$B, B375,'Data Combined - all-runs'!$C:$C, C375, 'Data Combined - all-runs'!$D:$D, D375, 'Data Combined - all-runs'!$E:$E, E375)</f>
        <v>39</v>
      </c>
      <c r="N375" s="5">
        <f>AVERAGEIFS('Data Combined - all-runs'!$N:$N, 'Data Combined - all-runs'!$A:$A, A375,'Data Combined - all-runs'!$B:$B, B375,'Data Combined - all-runs'!$C:$C, C375, 'Data Combined - all-runs'!$D:$D, D375, 'Data Combined - all-runs'!$E:$E, E375)</f>
        <v>12</v>
      </c>
      <c r="O375" s="5">
        <f>AVERAGEIFS('Data Combined - all-runs'!$O:$O, 'Data Combined - all-runs'!$A:$A, A375,'Data Combined - all-runs'!$B:$B, B375,'Data Combined - all-runs'!$C:$C, C375, 'Data Combined - all-runs'!$D:$D, D375, 'Data Combined - all-runs'!$E:$E, E375)</f>
        <v>1907</v>
      </c>
      <c r="P375" s="5">
        <f>AVERAGEIFS('Data Combined - all-runs'!$P:$P, 'Data Combined - all-runs'!$A:$A, A375,'Data Combined - all-runs'!$B:$B, B375,'Data Combined - all-runs'!$C:$C, C375, 'Data Combined - all-runs'!$D:$D, D375, 'Data Combined - all-runs'!$E:$E, E375)</f>
        <v>6.292606188</v>
      </c>
      <c r="Q375" s="5">
        <f>AVERAGEIFS('Data Combined - all-runs'!$Q:$Q, 'Data Combined - all-runs'!$A:$A, A375,'Data Combined - all-runs'!$B:$B, B375,'Data Combined - all-runs'!$C:$C, C375, 'Data Combined - all-runs'!$D:$D, D375, 'Data Combined - all-runs'!$E:$E, E375)</f>
        <v>1921.342423</v>
      </c>
      <c r="R375" s="5">
        <f>AVERAGEIFS('Data Combined - all-runs'!$R:$R, 'Data Combined - all-runs'!$A:$A, A375,'Data Combined - all-runs'!$B:$B, B375,'Data Combined - all-runs'!$C:$C, C375, 'Data Combined - all-runs'!$D:$D, D375, 'Data Combined - all-runs'!$E:$E, E375)</f>
        <v>305.3333333</v>
      </c>
      <c r="S375" s="5">
        <f>AVERAGEIFS('Data Combined - all-runs'!$S:$S, 'Data Combined - all-runs'!$A:$A, A375,'Data Combined - all-runs'!$B:$B, B375,'Data Combined - all-runs'!$C:$C, C375, 'Data Combined - all-runs'!$D:$D, D375, 'Data Combined - all-runs'!$E:$E, E375)</f>
        <v>0</v>
      </c>
      <c r="T375" s="5" t="str">
        <f>AVERAGEIFS('Data Combined - all-runs'!$T:$T, 'Data Combined - all-runs'!$A:$A, A375,'Data Combined - all-runs'!$B:$B, B375,'Data Combined - all-runs'!$C:$C, C375, 'Data Combined - all-runs'!$D:$D, D375, 'Data Combined - all-runs'!$E:$E, E375)</f>
        <v>#DIV/0!</v>
      </c>
      <c r="U375" s="5" t="b">
        <f t="shared" si="1"/>
        <v>1</v>
      </c>
      <c r="V375" s="5" t="b">
        <f t="shared" si="2"/>
        <v>1</v>
      </c>
      <c r="W375" s="5" t="b">
        <f t="shared" si="3"/>
        <v>1</v>
      </c>
    </row>
    <row r="376">
      <c r="A376" s="2" t="s">
        <v>33</v>
      </c>
      <c r="B376" s="2" t="s">
        <v>114</v>
      </c>
      <c r="C376" s="2" t="s">
        <v>23</v>
      </c>
      <c r="D376" s="2" t="s">
        <v>72</v>
      </c>
      <c r="E376" s="2" t="s">
        <v>43</v>
      </c>
      <c r="H376" s="5">
        <f>AVERAGEIFS('Data Combined - all-runs'!$H:$H, 'Data Combined - all-runs'!$A:$A, A376,'Data Combined - all-runs'!$B:$B, B376,'Data Combined - all-runs'!$C:$C, C376, 'Data Combined - all-runs'!$D:$D, D376, 'Data Combined - all-runs'!$E:$E, E376)</f>
        <v>4881</v>
      </c>
      <c r="I376" s="5" t="str">
        <f>AVERAGEIFS('Data Combined - all-runs'!$I:$I, 'Data Combined - all-runs'!$A:$A, A376,'Data Combined - all-runs'!$B:$B, B376,'Data Combined - all-runs'!$C:$C, C376, 'Data Combined - all-runs'!$D:$D, D376, 'Data Combined - all-runs'!$E:$E, E376)</f>
        <v>#DIV/0!</v>
      </c>
      <c r="J376" s="5">
        <f>AVERAGEIFS('Data Combined - all-runs'!$J:$J, 'Data Combined - all-runs'!$A:$A, A376,'Data Combined - all-runs'!$B:$B, B376,'Data Combined - all-runs'!$C:$C, C376, 'Data Combined - all-runs'!$D:$D, D376, 'Data Combined - all-runs'!$E:$E, E376)</f>
        <v>0</v>
      </c>
      <c r="K376" s="5">
        <f>AVERAGEIFS('Data Combined - all-runs'!$K:$K, 'Data Combined - all-runs'!$A:$A, A376,'Data Combined - all-runs'!$B:$B, B376,'Data Combined - all-runs'!$C:$C, C376, 'Data Combined - all-runs'!$D:$D, D376, 'Data Combined - all-runs'!$E:$E, E376)</f>
        <v>0.2237767959</v>
      </c>
      <c r="L376" s="5">
        <f>AVERAGEIFS('Data Combined - all-runs'!$L:$L, 'Data Combined - all-runs'!$A:$A, A376,'Data Combined - all-runs'!$B:$B, B376,'Data Combined - all-runs'!$C:$C, C376, 'Data Combined - all-runs'!$D:$D, D376, 'Data Combined - all-runs'!$E:$E, E376)</f>
        <v>7810.325205</v>
      </c>
      <c r="M376" s="5">
        <f>AVERAGEIFS('Data Combined - all-runs'!$M:$M, 'Data Combined - all-runs'!$A:$A, A376,'Data Combined - all-runs'!$B:$B, B376,'Data Combined - all-runs'!$C:$C, C376, 'Data Combined - all-runs'!$D:$D, D376, 'Data Combined - all-runs'!$E:$E, E376)</f>
        <v>33</v>
      </c>
      <c r="N376" s="5">
        <f>AVERAGEIFS('Data Combined - all-runs'!$N:$N, 'Data Combined - all-runs'!$A:$A, A376,'Data Combined - all-runs'!$B:$B, B376,'Data Combined - all-runs'!$C:$C, C376, 'Data Combined - all-runs'!$D:$D, D376, 'Data Combined - all-runs'!$E:$E, E376)</f>
        <v>19</v>
      </c>
      <c r="O376" s="5">
        <f>AVERAGEIFS('Data Combined - all-runs'!$O:$O, 'Data Combined - all-runs'!$A:$A, A376,'Data Combined - all-runs'!$B:$B, B376,'Data Combined - all-runs'!$C:$C, C376, 'Data Combined - all-runs'!$D:$D, D376, 'Data Combined - all-runs'!$E:$E, E376)</f>
        <v>2037</v>
      </c>
      <c r="P376" s="5">
        <f>AVERAGEIFS('Data Combined - all-runs'!$P:$P, 'Data Combined - all-runs'!$A:$A, A376,'Data Combined - all-runs'!$B:$B, B376,'Data Combined - all-runs'!$C:$C, C376, 'Data Combined - all-runs'!$D:$D, D376, 'Data Combined - all-runs'!$E:$E, E376)</f>
        <v>9.327442317</v>
      </c>
      <c r="Q376" s="5">
        <f>AVERAGEIFS('Data Combined - all-runs'!$Q:$Q, 'Data Combined - all-runs'!$A:$A, A376,'Data Combined - all-runs'!$B:$B, B376,'Data Combined - all-runs'!$C:$C, C376, 'Data Combined - all-runs'!$D:$D, D376, 'Data Combined - all-runs'!$E:$E, E376)</f>
        <v>2396.170839</v>
      </c>
      <c r="R376" s="5">
        <f>AVERAGEIFS('Data Combined - all-runs'!$R:$R, 'Data Combined - all-runs'!$A:$A, A376,'Data Combined - all-runs'!$B:$B, B376,'Data Combined - all-runs'!$C:$C, C376, 'Data Combined - all-runs'!$D:$D, D376, 'Data Combined - all-runs'!$E:$E, E376)</f>
        <v>256.8947368</v>
      </c>
      <c r="S376" s="5">
        <f>AVERAGEIFS('Data Combined - all-runs'!$S:$S, 'Data Combined - all-runs'!$A:$A, A376,'Data Combined - all-runs'!$B:$B, B376,'Data Combined - all-runs'!$C:$C, C376, 'Data Combined - all-runs'!$D:$D, D376, 'Data Combined - all-runs'!$E:$E, E376)</f>
        <v>0</v>
      </c>
      <c r="T376" s="5" t="str">
        <f>AVERAGEIFS('Data Combined - all-runs'!$T:$T, 'Data Combined - all-runs'!$A:$A, A376,'Data Combined - all-runs'!$B:$B, B376,'Data Combined - all-runs'!$C:$C, C376, 'Data Combined - all-runs'!$D:$D, D376, 'Data Combined - all-runs'!$E:$E, E376)</f>
        <v>#DIV/0!</v>
      </c>
      <c r="U376" s="5" t="b">
        <f t="shared" si="1"/>
        <v>1</v>
      </c>
      <c r="V376" s="5" t="b">
        <f t="shared" si="2"/>
        <v>1</v>
      </c>
      <c r="W376" s="5" t="b">
        <f t="shared" si="3"/>
        <v>1</v>
      </c>
    </row>
    <row r="377">
      <c r="A377" s="2" t="s">
        <v>33</v>
      </c>
      <c r="B377" s="2" t="s">
        <v>114</v>
      </c>
      <c r="C377" s="2" t="s">
        <v>23</v>
      </c>
      <c r="D377" s="2" t="s">
        <v>72</v>
      </c>
      <c r="E377" s="2" t="s">
        <v>34</v>
      </c>
      <c r="H377" s="5">
        <f>AVERAGEIFS('Data Combined - all-runs'!$H:$H, 'Data Combined - all-runs'!$A:$A, A377,'Data Combined - all-runs'!$B:$B, B377,'Data Combined - all-runs'!$C:$C, C377, 'Data Combined - all-runs'!$D:$D, D377, 'Data Combined - all-runs'!$E:$E, E377)</f>
        <v>1715</v>
      </c>
      <c r="I377" s="5" t="str">
        <f>AVERAGEIFS('Data Combined - all-runs'!$I:$I, 'Data Combined - all-runs'!$A:$A, A377,'Data Combined - all-runs'!$B:$B, B377,'Data Combined - all-runs'!$C:$C, C377, 'Data Combined - all-runs'!$D:$D, D377, 'Data Combined - all-runs'!$E:$E, E377)</f>
        <v>#DIV/0!</v>
      </c>
      <c r="J377" s="5">
        <f>AVERAGEIFS('Data Combined - all-runs'!$J:$J, 'Data Combined - all-runs'!$A:$A, A377,'Data Combined - all-runs'!$B:$B, B377,'Data Combined - all-runs'!$C:$C, C377, 'Data Combined - all-runs'!$D:$D, D377, 'Data Combined - all-runs'!$E:$E, E377)</f>
        <v>0</v>
      </c>
      <c r="K377" s="5">
        <f>AVERAGEIFS('Data Combined - all-runs'!$K:$K, 'Data Combined - all-runs'!$A:$A, A377,'Data Combined - all-runs'!$B:$B, B377,'Data Combined - all-runs'!$C:$C, C377, 'Data Combined - all-runs'!$D:$D, D377, 'Data Combined - all-runs'!$E:$E, E377)</f>
        <v>0.09081527348</v>
      </c>
      <c r="L377" s="5">
        <f>AVERAGEIFS('Data Combined - all-runs'!$L:$L, 'Data Combined - all-runs'!$A:$A, A377,'Data Combined - all-runs'!$B:$B, B377,'Data Combined - all-runs'!$C:$C, C377, 'Data Combined - all-runs'!$D:$D, D377, 'Data Combined - all-runs'!$E:$E, E377)</f>
        <v>3328.237104</v>
      </c>
      <c r="M377" s="5">
        <f>AVERAGEIFS('Data Combined - all-runs'!$M:$M, 'Data Combined - all-runs'!$A:$A, A377,'Data Combined - all-runs'!$B:$B, B377,'Data Combined - all-runs'!$C:$C, C377, 'Data Combined - all-runs'!$D:$D, D377, 'Data Combined - all-runs'!$E:$E, E377)</f>
        <v>24</v>
      </c>
      <c r="N377" s="5">
        <f>AVERAGEIFS('Data Combined - all-runs'!$N:$N, 'Data Combined - all-runs'!$A:$A, A377,'Data Combined - all-runs'!$B:$B, B377,'Data Combined - all-runs'!$C:$C, C377, 'Data Combined - all-runs'!$D:$D, D377, 'Data Combined - all-runs'!$E:$E, E377)</f>
        <v>6</v>
      </c>
      <c r="O377" s="5">
        <f>AVERAGEIFS('Data Combined - all-runs'!$O:$O, 'Data Combined - all-runs'!$A:$A, A377,'Data Combined - all-runs'!$B:$B, B377,'Data Combined - all-runs'!$C:$C, C377, 'Data Combined - all-runs'!$D:$D, D377, 'Data Combined - all-runs'!$E:$E, E377)</f>
        <v>969</v>
      </c>
      <c r="P377" s="5">
        <f>AVERAGEIFS('Data Combined - all-runs'!$P:$P, 'Data Combined - all-runs'!$A:$A, A377,'Data Combined - all-runs'!$B:$B, B377,'Data Combined - all-runs'!$C:$C, C377, 'Data Combined - all-runs'!$D:$D, D377, 'Data Combined - all-runs'!$E:$E, E377)</f>
        <v>6.191950464</v>
      </c>
      <c r="Q377" s="5">
        <f>AVERAGEIFS('Data Combined - all-runs'!$Q:$Q, 'Data Combined - all-runs'!$A:$A, A377,'Data Combined - all-runs'!$B:$B, B377,'Data Combined - all-runs'!$C:$C, C377, 'Data Combined - all-runs'!$D:$D, D377, 'Data Combined - all-runs'!$E:$E, E377)</f>
        <v>1769.865841</v>
      </c>
      <c r="R377" s="5">
        <f>AVERAGEIFS('Data Combined - all-runs'!$R:$R, 'Data Combined - all-runs'!$A:$A, A377,'Data Combined - all-runs'!$B:$B, B377,'Data Combined - all-runs'!$C:$C, C377, 'Data Combined - all-runs'!$D:$D, D377, 'Data Combined - all-runs'!$E:$E, E377)</f>
        <v>285.8333333</v>
      </c>
      <c r="S377" s="5">
        <f>AVERAGEIFS('Data Combined - all-runs'!$S:$S, 'Data Combined - all-runs'!$A:$A, A377,'Data Combined - all-runs'!$B:$B, B377,'Data Combined - all-runs'!$C:$C, C377, 'Data Combined - all-runs'!$D:$D, D377, 'Data Combined - all-runs'!$E:$E, E377)</f>
        <v>0</v>
      </c>
      <c r="T377" s="5" t="str">
        <f>AVERAGEIFS('Data Combined - all-runs'!$T:$T, 'Data Combined - all-runs'!$A:$A, A377,'Data Combined - all-runs'!$B:$B, B377,'Data Combined - all-runs'!$C:$C, C377, 'Data Combined - all-runs'!$D:$D, D377, 'Data Combined - all-runs'!$E:$E, E377)</f>
        <v>#DIV/0!</v>
      </c>
      <c r="U377" s="5" t="b">
        <f t="shared" si="1"/>
        <v>1</v>
      </c>
      <c r="V377" s="5" t="b">
        <f t="shared" si="2"/>
        <v>1</v>
      </c>
      <c r="W377" s="5" t="b">
        <f t="shared" si="3"/>
        <v>1</v>
      </c>
    </row>
    <row r="378">
      <c r="A378" s="2" t="s">
        <v>33</v>
      </c>
      <c r="B378" s="2" t="s">
        <v>114</v>
      </c>
      <c r="C378" s="2" t="s">
        <v>23</v>
      </c>
      <c r="D378" s="2" t="s">
        <v>72</v>
      </c>
      <c r="E378" s="2" t="s">
        <v>47</v>
      </c>
      <c r="H378" s="5">
        <f>AVERAGEIFS('Data Combined - all-runs'!$H:$H, 'Data Combined - all-runs'!$A:$A, A378,'Data Combined - all-runs'!$B:$B, B378,'Data Combined - all-runs'!$C:$C, C378, 'Data Combined - all-runs'!$D:$D, D378, 'Data Combined - all-runs'!$E:$E, E378)</f>
        <v>3420</v>
      </c>
      <c r="I378" s="5" t="str">
        <f>AVERAGEIFS('Data Combined - all-runs'!$I:$I, 'Data Combined - all-runs'!$A:$A, A378,'Data Combined - all-runs'!$B:$B, B378,'Data Combined - all-runs'!$C:$C, C378, 'Data Combined - all-runs'!$D:$D, D378, 'Data Combined - all-runs'!$E:$E, E378)</f>
        <v>#DIV/0!</v>
      </c>
      <c r="J378" s="5">
        <f>AVERAGEIFS('Data Combined - all-runs'!$J:$J, 'Data Combined - all-runs'!$A:$A, A378,'Data Combined - all-runs'!$B:$B, B378,'Data Combined - all-runs'!$C:$C, C378, 'Data Combined - all-runs'!$D:$D, D378, 'Data Combined - all-runs'!$E:$E, E378)</f>
        <v>0</v>
      </c>
      <c r="K378" s="5">
        <f>AVERAGEIFS('Data Combined - all-runs'!$K:$K, 'Data Combined - all-runs'!$A:$A, A378,'Data Combined - all-runs'!$B:$B, B378,'Data Combined - all-runs'!$C:$C, C378, 'Data Combined - all-runs'!$D:$D, D378, 'Data Combined - all-runs'!$E:$E, E378)</f>
        <v>0.1916983523</v>
      </c>
      <c r="L378" s="5">
        <f>AVERAGEIFS('Data Combined - all-runs'!$L:$L, 'Data Combined - all-runs'!$A:$A, A378,'Data Combined - all-runs'!$B:$B, B378,'Data Combined - all-runs'!$C:$C, C378, 'Data Combined - all-runs'!$D:$D, D378, 'Data Combined - all-runs'!$E:$E, E378)</f>
        <v>6522.292255</v>
      </c>
      <c r="M378" s="5">
        <f>AVERAGEIFS('Data Combined - all-runs'!$M:$M, 'Data Combined - all-runs'!$A:$A, A378,'Data Combined - all-runs'!$B:$B, B378,'Data Combined - all-runs'!$C:$C, C378, 'Data Combined - all-runs'!$D:$D, D378, 'Data Combined - all-runs'!$E:$E, E378)</f>
        <v>46</v>
      </c>
      <c r="N378" s="5">
        <f>AVERAGEIFS('Data Combined - all-runs'!$N:$N, 'Data Combined - all-runs'!$A:$A, A378,'Data Combined - all-runs'!$B:$B, B378,'Data Combined - all-runs'!$C:$C, C378, 'Data Combined - all-runs'!$D:$D, D378, 'Data Combined - all-runs'!$E:$E, E378)</f>
        <v>5</v>
      </c>
      <c r="O378" s="5">
        <f>AVERAGEIFS('Data Combined - all-runs'!$O:$O, 'Data Combined - all-runs'!$A:$A, A378,'Data Combined - all-runs'!$B:$B, B378,'Data Combined - all-runs'!$C:$C, C378, 'Data Combined - all-runs'!$D:$D, D378, 'Data Combined - all-runs'!$E:$E, E378)</f>
        <v>789</v>
      </c>
      <c r="P378" s="5">
        <f>AVERAGEIFS('Data Combined - all-runs'!$P:$P, 'Data Combined - all-runs'!$A:$A, A378,'Data Combined - all-runs'!$B:$B, B378,'Data Combined - all-runs'!$C:$C, C378, 'Data Combined - all-runs'!$D:$D, D378, 'Data Combined - all-runs'!$E:$E, E378)</f>
        <v>6.337135615</v>
      </c>
      <c r="Q378" s="5">
        <f>AVERAGEIFS('Data Combined - all-runs'!$Q:$Q, 'Data Combined - all-runs'!$A:$A, A378,'Data Combined - all-runs'!$B:$B, B378,'Data Combined - all-runs'!$C:$C, C378, 'Data Combined - all-runs'!$D:$D, D378, 'Data Combined - all-runs'!$E:$E, E378)</f>
        <v>4334.60076</v>
      </c>
      <c r="R378" s="5">
        <f>AVERAGEIFS('Data Combined - all-runs'!$R:$R, 'Data Combined - all-runs'!$A:$A, A378,'Data Combined - all-runs'!$B:$B, B378,'Data Combined - all-runs'!$C:$C, C378, 'Data Combined - all-runs'!$D:$D, D378, 'Data Combined - all-runs'!$E:$E, E378)</f>
        <v>684</v>
      </c>
      <c r="S378" s="5">
        <f>AVERAGEIFS('Data Combined - all-runs'!$S:$S, 'Data Combined - all-runs'!$A:$A, A378,'Data Combined - all-runs'!$B:$B, B378,'Data Combined - all-runs'!$C:$C, C378, 'Data Combined - all-runs'!$D:$D, D378, 'Data Combined - all-runs'!$E:$E, E378)</f>
        <v>0</v>
      </c>
      <c r="T378" s="5" t="str">
        <f>AVERAGEIFS('Data Combined - all-runs'!$T:$T, 'Data Combined - all-runs'!$A:$A, A378,'Data Combined - all-runs'!$B:$B, B378,'Data Combined - all-runs'!$C:$C, C378, 'Data Combined - all-runs'!$D:$D, D378, 'Data Combined - all-runs'!$E:$E, E378)</f>
        <v>#DIV/0!</v>
      </c>
      <c r="U378" s="5" t="b">
        <f t="shared" si="1"/>
        <v>1</v>
      </c>
      <c r="V378" s="5" t="b">
        <f t="shared" si="2"/>
        <v>1</v>
      </c>
      <c r="W378" s="5" t="b">
        <f t="shared" si="3"/>
        <v>1</v>
      </c>
    </row>
    <row r="379">
      <c r="A379" s="2" t="s">
        <v>33</v>
      </c>
      <c r="B379" s="2" t="s">
        <v>114</v>
      </c>
      <c r="C379" s="2" t="s">
        <v>23</v>
      </c>
      <c r="D379" s="2" t="s">
        <v>72</v>
      </c>
      <c r="E379" s="2" t="s">
        <v>51</v>
      </c>
      <c r="H379" s="5">
        <f>AVERAGEIFS('Data Combined - all-runs'!$H:$H, 'Data Combined - all-runs'!$A:$A, A379,'Data Combined - all-runs'!$B:$B, B379,'Data Combined - all-runs'!$C:$C, C379, 'Data Combined - all-runs'!$D:$D, D379, 'Data Combined - all-runs'!$E:$E, E379)</f>
        <v>2590</v>
      </c>
      <c r="I379" s="5" t="str">
        <f>AVERAGEIFS('Data Combined - all-runs'!$I:$I, 'Data Combined - all-runs'!$A:$A, A379,'Data Combined - all-runs'!$B:$B, B379,'Data Combined - all-runs'!$C:$C, C379, 'Data Combined - all-runs'!$D:$D, D379, 'Data Combined - all-runs'!$E:$E, E379)</f>
        <v>#DIV/0!</v>
      </c>
      <c r="J379" s="5">
        <f>AVERAGEIFS('Data Combined - all-runs'!$J:$J, 'Data Combined - all-runs'!$A:$A, A379,'Data Combined - all-runs'!$B:$B, B379,'Data Combined - all-runs'!$C:$C, C379, 'Data Combined - all-runs'!$D:$D, D379, 'Data Combined - all-runs'!$E:$E, E379)</f>
        <v>0</v>
      </c>
      <c r="K379" s="5">
        <f>AVERAGEIFS('Data Combined - all-runs'!$K:$K, 'Data Combined - all-runs'!$A:$A, A379,'Data Combined - all-runs'!$B:$B, B379,'Data Combined - all-runs'!$C:$C, C379, 'Data Combined - all-runs'!$D:$D, D379, 'Data Combined - all-runs'!$E:$E, E379)</f>
        <v>0.03765060241</v>
      </c>
      <c r="L379" s="5">
        <f>AVERAGEIFS('Data Combined - all-runs'!$L:$L, 'Data Combined - all-runs'!$A:$A, A379,'Data Combined - all-runs'!$B:$B, B379,'Data Combined - all-runs'!$C:$C, C379, 'Data Combined - all-runs'!$D:$D, D379, 'Data Combined - all-runs'!$E:$E, E379)</f>
        <v>7535.556793</v>
      </c>
      <c r="M379" s="5">
        <f>AVERAGEIFS('Data Combined - all-runs'!$M:$M, 'Data Combined - all-runs'!$A:$A, A379,'Data Combined - all-runs'!$B:$B, B379,'Data Combined - all-runs'!$C:$C, C379, 'Data Combined - all-runs'!$D:$D, D379, 'Data Combined - all-runs'!$E:$E, E379)</f>
        <v>40</v>
      </c>
      <c r="N379" s="5">
        <f>AVERAGEIFS('Data Combined - all-runs'!$N:$N, 'Data Combined - all-runs'!$A:$A, A379,'Data Combined - all-runs'!$B:$B, B379,'Data Combined - all-runs'!$C:$C, C379, 'Data Combined - all-runs'!$D:$D, D379, 'Data Combined - all-runs'!$E:$E, E379)</f>
        <v>15</v>
      </c>
      <c r="O379" s="5">
        <f>AVERAGEIFS('Data Combined - all-runs'!$O:$O, 'Data Combined - all-runs'!$A:$A, A379,'Data Combined - all-runs'!$B:$B, B379,'Data Combined - all-runs'!$C:$C, C379, 'Data Combined - all-runs'!$D:$D, D379, 'Data Combined - all-runs'!$E:$E, E379)</f>
        <v>913</v>
      </c>
      <c r="P379" s="5">
        <f>AVERAGEIFS('Data Combined - all-runs'!$P:$P, 'Data Combined - all-runs'!$A:$A, A379,'Data Combined - all-runs'!$B:$B, B379,'Data Combined - all-runs'!$C:$C, C379, 'Data Combined - all-runs'!$D:$D, D379, 'Data Combined - all-runs'!$E:$E, E379)</f>
        <v>16.42935378</v>
      </c>
      <c r="Q379" s="5">
        <f>AVERAGEIFS('Data Combined - all-runs'!$Q:$Q, 'Data Combined - all-runs'!$A:$A, A379,'Data Combined - all-runs'!$B:$B, B379,'Data Combined - all-runs'!$C:$C, C379, 'Data Combined - all-runs'!$D:$D, D379, 'Data Combined - all-runs'!$E:$E, E379)</f>
        <v>2836.801752</v>
      </c>
      <c r="R379" s="5">
        <f>AVERAGEIFS('Data Combined - all-runs'!$R:$R, 'Data Combined - all-runs'!$A:$A, A379,'Data Combined - all-runs'!$B:$B, B379,'Data Combined - all-runs'!$C:$C, C379, 'Data Combined - all-runs'!$D:$D, D379, 'Data Combined - all-runs'!$E:$E, E379)</f>
        <v>172.6666667</v>
      </c>
      <c r="S379" s="5">
        <f>AVERAGEIFS('Data Combined - all-runs'!$S:$S, 'Data Combined - all-runs'!$A:$A, A379,'Data Combined - all-runs'!$B:$B, B379,'Data Combined - all-runs'!$C:$C, C379, 'Data Combined - all-runs'!$D:$D, D379, 'Data Combined - all-runs'!$E:$E, E379)</f>
        <v>0</v>
      </c>
      <c r="T379" s="5" t="str">
        <f>AVERAGEIFS('Data Combined - all-runs'!$T:$T, 'Data Combined - all-runs'!$A:$A, A379,'Data Combined - all-runs'!$B:$B, B379,'Data Combined - all-runs'!$C:$C, C379, 'Data Combined - all-runs'!$D:$D, D379, 'Data Combined - all-runs'!$E:$E, E379)</f>
        <v>#DIV/0!</v>
      </c>
      <c r="U379" s="5" t="b">
        <f t="shared" si="1"/>
        <v>1</v>
      </c>
      <c r="V379" s="5" t="b">
        <f t="shared" si="2"/>
        <v>1</v>
      </c>
      <c r="W379" s="5" t="b">
        <f t="shared" si="3"/>
        <v>1</v>
      </c>
    </row>
    <row r="380">
      <c r="A380" s="2" t="s">
        <v>33</v>
      </c>
      <c r="B380" s="2" t="s">
        <v>114</v>
      </c>
      <c r="C380" s="2" t="s">
        <v>23</v>
      </c>
      <c r="D380" s="2" t="s">
        <v>64</v>
      </c>
      <c r="E380" s="2" t="s">
        <v>25</v>
      </c>
      <c r="H380" s="5">
        <f>AVERAGEIFS('Data Combined - all-runs'!$H:$H, 'Data Combined - all-runs'!$A:$A, A380,'Data Combined - all-runs'!$B:$B, B380,'Data Combined - all-runs'!$C:$C, C380, 'Data Combined - all-runs'!$D:$D, D380, 'Data Combined - all-runs'!$E:$E, E380)</f>
        <v>1442</v>
      </c>
      <c r="I380" s="5">
        <f>AVERAGEIFS('Data Combined - all-runs'!$I:$I, 'Data Combined - all-runs'!$A:$A, A380,'Data Combined - all-runs'!$B:$B, B380,'Data Combined - all-runs'!$C:$C, C380, 'Data Combined - all-runs'!$D:$D, D380, 'Data Combined - all-runs'!$E:$E, E380)</f>
        <v>0</v>
      </c>
      <c r="J380" s="5">
        <f>AVERAGEIFS('Data Combined - all-runs'!$J:$J, 'Data Combined - all-runs'!$A:$A, A380,'Data Combined - all-runs'!$B:$B, B380,'Data Combined - all-runs'!$C:$C, C380, 'Data Combined - all-runs'!$D:$D, D380, 'Data Combined - all-runs'!$E:$E, E380)</f>
        <v>0</v>
      </c>
      <c r="K380" s="5">
        <f>AVERAGEIFS('Data Combined - all-runs'!$K:$K, 'Data Combined - all-runs'!$A:$A, A380,'Data Combined - all-runs'!$B:$B, B380,'Data Combined - all-runs'!$C:$C, C380, 'Data Combined - all-runs'!$D:$D, D380, 'Data Combined - all-runs'!$E:$E, E380)</f>
        <v>0.1197695573</v>
      </c>
      <c r="L380" s="5">
        <f>AVERAGEIFS('Data Combined - all-runs'!$L:$L, 'Data Combined - all-runs'!$A:$A, A380,'Data Combined - all-runs'!$B:$B, B380,'Data Combined - all-runs'!$C:$C, C380, 'Data Combined - all-runs'!$D:$D, D380, 'Data Combined - all-runs'!$E:$E, E380)</f>
        <v>3295.632022</v>
      </c>
      <c r="M380" s="5">
        <f>AVERAGEIFS('Data Combined - all-runs'!$M:$M, 'Data Combined - all-runs'!$A:$A, A380,'Data Combined - all-runs'!$B:$B, B380,'Data Combined - all-runs'!$C:$C, C380, 'Data Combined - all-runs'!$D:$D, D380, 'Data Combined - all-runs'!$E:$E, E380)</f>
        <v>35</v>
      </c>
      <c r="N380" s="5">
        <f>AVERAGEIFS('Data Combined - all-runs'!$N:$N, 'Data Combined - all-runs'!$A:$A, A380,'Data Combined - all-runs'!$B:$B, B380,'Data Combined - all-runs'!$C:$C, C380, 'Data Combined - all-runs'!$D:$D, D380, 'Data Combined - all-runs'!$E:$E, E380)</f>
        <v>20</v>
      </c>
      <c r="O380" s="5">
        <f>AVERAGEIFS('Data Combined - all-runs'!$O:$O, 'Data Combined - all-runs'!$A:$A, A380,'Data Combined - all-runs'!$B:$B, B380,'Data Combined - all-runs'!$C:$C, C380, 'Data Combined - all-runs'!$D:$D, D380, 'Data Combined - all-runs'!$E:$E, E380)</f>
        <v>1649</v>
      </c>
      <c r="P380" s="5">
        <f>AVERAGEIFS('Data Combined - all-runs'!$P:$P, 'Data Combined - all-runs'!$A:$A, A380,'Data Combined - all-runs'!$B:$B, B380,'Data Combined - all-runs'!$C:$C, C380, 'Data Combined - all-runs'!$D:$D, D380, 'Data Combined - all-runs'!$E:$E, E380)</f>
        <v>12.12856277</v>
      </c>
      <c r="Q380" s="5">
        <f>AVERAGEIFS('Data Combined - all-runs'!$Q:$Q, 'Data Combined - all-runs'!$A:$A, A380,'Data Combined - all-runs'!$B:$B, B380,'Data Combined - all-runs'!$C:$C, C380, 'Data Combined - all-runs'!$D:$D, D380, 'Data Combined - all-runs'!$E:$E, E380)</f>
        <v>874.4693754</v>
      </c>
      <c r="R380" s="5">
        <f>AVERAGEIFS('Data Combined - all-runs'!$R:$R, 'Data Combined - all-runs'!$A:$A, A380,'Data Combined - all-runs'!$B:$B, B380,'Data Combined - all-runs'!$C:$C, C380, 'Data Combined - all-runs'!$D:$D, D380, 'Data Combined - all-runs'!$E:$E, E380)</f>
        <v>72.1</v>
      </c>
      <c r="S380" s="5">
        <f>AVERAGEIFS('Data Combined - all-runs'!$S:$S, 'Data Combined - all-runs'!$A:$A, A380,'Data Combined - all-runs'!$B:$B, B380,'Data Combined - all-runs'!$C:$C, C380, 'Data Combined - all-runs'!$D:$D, D380, 'Data Combined - all-runs'!$E:$E, E380)</f>
        <v>0</v>
      </c>
      <c r="T380" s="5">
        <f>AVERAGEIFS('Data Combined - all-runs'!$T:$T, 'Data Combined - all-runs'!$A:$A, A380,'Data Combined - all-runs'!$B:$B, B380,'Data Combined - all-runs'!$C:$C, C380, 'Data Combined - all-runs'!$D:$D, D380, 'Data Combined - all-runs'!$E:$E, E380)</f>
        <v>0</v>
      </c>
      <c r="U380" s="5" t="b">
        <f t="shared" si="1"/>
        <v>1</v>
      </c>
      <c r="V380" s="5" t="b">
        <f t="shared" si="2"/>
        <v>1</v>
      </c>
      <c r="W380" s="5" t="b">
        <f t="shared" si="3"/>
        <v>1</v>
      </c>
    </row>
    <row r="381">
      <c r="A381" s="2" t="s">
        <v>33</v>
      </c>
      <c r="B381" s="2" t="s">
        <v>114</v>
      </c>
      <c r="C381" s="2" t="s">
        <v>23</v>
      </c>
      <c r="D381" s="2" t="s">
        <v>64</v>
      </c>
      <c r="E381" s="2" t="s">
        <v>39</v>
      </c>
      <c r="H381" s="5">
        <f>AVERAGEIFS('Data Combined - all-runs'!$H:$H, 'Data Combined - all-runs'!$A:$A, A381,'Data Combined - all-runs'!$B:$B, B381,'Data Combined - all-runs'!$C:$C, C381, 'Data Combined - all-runs'!$D:$D, D381, 'Data Combined - all-runs'!$E:$E, E381)</f>
        <v>140</v>
      </c>
      <c r="I381" s="5">
        <f>AVERAGEIFS('Data Combined - all-runs'!$I:$I, 'Data Combined - all-runs'!$A:$A, A381,'Data Combined - all-runs'!$B:$B, B381,'Data Combined - all-runs'!$C:$C, C381, 'Data Combined - all-runs'!$D:$D, D381, 'Data Combined - all-runs'!$E:$E, E381)</f>
        <v>0</v>
      </c>
      <c r="J381" s="5">
        <f>AVERAGEIFS('Data Combined - all-runs'!$J:$J, 'Data Combined - all-runs'!$A:$A, A381,'Data Combined - all-runs'!$B:$B, B381,'Data Combined - all-runs'!$C:$C, C381, 'Data Combined - all-runs'!$D:$D, D381, 'Data Combined - all-runs'!$E:$E, E381)</f>
        <v>0</v>
      </c>
      <c r="K381" s="5">
        <f>AVERAGEIFS('Data Combined - all-runs'!$K:$K, 'Data Combined - all-runs'!$A:$A, A381,'Data Combined - all-runs'!$B:$B, B381,'Data Combined - all-runs'!$C:$C, C381, 'Data Combined - all-runs'!$D:$D, D381, 'Data Combined - all-runs'!$E:$E, E381)</f>
        <v>0.101</v>
      </c>
      <c r="L381" s="5">
        <f>AVERAGEIFS('Data Combined - all-runs'!$L:$L, 'Data Combined - all-runs'!$A:$A, A381,'Data Combined - all-runs'!$B:$B, B381,'Data Combined - all-runs'!$C:$C, C381, 'Data Combined - all-runs'!$D:$D, D381, 'Data Combined - all-runs'!$E:$E, E381)</f>
        <v>423.5593737</v>
      </c>
      <c r="M381" s="5" t="str">
        <f>AVERAGEIFS('Data Combined - all-runs'!$M:$M, 'Data Combined - all-runs'!$A:$A, A381,'Data Combined - all-runs'!$B:$B, B381,'Data Combined - all-runs'!$C:$C, C381, 'Data Combined - all-runs'!$D:$D, D381, 'Data Combined - all-runs'!$E:$E, E381)</f>
        <v>#DIV/0!</v>
      </c>
      <c r="N381" s="5">
        <f>AVERAGEIFS('Data Combined - all-runs'!$N:$N, 'Data Combined - all-runs'!$A:$A, A381,'Data Combined - all-runs'!$B:$B, B381,'Data Combined - all-runs'!$C:$C, C381, 'Data Combined - all-runs'!$D:$D, D381, 'Data Combined - all-runs'!$E:$E, E381)</f>
        <v>0</v>
      </c>
      <c r="O381" s="5">
        <f>AVERAGEIFS('Data Combined - all-runs'!$O:$O, 'Data Combined - all-runs'!$A:$A, A381,'Data Combined - all-runs'!$B:$B, B381,'Data Combined - all-runs'!$C:$C, C381, 'Data Combined - all-runs'!$D:$D, D381, 'Data Combined - all-runs'!$E:$E, E381)</f>
        <v>500</v>
      </c>
      <c r="P381" s="5">
        <f>AVERAGEIFS('Data Combined - all-runs'!$P:$P, 'Data Combined - all-runs'!$A:$A, A381,'Data Combined - all-runs'!$B:$B, B381,'Data Combined - all-runs'!$C:$C, C381, 'Data Combined - all-runs'!$D:$D, D381, 'Data Combined - all-runs'!$E:$E, E381)</f>
        <v>0</v>
      </c>
      <c r="Q381" s="5">
        <f>AVERAGEIFS('Data Combined - all-runs'!$Q:$Q, 'Data Combined - all-runs'!$A:$A, A381,'Data Combined - all-runs'!$B:$B, B381,'Data Combined - all-runs'!$C:$C, C381, 'Data Combined - all-runs'!$D:$D, D381, 'Data Combined - all-runs'!$E:$E, E381)</f>
        <v>280</v>
      </c>
      <c r="R381" s="5" t="str">
        <f>AVERAGEIFS('Data Combined - all-runs'!$R:$R, 'Data Combined - all-runs'!$A:$A, A381,'Data Combined - all-runs'!$B:$B, B381,'Data Combined - all-runs'!$C:$C, C381, 'Data Combined - all-runs'!$D:$D, D381, 'Data Combined - all-runs'!$E:$E, E381)</f>
        <v>#DIV/0!</v>
      </c>
      <c r="S381" s="5">
        <f>AVERAGEIFS('Data Combined - all-runs'!$S:$S, 'Data Combined - all-runs'!$A:$A, A381,'Data Combined - all-runs'!$B:$B, B381,'Data Combined - all-runs'!$C:$C, C381, 'Data Combined - all-runs'!$D:$D, D381, 'Data Combined - all-runs'!$E:$E, E381)</f>
        <v>0</v>
      </c>
      <c r="T381" s="5">
        <f>AVERAGEIFS('Data Combined - all-runs'!$T:$T, 'Data Combined - all-runs'!$A:$A, A381,'Data Combined - all-runs'!$B:$B, B381,'Data Combined - all-runs'!$C:$C, C381, 'Data Combined - all-runs'!$D:$D, D381, 'Data Combined - all-runs'!$E:$E, E381)</f>
        <v>0</v>
      </c>
      <c r="U381" s="5" t="b">
        <f t="shared" si="1"/>
        <v>1</v>
      </c>
      <c r="V381" s="5" t="b">
        <f t="shared" si="2"/>
        <v>1</v>
      </c>
      <c r="W381" s="5" t="b">
        <f t="shared" si="3"/>
        <v>1</v>
      </c>
    </row>
    <row r="382">
      <c r="A382" s="2" t="s">
        <v>33</v>
      </c>
      <c r="B382" s="2" t="s">
        <v>114</v>
      </c>
      <c r="C382" s="2" t="s">
        <v>23</v>
      </c>
      <c r="D382" s="2" t="s">
        <v>64</v>
      </c>
      <c r="E382" s="2" t="s">
        <v>43</v>
      </c>
      <c r="H382" s="5">
        <f>AVERAGEIFS('Data Combined - all-runs'!$H:$H, 'Data Combined - all-runs'!$A:$A, A382,'Data Combined - all-runs'!$B:$B, B382,'Data Combined - all-runs'!$C:$C, C382, 'Data Combined - all-runs'!$D:$D, D382, 'Data Combined - all-runs'!$E:$E, E382)</f>
        <v>1805.5</v>
      </c>
      <c r="I382" s="5">
        <f>AVERAGEIFS('Data Combined - all-runs'!$I:$I, 'Data Combined - all-runs'!$A:$A, A382,'Data Combined - all-runs'!$B:$B, B382,'Data Combined - all-runs'!$C:$C, C382, 'Data Combined - all-runs'!$D:$D, D382, 'Data Combined - all-runs'!$E:$E, E382)</f>
        <v>0</v>
      </c>
      <c r="J382" s="5">
        <f>AVERAGEIFS('Data Combined - all-runs'!$J:$J, 'Data Combined - all-runs'!$A:$A, A382,'Data Combined - all-runs'!$B:$B, B382,'Data Combined - all-runs'!$C:$C, C382, 'Data Combined - all-runs'!$D:$D, D382, 'Data Combined - all-runs'!$E:$E, E382)</f>
        <v>0</v>
      </c>
      <c r="K382" s="5">
        <f>AVERAGEIFS('Data Combined - all-runs'!$K:$K, 'Data Combined - all-runs'!$A:$A, A382,'Data Combined - all-runs'!$B:$B, B382,'Data Combined - all-runs'!$C:$C, C382, 'Data Combined - all-runs'!$D:$D, D382, 'Data Combined - all-runs'!$E:$E, E382)</f>
        <v>0.1462559479</v>
      </c>
      <c r="L382" s="5">
        <f>AVERAGEIFS('Data Combined - all-runs'!$L:$L, 'Data Combined - all-runs'!$A:$A, A382,'Data Combined - all-runs'!$B:$B, B382,'Data Combined - all-runs'!$C:$C, C382, 'Data Combined - all-runs'!$D:$D, D382, 'Data Combined - all-runs'!$E:$E, E382)</f>
        <v>5431.33806</v>
      </c>
      <c r="M382" s="5">
        <f>AVERAGEIFS('Data Combined - all-runs'!$M:$M, 'Data Combined - all-runs'!$A:$A, A382,'Data Combined - all-runs'!$B:$B, B382,'Data Combined - all-runs'!$C:$C, C382, 'Data Combined - all-runs'!$D:$D, D382, 'Data Combined - all-runs'!$E:$E, E382)</f>
        <v>41</v>
      </c>
      <c r="N382" s="5">
        <f>AVERAGEIFS('Data Combined - all-runs'!$N:$N, 'Data Combined - all-runs'!$A:$A, A382,'Data Combined - all-runs'!$B:$B, B382,'Data Combined - all-runs'!$C:$C, C382, 'Data Combined - all-runs'!$D:$D, D382, 'Data Combined - all-runs'!$E:$E, E382)</f>
        <v>11</v>
      </c>
      <c r="O382" s="5">
        <f>AVERAGEIFS('Data Combined - all-runs'!$O:$O, 'Data Combined - all-runs'!$A:$A, A382,'Data Combined - all-runs'!$B:$B, B382,'Data Combined - all-runs'!$C:$C, C382, 'Data Combined - all-runs'!$D:$D, D382, 'Data Combined - all-runs'!$E:$E, E382)</f>
        <v>1331</v>
      </c>
      <c r="P382" s="5">
        <f>AVERAGEIFS('Data Combined - all-runs'!$P:$P, 'Data Combined - all-runs'!$A:$A, A382,'Data Combined - all-runs'!$B:$B, B382,'Data Combined - all-runs'!$C:$C, C382, 'Data Combined - all-runs'!$D:$D, D382, 'Data Combined - all-runs'!$E:$E, E382)</f>
        <v>8.26446281</v>
      </c>
      <c r="Q382" s="5">
        <f>AVERAGEIFS('Data Combined - all-runs'!$Q:$Q, 'Data Combined - all-runs'!$A:$A, A382,'Data Combined - all-runs'!$B:$B, B382,'Data Combined - all-runs'!$C:$C, C382, 'Data Combined - all-runs'!$D:$D, D382, 'Data Combined - all-runs'!$E:$E, E382)</f>
        <v>1356.498873</v>
      </c>
      <c r="R382" s="5">
        <f>AVERAGEIFS('Data Combined - all-runs'!$R:$R, 'Data Combined - all-runs'!$A:$A, A382,'Data Combined - all-runs'!$B:$B, B382,'Data Combined - all-runs'!$C:$C, C382, 'Data Combined - all-runs'!$D:$D, D382, 'Data Combined - all-runs'!$E:$E, E382)</f>
        <v>164.1363636</v>
      </c>
      <c r="S382" s="5">
        <f>AVERAGEIFS('Data Combined - all-runs'!$S:$S, 'Data Combined - all-runs'!$A:$A, A382,'Data Combined - all-runs'!$B:$B, B382,'Data Combined - all-runs'!$C:$C, C382, 'Data Combined - all-runs'!$D:$D, D382, 'Data Combined - all-runs'!$E:$E, E382)</f>
        <v>0</v>
      </c>
      <c r="T382" s="5">
        <f>AVERAGEIFS('Data Combined - all-runs'!$T:$T, 'Data Combined - all-runs'!$A:$A, A382,'Data Combined - all-runs'!$B:$B, B382,'Data Combined - all-runs'!$C:$C, C382, 'Data Combined - all-runs'!$D:$D, D382, 'Data Combined - all-runs'!$E:$E, E382)</f>
        <v>0</v>
      </c>
      <c r="U382" s="5" t="b">
        <f t="shared" si="1"/>
        <v>1</v>
      </c>
      <c r="V382" s="5" t="b">
        <f t="shared" si="2"/>
        <v>1</v>
      </c>
      <c r="W382" s="5" t="b">
        <f t="shared" si="3"/>
        <v>1</v>
      </c>
    </row>
    <row r="383">
      <c r="A383" s="2" t="s">
        <v>33</v>
      </c>
      <c r="B383" s="2" t="s">
        <v>114</v>
      </c>
      <c r="C383" s="2" t="s">
        <v>23</v>
      </c>
      <c r="D383" s="2" t="s">
        <v>64</v>
      </c>
      <c r="E383" s="2" t="s">
        <v>34</v>
      </c>
      <c r="H383" s="5">
        <f>AVERAGEIFS('Data Combined - all-runs'!$H:$H, 'Data Combined - all-runs'!$A:$A, A383,'Data Combined - all-runs'!$B:$B, B383,'Data Combined - all-runs'!$C:$C, C383, 'Data Combined - all-runs'!$D:$D, D383, 'Data Combined - all-runs'!$E:$E, E383)</f>
        <v>3323.5</v>
      </c>
      <c r="I383" s="5">
        <f>AVERAGEIFS('Data Combined - all-runs'!$I:$I, 'Data Combined - all-runs'!$A:$A, A383,'Data Combined - all-runs'!$B:$B, B383,'Data Combined - all-runs'!$C:$C, C383, 'Data Combined - all-runs'!$D:$D, D383, 'Data Combined - all-runs'!$E:$E, E383)</f>
        <v>0</v>
      </c>
      <c r="J383" s="5">
        <f>AVERAGEIFS('Data Combined - all-runs'!$J:$J, 'Data Combined - all-runs'!$A:$A, A383,'Data Combined - all-runs'!$B:$B, B383,'Data Combined - all-runs'!$C:$C, C383, 'Data Combined - all-runs'!$D:$D, D383, 'Data Combined - all-runs'!$E:$E, E383)</f>
        <v>0</v>
      </c>
      <c r="K383" s="5">
        <f>AVERAGEIFS('Data Combined - all-runs'!$K:$K, 'Data Combined - all-runs'!$A:$A, A383,'Data Combined - all-runs'!$B:$B, B383,'Data Combined - all-runs'!$C:$C, C383, 'Data Combined - all-runs'!$D:$D, D383, 'Data Combined - all-runs'!$E:$E, E383)</f>
        <v>0.1390797268</v>
      </c>
      <c r="L383" s="5">
        <f>AVERAGEIFS('Data Combined - all-runs'!$L:$L, 'Data Combined - all-runs'!$A:$A, A383,'Data Combined - all-runs'!$B:$B, B383,'Data Combined - all-runs'!$C:$C, C383, 'Data Combined - all-runs'!$D:$D, D383, 'Data Combined - all-runs'!$E:$E, E383)</f>
        <v>9696.872973</v>
      </c>
      <c r="M383" s="5">
        <f>AVERAGEIFS('Data Combined - all-runs'!$M:$M, 'Data Combined - all-runs'!$A:$A, A383,'Data Combined - all-runs'!$B:$B, B383,'Data Combined - all-runs'!$C:$C, C383, 'Data Combined - all-runs'!$D:$D, D383, 'Data Combined - all-runs'!$E:$E, E383)</f>
        <v>24</v>
      </c>
      <c r="N383" s="5">
        <f>AVERAGEIFS('Data Combined - all-runs'!$N:$N, 'Data Combined - all-runs'!$A:$A, A383,'Data Combined - all-runs'!$B:$B, B383,'Data Combined - all-runs'!$C:$C, C383, 'Data Combined - all-runs'!$D:$D, D383, 'Data Combined - all-runs'!$E:$E, E383)</f>
        <v>16</v>
      </c>
      <c r="O383" s="5">
        <f>AVERAGEIFS('Data Combined - all-runs'!$O:$O, 'Data Combined - all-runs'!$A:$A, A383,'Data Combined - all-runs'!$B:$B, B383,'Data Combined - all-runs'!$C:$C, C383, 'Data Combined - all-runs'!$D:$D, D383, 'Data Combined - all-runs'!$E:$E, E383)</f>
        <v>2432</v>
      </c>
      <c r="P383" s="5">
        <f>AVERAGEIFS('Data Combined - all-runs'!$P:$P, 'Data Combined - all-runs'!$A:$A, A383,'Data Combined - all-runs'!$B:$B, B383,'Data Combined - all-runs'!$C:$C, C383, 'Data Combined - all-runs'!$D:$D, D383, 'Data Combined - all-runs'!$E:$E, E383)</f>
        <v>6.503647866</v>
      </c>
      <c r="Q383" s="5">
        <f>AVERAGEIFS('Data Combined - all-runs'!$Q:$Q, 'Data Combined - all-runs'!$A:$A, A383,'Data Combined - all-runs'!$B:$B, B383,'Data Combined - all-runs'!$C:$C, C383, 'Data Combined - all-runs'!$D:$D, D383, 'Data Combined - all-runs'!$E:$E, E383)</f>
        <v>1352.69784</v>
      </c>
      <c r="R383" s="5">
        <f>AVERAGEIFS('Data Combined - all-runs'!$R:$R, 'Data Combined - all-runs'!$A:$A, A383,'Data Combined - all-runs'!$B:$B, B383,'Data Combined - all-runs'!$C:$C, C383, 'Data Combined - all-runs'!$D:$D, D383, 'Data Combined - all-runs'!$E:$E, E383)</f>
        <v>208.9083333</v>
      </c>
      <c r="S383" s="5">
        <f>AVERAGEIFS('Data Combined - all-runs'!$S:$S, 'Data Combined - all-runs'!$A:$A, A383,'Data Combined - all-runs'!$B:$B, B383,'Data Combined - all-runs'!$C:$C, C383, 'Data Combined - all-runs'!$D:$D, D383, 'Data Combined - all-runs'!$E:$E, E383)</f>
        <v>0</v>
      </c>
      <c r="T383" s="5">
        <f>AVERAGEIFS('Data Combined - all-runs'!$T:$T, 'Data Combined - all-runs'!$A:$A, A383,'Data Combined - all-runs'!$B:$B, B383,'Data Combined - all-runs'!$C:$C, C383, 'Data Combined - all-runs'!$D:$D, D383, 'Data Combined - all-runs'!$E:$E, E383)</f>
        <v>0</v>
      </c>
      <c r="U383" s="5" t="b">
        <f t="shared" si="1"/>
        <v>1</v>
      </c>
      <c r="V383" s="5" t="b">
        <f t="shared" si="2"/>
        <v>1</v>
      </c>
      <c r="W383" s="5" t="b">
        <f t="shared" si="3"/>
        <v>1</v>
      </c>
    </row>
    <row r="384">
      <c r="A384" s="2" t="s">
        <v>33</v>
      </c>
      <c r="B384" s="2" t="s">
        <v>114</v>
      </c>
      <c r="C384" s="2" t="s">
        <v>23</v>
      </c>
      <c r="D384" s="2" t="s">
        <v>64</v>
      </c>
      <c r="E384" s="2" t="s">
        <v>47</v>
      </c>
      <c r="H384" s="5">
        <f>AVERAGEIFS('Data Combined - all-runs'!$H:$H, 'Data Combined - all-runs'!$A:$A, A384,'Data Combined - all-runs'!$B:$B, B384,'Data Combined - all-runs'!$C:$C, C384, 'Data Combined - all-runs'!$D:$D, D384, 'Data Combined - all-runs'!$E:$E, E384)</f>
        <v>2426.5</v>
      </c>
      <c r="I384" s="5">
        <f>AVERAGEIFS('Data Combined - all-runs'!$I:$I, 'Data Combined - all-runs'!$A:$A, A384,'Data Combined - all-runs'!$B:$B, B384,'Data Combined - all-runs'!$C:$C, C384, 'Data Combined - all-runs'!$D:$D, D384, 'Data Combined - all-runs'!$E:$E, E384)</f>
        <v>0</v>
      </c>
      <c r="J384" s="5">
        <f>AVERAGEIFS('Data Combined - all-runs'!$J:$J, 'Data Combined - all-runs'!$A:$A, A384,'Data Combined - all-runs'!$B:$B, B384,'Data Combined - all-runs'!$C:$C, C384, 'Data Combined - all-runs'!$D:$D, D384, 'Data Combined - all-runs'!$E:$E, E384)</f>
        <v>0</v>
      </c>
      <c r="K384" s="5">
        <f>AVERAGEIFS('Data Combined - all-runs'!$K:$K, 'Data Combined - all-runs'!$A:$A, A384,'Data Combined - all-runs'!$B:$B, B384,'Data Combined - all-runs'!$C:$C, C384, 'Data Combined - all-runs'!$D:$D, D384, 'Data Combined - all-runs'!$E:$E, E384)</f>
        <v>0.1233804071</v>
      </c>
      <c r="L384" s="5">
        <f>AVERAGEIFS('Data Combined - all-runs'!$L:$L, 'Data Combined - all-runs'!$A:$A, A384,'Data Combined - all-runs'!$B:$B, B384,'Data Combined - all-runs'!$C:$C, C384, 'Data Combined - all-runs'!$D:$D, D384, 'Data Combined - all-runs'!$E:$E, E384)</f>
        <v>9576.830637</v>
      </c>
      <c r="M384" s="5">
        <f>AVERAGEIFS('Data Combined - all-runs'!$M:$M, 'Data Combined - all-runs'!$A:$A, A384,'Data Combined - all-runs'!$B:$B, B384,'Data Combined - all-runs'!$C:$C, C384, 'Data Combined - all-runs'!$D:$D, D384, 'Data Combined - all-runs'!$E:$E, E384)</f>
        <v>46</v>
      </c>
      <c r="N384" s="5">
        <f>AVERAGEIFS('Data Combined - all-runs'!$N:$N, 'Data Combined - all-runs'!$A:$A, A384,'Data Combined - all-runs'!$B:$B, B384,'Data Combined - all-runs'!$C:$C, C384, 'Data Combined - all-runs'!$D:$D, D384, 'Data Combined - all-runs'!$E:$E, E384)</f>
        <v>9</v>
      </c>
      <c r="O384" s="5">
        <f>AVERAGEIFS('Data Combined - all-runs'!$O:$O, 'Data Combined - all-runs'!$A:$A, A384,'Data Combined - all-runs'!$B:$B, B384,'Data Combined - all-runs'!$C:$C, C384, 'Data Combined - all-runs'!$D:$D, D384, 'Data Combined - all-runs'!$E:$E, E384)</f>
        <v>1870.5</v>
      </c>
      <c r="P384" s="5">
        <f>AVERAGEIFS('Data Combined - all-runs'!$P:$P, 'Data Combined - all-runs'!$A:$A, A384,'Data Combined - all-runs'!$B:$B, B384,'Data Combined - all-runs'!$C:$C, C384, 'Data Combined - all-runs'!$D:$D, D384, 'Data Combined - all-runs'!$E:$E, E384)</f>
        <v>4.958753468</v>
      </c>
      <c r="Q384" s="5">
        <f>AVERAGEIFS('Data Combined - all-runs'!$Q:$Q, 'Data Combined - all-runs'!$A:$A, A384,'Data Combined - all-runs'!$B:$B, B384,'Data Combined - all-runs'!$C:$C, C384, 'Data Combined - all-runs'!$D:$D, D384, 'Data Combined - all-runs'!$E:$E, E384)</f>
        <v>1296.058401</v>
      </c>
      <c r="R384" s="5">
        <f>AVERAGEIFS('Data Combined - all-runs'!$R:$R, 'Data Combined - all-runs'!$A:$A, A384,'Data Combined - all-runs'!$B:$B, B384,'Data Combined - all-runs'!$C:$C, C384, 'Data Combined - all-runs'!$D:$D, D384, 'Data Combined - all-runs'!$E:$E, E384)</f>
        <v>262.875</v>
      </c>
      <c r="S384" s="5">
        <f>AVERAGEIFS('Data Combined - all-runs'!$S:$S, 'Data Combined - all-runs'!$A:$A, A384,'Data Combined - all-runs'!$B:$B, B384,'Data Combined - all-runs'!$C:$C, C384, 'Data Combined - all-runs'!$D:$D, D384, 'Data Combined - all-runs'!$E:$E, E384)</f>
        <v>0</v>
      </c>
      <c r="T384" s="5">
        <f>AVERAGEIFS('Data Combined - all-runs'!$T:$T, 'Data Combined - all-runs'!$A:$A, A384,'Data Combined - all-runs'!$B:$B, B384,'Data Combined - all-runs'!$C:$C, C384, 'Data Combined - all-runs'!$D:$D, D384, 'Data Combined - all-runs'!$E:$E, E384)</f>
        <v>0</v>
      </c>
      <c r="U384" s="5" t="b">
        <f t="shared" si="1"/>
        <v>1</v>
      </c>
      <c r="V384" s="5" t="b">
        <f t="shared" si="2"/>
        <v>1</v>
      </c>
      <c r="W384" s="5" t="b">
        <f t="shared" si="3"/>
        <v>1</v>
      </c>
    </row>
    <row r="385">
      <c r="A385" s="2" t="s">
        <v>33</v>
      </c>
      <c r="B385" s="2" t="s">
        <v>114</v>
      </c>
      <c r="C385" s="2" t="s">
        <v>23</v>
      </c>
      <c r="D385" s="2" t="s">
        <v>64</v>
      </c>
      <c r="E385" s="2" t="s">
        <v>51</v>
      </c>
      <c r="H385" s="5">
        <f>AVERAGEIFS('Data Combined - all-runs'!$H:$H, 'Data Combined - all-runs'!$A:$A, A385,'Data Combined - all-runs'!$B:$B, B385,'Data Combined - all-runs'!$C:$C, C385, 'Data Combined - all-runs'!$D:$D, D385, 'Data Combined - all-runs'!$E:$E, E385)</f>
        <v>1048.5</v>
      </c>
      <c r="I385" s="5">
        <f>AVERAGEIFS('Data Combined - all-runs'!$I:$I, 'Data Combined - all-runs'!$A:$A, A385,'Data Combined - all-runs'!$B:$B, B385,'Data Combined - all-runs'!$C:$C, C385, 'Data Combined - all-runs'!$D:$D, D385, 'Data Combined - all-runs'!$E:$E, E385)</f>
        <v>0</v>
      </c>
      <c r="J385" s="5">
        <f>AVERAGEIFS('Data Combined - all-runs'!$J:$J, 'Data Combined - all-runs'!$A:$A, A385,'Data Combined - all-runs'!$B:$B, B385,'Data Combined - all-runs'!$C:$C, C385, 'Data Combined - all-runs'!$D:$D, D385, 'Data Combined - all-runs'!$E:$E, E385)</f>
        <v>0</v>
      </c>
      <c r="K385" s="5">
        <f>AVERAGEIFS('Data Combined - all-runs'!$K:$K, 'Data Combined - all-runs'!$A:$A, A385,'Data Combined - all-runs'!$B:$B, B385,'Data Combined - all-runs'!$C:$C, C385, 'Data Combined - all-runs'!$D:$D, D385, 'Data Combined - all-runs'!$E:$E, E385)</f>
        <v>0.1013349515</v>
      </c>
      <c r="L385" s="5">
        <f>AVERAGEIFS('Data Combined - all-runs'!$L:$L, 'Data Combined - all-runs'!$A:$A, A385,'Data Combined - all-runs'!$B:$B, B385,'Data Combined - all-runs'!$C:$C, C385, 'Data Combined - all-runs'!$D:$D, D385, 'Data Combined - all-runs'!$E:$E, E385)</f>
        <v>3704.844652</v>
      </c>
      <c r="M385" s="5">
        <f>AVERAGEIFS('Data Combined - all-runs'!$M:$M, 'Data Combined - all-runs'!$A:$A, A385,'Data Combined - all-runs'!$B:$B, B385,'Data Combined - all-runs'!$C:$C, C385, 'Data Combined - all-runs'!$D:$D, D385, 'Data Combined - all-runs'!$E:$E, E385)</f>
        <v>40</v>
      </c>
      <c r="N385" s="5">
        <f>AVERAGEIFS('Data Combined - all-runs'!$N:$N, 'Data Combined - all-runs'!$A:$A, A385,'Data Combined - all-runs'!$B:$B, B385,'Data Combined - all-runs'!$C:$C, C385, 'Data Combined - all-runs'!$D:$D, D385, 'Data Combined - all-runs'!$E:$E, E385)</f>
        <v>6</v>
      </c>
      <c r="O385" s="5">
        <f>AVERAGEIFS('Data Combined - all-runs'!$O:$O, 'Data Combined - all-runs'!$A:$A, A385,'Data Combined - all-runs'!$B:$B, B385,'Data Combined - all-runs'!$C:$C, C385, 'Data Combined - all-runs'!$D:$D, D385, 'Data Combined - all-runs'!$E:$E, E385)</f>
        <v>824</v>
      </c>
      <c r="P385" s="5">
        <f>AVERAGEIFS('Data Combined - all-runs'!$P:$P, 'Data Combined - all-runs'!$A:$A, A385,'Data Combined - all-runs'!$B:$B, B385,'Data Combined - all-runs'!$C:$C, C385, 'Data Combined - all-runs'!$D:$D, D385, 'Data Combined - all-runs'!$E:$E, E385)</f>
        <v>7.281553398</v>
      </c>
      <c r="Q385" s="5">
        <f>AVERAGEIFS('Data Combined - all-runs'!$Q:$Q, 'Data Combined - all-runs'!$A:$A, A385,'Data Combined - all-runs'!$B:$B, B385,'Data Combined - all-runs'!$C:$C, C385, 'Data Combined - all-runs'!$D:$D, D385, 'Data Combined - all-runs'!$E:$E, E385)</f>
        <v>1272.451456</v>
      </c>
      <c r="R385" s="5">
        <f>AVERAGEIFS('Data Combined - all-runs'!$R:$R, 'Data Combined - all-runs'!$A:$A, A385,'Data Combined - all-runs'!$B:$B, B385,'Data Combined - all-runs'!$C:$C, C385, 'Data Combined - all-runs'!$D:$D, D385, 'Data Combined - all-runs'!$E:$E, E385)</f>
        <v>174.75</v>
      </c>
      <c r="S385" s="5">
        <f>AVERAGEIFS('Data Combined - all-runs'!$S:$S, 'Data Combined - all-runs'!$A:$A, A385,'Data Combined - all-runs'!$B:$B, B385,'Data Combined - all-runs'!$C:$C, C385, 'Data Combined - all-runs'!$D:$D, D385, 'Data Combined - all-runs'!$E:$E, E385)</f>
        <v>0</v>
      </c>
      <c r="T385" s="5">
        <f>AVERAGEIFS('Data Combined - all-runs'!$T:$T, 'Data Combined - all-runs'!$A:$A, A385,'Data Combined - all-runs'!$B:$B, B385,'Data Combined - all-runs'!$C:$C, C385, 'Data Combined - all-runs'!$D:$D, D385, 'Data Combined - all-runs'!$E:$E, E385)</f>
        <v>0</v>
      </c>
      <c r="U385" s="5" t="b">
        <f t="shared" si="1"/>
        <v>1</v>
      </c>
      <c r="V385" s="5" t="b">
        <f t="shared" si="2"/>
        <v>1</v>
      </c>
      <c r="W385" s="5" t="b">
        <f t="shared" si="3"/>
        <v>1</v>
      </c>
    </row>
    <row r="386">
      <c r="A386" s="2" t="s">
        <v>33</v>
      </c>
      <c r="B386" s="2" t="s">
        <v>114</v>
      </c>
      <c r="C386" s="2" t="s">
        <v>23</v>
      </c>
      <c r="D386" s="2" t="s">
        <v>102</v>
      </c>
      <c r="E386" s="2" t="s">
        <v>25</v>
      </c>
      <c r="H386" s="5">
        <f>AVERAGEIFS('Data Combined - all-runs'!$H:$H, 'Data Combined - all-runs'!$A:$A, A386,'Data Combined - all-runs'!$B:$B, B386,'Data Combined - all-runs'!$C:$C, C386, 'Data Combined - all-runs'!$D:$D, D386, 'Data Combined - all-runs'!$E:$E, E386)</f>
        <v>95</v>
      </c>
      <c r="I386" s="5" t="str">
        <f>AVERAGEIFS('Data Combined - all-runs'!$I:$I, 'Data Combined - all-runs'!$A:$A, A386,'Data Combined - all-runs'!$B:$B, B386,'Data Combined - all-runs'!$C:$C, C386, 'Data Combined - all-runs'!$D:$D, D386, 'Data Combined - all-runs'!$E:$E, E386)</f>
        <v>#DIV/0!</v>
      </c>
      <c r="J386" s="5">
        <f>AVERAGEIFS('Data Combined - all-runs'!$J:$J, 'Data Combined - all-runs'!$A:$A, A386,'Data Combined - all-runs'!$B:$B, B386,'Data Combined - all-runs'!$C:$C, C386, 'Data Combined - all-runs'!$D:$D, D386, 'Data Combined - all-runs'!$E:$E, E386)</f>
        <v>0</v>
      </c>
      <c r="K386" s="5">
        <f>AVERAGEIFS('Data Combined - all-runs'!$K:$K, 'Data Combined - all-runs'!$A:$A, A386,'Data Combined - all-runs'!$B:$B, B386,'Data Combined - all-runs'!$C:$C, C386, 'Data Combined - all-runs'!$D:$D, D386, 'Data Combined - all-runs'!$E:$E, E386)</f>
        <v>0.1196261682</v>
      </c>
      <c r="L386" s="5">
        <f>AVERAGEIFS('Data Combined - all-runs'!$L:$L, 'Data Combined - all-runs'!$A:$A, A386,'Data Combined - all-runs'!$B:$B, B386,'Data Combined - all-runs'!$C:$C, C386, 'Data Combined - all-runs'!$D:$D, D386, 'Data Combined - all-runs'!$E:$E, E386)</f>
        <v>408.6822124</v>
      </c>
      <c r="M386" s="5">
        <f>AVERAGEIFS('Data Combined - all-runs'!$M:$M, 'Data Combined - all-runs'!$A:$A, A386,'Data Combined - all-runs'!$B:$B, B386,'Data Combined - all-runs'!$C:$C, C386, 'Data Combined - all-runs'!$D:$D, D386, 'Data Combined - all-runs'!$E:$E, E386)</f>
        <v>35</v>
      </c>
      <c r="N386" s="5">
        <f>AVERAGEIFS('Data Combined - all-runs'!$N:$N, 'Data Combined - all-runs'!$A:$A, A386,'Data Combined - all-runs'!$B:$B, B386,'Data Combined - all-runs'!$C:$C, C386, 'Data Combined - all-runs'!$D:$D, D386, 'Data Combined - all-runs'!$E:$E, E386)</f>
        <v>1</v>
      </c>
      <c r="O386" s="5">
        <f>AVERAGEIFS('Data Combined - all-runs'!$O:$O, 'Data Combined - all-runs'!$A:$A, A386,'Data Combined - all-runs'!$B:$B, B386,'Data Combined - all-runs'!$C:$C, C386, 'Data Combined - all-runs'!$D:$D, D386, 'Data Combined - all-runs'!$E:$E, E386)</f>
        <v>535</v>
      </c>
      <c r="P386" s="5">
        <f>AVERAGEIFS('Data Combined - all-runs'!$P:$P, 'Data Combined - all-runs'!$A:$A, A386,'Data Combined - all-runs'!$B:$B, B386,'Data Combined - all-runs'!$C:$C, C386, 'Data Combined - all-runs'!$D:$D, D386, 'Data Combined - all-runs'!$E:$E, E386)</f>
        <v>1.869158879</v>
      </c>
      <c r="Q386" s="5">
        <f>AVERAGEIFS('Data Combined - all-runs'!$Q:$Q, 'Data Combined - all-runs'!$A:$A, A386,'Data Combined - all-runs'!$B:$B, B386,'Data Combined - all-runs'!$C:$C, C386, 'Data Combined - all-runs'!$D:$D, D386, 'Data Combined - all-runs'!$E:$E, E386)</f>
        <v>177.5700935</v>
      </c>
      <c r="R386" s="5">
        <f>AVERAGEIFS('Data Combined - all-runs'!$R:$R, 'Data Combined - all-runs'!$A:$A, A386,'Data Combined - all-runs'!$B:$B, B386,'Data Combined - all-runs'!$C:$C, C386, 'Data Combined - all-runs'!$D:$D, D386, 'Data Combined - all-runs'!$E:$E, E386)</f>
        <v>95</v>
      </c>
      <c r="S386" s="5">
        <f>AVERAGEIFS('Data Combined - all-runs'!$S:$S, 'Data Combined - all-runs'!$A:$A, A386,'Data Combined - all-runs'!$B:$B, B386,'Data Combined - all-runs'!$C:$C, C386, 'Data Combined - all-runs'!$D:$D, D386, 'Data Combined - all-runs'!$E:$E, E386)</f>
        <v>0</v>
      </c>
      <c r="T386" s="5" t="str">
        <f>AVERAGEIFS('Data Combined - all-runs'!$T:$T, 'Data Combined - all-runs'!$A:$A, A386,'Data Combined - all-runs'!$B:$B, B386,'Data Combined - all-runs'!$C:$C, C386, 'Data Combined - all-runs'!$D:$D, D386, 'Data Combined - all-runs'!$E:$E, E386)</f>
        <v>#DIV/0!</v>
      </c>
      <c r="U386" s="5" t="b">
        <f t="shared" si="1"/>
        <v>1</v>
      </c>
      <c r="V386" s="5" t="b">
        <f t="shared" si="2"/>
        <v>1</v>
      </c>
      <c r="W386" s="5" t="b">
        <f t="shared" si="3"/>
        <v>1</v>
      </c>
    </row>
    <row r="387">
      <c r="A387" s="2" t="s">
        <v>33</v>
      </c>
      <c r="B387" s="2" t="s">
        <v>114</v>
      </c>
      <c r="C387" s="2" t="s">
        <v>23</v>
      </c>
      <c r="D387" s="2" t="s">
        <v>102</v>
      </c>
      <c r="E387" s="2" t="s">
        <v>39</v>
      </c>
      <c r="H387" s="5">
        <f>AVERAGEIFS('Data Combined - all-runs'!$H:$H, 'Data Combined - all-runs'!$A:$A, A387,'Data Combined - all-runs'!$B:$B, B387,'Data Combined - all-runs'!$C:$C, C387, 'Data Combined - all-runs'!$D:$D, D387, 'Data Combined - all-runs'!$E:$E, E387)</f>
        <v>183</v>
      </c>
      <c r="I387" s="5" t="str">
        <f>AVERAGEIFS('Data Combined - all-runs'!$I:$I, 'Data Combined - all-runs'!$A:$A, A387,'Data Combined - all-runs'!$B:$B, B387,'Data Combined - all-runs'!$C:$C, C387, 'Data Combined - all-runs'!$D:$D, D387, 'Data Combined - all-runs'!$E:$E, E387)</f>
        <v>#DIV/0!</v>
      </c>
      <c r="J387" s="5">
        <f>AVERAGEIFS('Data Combined - all-runs'!$J:$J, 'Data Combined - all-runs'!$A:$A, A387,'Data Combined - all-runs'!$B:$B, B387,'Data Combined - all-runs'!$C:$C, C387, 'Data Combined - all-runs'!$D:$D, D387, 'Data Combined - all-runs'!$E:$E, E387)</f>
        <v>0</v>
      </c>
      <c r="K387" s="5">
        <f>AVERAGEIFS('Data Combined - all-runs'!$K:$K, 'Data Combined - all-runs'!$A:$A, A387,'Data Combined - all-runs'!$B:$B, B387,'Data Combined - all-runs'!$C:$C, C387, 'Data Combined - all-runs'!$D:$D, D387, 'Data Combined - all-runs'!$E:$E, E387)</f>
        <v>0.09527972028</v>
      </c>
      <c r="L387" s="5">
        <f>AVERAGEIFS('Data Combined - all-runs'!$L:$L, 'Data Combined - all-runs'!$A:$A, A387,'Data Combined - all-runs'!$B:$B, B387,'Data Combined - all-runs'!$C:$C, C387, 'Data Combined - all-runs'!$D:$D, D387, 'Data Combined - all-runs'!$E:$E, E387)</f>
        <v>1074.507321</v>
      </c>
      <c r="M387" s="5">
        <f>AVERAGEIFS('Data Combined - all-runs'!$M:$M, 'Data Combined - all-runs'!$A:$A, A387,'Data Combined - all-runs'!$B:$B, B387,'Data Combined - all-runs'!$C:$C, C387, 'Data Combined - all-runs'!$D:$D, D387, 'Data Combined - all-runs'!$E:$E, E387)</f>
        <v>72</v>
      </c>
      <c r="N387" s="5">
        <f>AVERAGEIFS('Data Combined - all-runs'!$N:$N, 'Data Combined - all-runs'!$A:$A, A387,'Data Combined - all-runs'!$B:$B, B387,'Data Combined - all-runs'!$C:$C, C387, 'Data Combined - all-runs'!$D:$D, D387, 'Data Combined - all-runs'!$E:$E, E387)</f>
        <v>1</v>
      </c>
      <c r="O387" s="5">
        <f>AVERAGEIFS('Data Combined - all-runs'!$O:$O, 'Data Combined - all-runs'!$A:$A, A387,'Data Combined - all-runs'!$B:$B, B387,'Data Combined - all-runs'!$C:$C, C387, 'Data Combined - all-runs'!$D:$D, D387, 'Data Combined - all-runs'!$E:$E, E387)</f>
        <v>572</v>
      </c>
      <c r="P387" s="5">
        <f>AVERAGEIFS('Data Combined - all-runs'!$P:$P, 'Data Combined - all-runs'!$A:$A, A387,'Data Combined - all-runs'!$B:$B, B387,'Data Combined - all-runs'!$C:$C, C387, 'Data Combined - all-runs'!$D:$D, D387, 'Data Combined - all-runs'!$E:$E, E387)</f>
        <v>1.748251748</v>
      </c>
      <c r="Q387" s="5">
        <f>AVERAGEIFS('Data Combined - all-runs'!$Q:$Q, 'Data Combined - all-runs'!$A:$A, A387,'Data Combined - all-runs'!$B:$B, B387,'Data Combined - all-runs'!$C:$C, C387, 'Data Combined - all-runs'!$D:$D, D387, 'Data Combined - all-runs'!$E:$E, E387)</f>
        <v>319.9300699</v>
      </c>
      <c r="R387" s="5">
        <f>AVERAGEIFS('Data Combined - all-runs'!$R:$R, 'Data Combined - all-runs'!$A:$A, A387,'Data Combined - all-runs'!$B:$B, B387,'Data Combined - all-runs'!$C:$C, C387, 'Data Combined - all-runs'!$D:$D, D387, 'Data Combined - all-runs'!$E:$E, E387)</f>
        <v>183</v>
      </c>
      <c r="S387" s="5">
        <f>AVERAGEIFS('Data Combined - all-runs'!$S:$S, 'Data Combined - all-runs'!$A:$A, A387,'Data Combined - all-runs'!$B:$B, B387,'Data Combined - all-runs'!$C:$C, C387, 'Data Combined - all-runs'!$D:$D, D387, 'Data Combined - all-runs'!$E:$E, E387)</f>
        <v>0</v>
      </c>
      <c r="T387" s="5" t="str">
        <f>AVERAGEIFS('Data Combined - all-runs'!$T:$T, 'Data Combined - all-runs'!$A:$A, A387,'Data Combined - all-runs'!$B:$B, B387,'Data Combined - all-runs'!$C:$C, C387, 'Data Combined - all-runs'!$D:$D, D387, 'Data Combined - all-runs'!$E:$E, E387)</f>
        <v>#DIV/0!</v>
      </c>
      <c r="U387" s="5" t="b">
        <f t="shared" si="1"/>
        <v>1</v>
      </c>
      <c r="V387" s="5" t="b">
        <f t="shared" si="2"/>
        <v>1</v>
      </c>
      <c r="W387" s="5" t="b">
        <f t="shared" si="3"/>
        <v>1</v>
      </c>
    </row>
    <row r="388">
      <c r="A388" s="2" t="s">
        <v>33</v>
      </c>
      <c r="B388" s="2" t="s">
        <v>114</v>
      </c>
      <c r="C388" s="2" t="s">
        <v>23</v>
      </c>
      <c r="D388" s="2" t="s">
        <v>102</v>
      </c>
      <c r="E388" s="2" t="s">
        <v>43</v>
      </c>
      <c r="H388" s="5">
        <f>AVERAGEIFS('Data Combined - all-runs'!$H:$H, 'Data Combined - all-runs'!$A:$A, A388,'Data Combined - all-runs'!$B:$B, B388,'Data Combined - all-runs'!$C:$C, C388, 'Data Combined - all-runs'!$D:$D, D388, 'Data Combined - all-runs'!$E:$E, E388)</f>
        <v>1156</v>
      </c>
      <c r="I388" s="5" t="str">
        <f>AVERAGEIFS('Data Combined - all-runs'!$I:$I, 'Data Combined - all-runs'!$A:$A, A388,'Data Combined - all-runs'!$B:$B, B388,'Data Combined - all-runs'!$C:$C, C388, 'Data Combined - all-runs'!$D:$D, D388, 'Data Combined - all-runs'!$E:$E, E388)</f>
        <v>#DIV/0!</v>
      </c>
      <c r="J388" s="5">
        <f>AVERAGEIFS('Data Combined - all-runs'!$J:$J, 'Data Combined - all-runs'!$A:$A, A388,'Data Combined - all-runs'!$B:$B, B388,'Data Combined - all-runs'!$C:$C, C388, 'Data Combined - all-runs'!$D:$D, D388, 'Data Combined - all-runs'!$E:$E, E388)</f>
        <v>0</v>
      </c>
      <c r="K388" s="5">
        <f>AVERAGEIFS('Data Combined - all-runs'!$K:$K, 'Data Combined - all-runs'!$A:$A, A388,'Data Combined - all-runs'!$B:$B, B388,'Data Combined - all-runs'!$C:$C, C388, 'Data Combined - all-runs'!$D:$D, D388, 'Data Combined - all-runs'!$E:$E, E388)</f>
        <v>0.08849206349</v>
      </c>
      <c r="L388" s="5">
        <f>AVERAGEIFS('Data Combined - all-runs'!$L:$L, 'Data Combined - all-runs'!$A:$A, A388,'Data Combined - all-runs'!$B:$B, B388,'Data Combined - all-runs'!$C:$C, C388, 'Data Combined - all-runs'!$D:$D, D388, 'Data Combined - all-runs'!$E:$E, E388)</f>
        <v>8802.426001</v>
      </c>
      <c r="M388" s="5">
        <f>AVERAGEIFS('Data Combined - all-runs'!$M:$M, 'Data Combined - all-runs'!$A:$A, A388,'Data Combined - all-runs'!$B:$B, B388,'Data Combined - all-runs'!$C:$C, C388, 'Data Combined - all-runs'!$D:$D, D388, 'Data Combined - all-runs'!$E:$E, E388)</f>
        <v>41</v>
      </c>
      <c r="N388" s="5">
        <f>AVERAGEIFS('Data Combined - all-runs'!$N:$N, 'Data Combined - all-runs'!$A:$A, A388,'Data Combined - all-runs'!$B:$B, B388,'Data Combined - all-runs'!$C:$C, C388, 'Data Combined - all-runs'!$D:$D, D388, 'Data Combined - all-runs'!$E:$E, E388)</f>
        <v>9</v>
      </c>
      <c r="O388" s="5">
        <f>AVERAGEIFS('Data Combined - all-runs'!$O:$O, 'Data Combined - all-runs'!$A:$A, A388,'Data Combined - all-runs'!$B:$B, B388,'Data Combined - all-runs'!$C:$C, C388, 'Data Combined - all-runs'!$D:$D, D388, 'Data Combined - all-runs'!$E:$E, E388)</f>
        <v>1260</v>
      </c>
      <c r="P388" s="5">
        <f>AVERAGEIFS('Data Combined - all-runs'!$P:$P, 'Data Combined - all-runs'!$A:$A, A388,'Data Combined - all-runs'!$B:$B, B388,'Data Combined - all-runs'!$C:$C, C388, 'Data Combined - all-runs'!$D:$D, D388, 'Data Combined - all-runs'!$E:$E, E388)</f>
        <v>7.142857143</v>
      </c>
      <c r="Q388" s="5">
        <f>AVERAGEIFS('Data Combined - all-runs'!$Q:$Q, 'Data Combined - all-runs'!$A:$A, A388,'Data Combined - all-runs'!$B:$B, B388,'Data Combined - all-runs'!$C:$C, C388, 'Data Combined - all-runs'!$D:$D, D388, 'Data Combined - all-runs'!$E:$E, E388)</f>
        <v>917.4603175</v>
      </c>
      <c r="R388" s="5">
        <f>AVERAGEIFS('Data Combined - all-runs'!$R:$R, 'Data Combined - all-runs'!$A:$A, A388,'Data Combined - all-runs'!$B:$B, B388,'Data Combined - all-runs'!$C:$C, C388, 'Data Combined - all-runs'!$D:$D, D388, 'Data Combined - all-runs'!$E:$E, E388)</f>
        <v>128.4444444</v>
      </c>
      <c r="S388" s="5">
        <f>AVERAGEIFS('Data Combined - all-runs'!$S:$S, 'Data Combined - all-runs'!$A:$A, A388,'Data Combined - all-runs'!$B:$B, B388,'Data Combined - all-runs'!$C:$C, C388, 'Data Combined - all-runs'!$D:$D, D388, 'Data Combined - all-runs'!$E:$E, E388)</f>
        <v>0</v>
      </c>
      <c r="T388" s="5" t="str">
        <f>AVERAGEIFS('Data Combined - all-runs'!$T:$T, 'Data Combined - all-runs'!$A:$A, A388,'Data Combined - all-runs'!$B:$B, B388,'Data Combined - all-runs'!$C:$C, C388, 'Data Combined - all-runs'!$D:$D, D388, 'Data Combined - all-runs'!$E:$E, E388)</f>
        <v>#DIV/0!</v>
      </c>
      <c r="U388" s="5" t="b">
        <f t="shared" si="1"/>
        <v>1</v>
      </c>
      <c r="V388" s="5" t="b">
        <f t="shared" si="2"/>
        <v>1</v>
      </c>
      <c r="W388" s="5" t="b">
        <f t="shared" si="3"/>
        <v>1</v>
      </c>
    </row>
    <row r="389">
      <c r="A389" s="2" t="s">
        <v>33</v>
      </c>
      <c r="B389" s="2" t="s">
        <v>114</v>
      </c>
      <c r="C389" s="2" t="s">
        <v>23</v>
      </c>
      <c r="D389" s="2" t="s">
        <v>102</v>
      </c>
      <c r="E389" s="2" t="s">
        <v>34</v>
      </c>
      <c r="H389" s="5">
        <f>AVERAGEIFS('Data Combined - all-runs'!$H:$H, 'Data Combined - all-runs'!$A:$A, A389,'Data Combined - all-runs'!$B:$B, B389,'Data Combined - all-runs'!$C:$C, C389, 'Data Combined - all-runs'!$D:$D, D389, 'Data Combined - all-runs'!$E:$E, E389)</f>
        <v>577</v>
      </c>
      <c r="I389" s="5" t="str">
        <f>AVERAGEIFS('Data Combined - all-runs'!$I:$I, 'Data Combined - all-runs'!$A:$A, A389,'Data Combined - all-runs'!$B:$B, B389,'Data Combined - all-runs'!$C:$C, C389, 'Data Combined - all-runs'!$D:$D, D389, 'Data Combined - all-runs'!$E:$E, E389)</f>
        <v>#DIV/0!</v>
      </c>
      <c r="J389" s="5">
        <f>AVERAGEIFS('Data Combined - all-runs'!$J:$J, 'Data Combined - all-runs'!$A:$A, A389,'Data Combined - all-runs'!$B:$B, B389,'Data Combined - all-runs'!$C:$C, C389, 'Data Combined - all-runs'!$D:$D, D389, 'Data Combined - all-runs'!$E:$E, E389)</f>
        <v>0</v>
      </c>
      <c r="K389" s="5">
        <f>AVERAGEIFS('Data Combined - all-runs'!$K:$K, 'Data Combined - all-runs'!$A:$A, A389,'Data Combined - all-runs'!$B:$B, B389,'Data Combined - all-runs'!$C:$C, C389, 'Data Combined - all-runs'!$D:$D, D389, 'Data Combined - all-runs'!$E:$E, E389)</f>
        <v>0.1430678466</v>
      </c>
      <c r="L389" s="5">
        <f>AVERAGEIFS('Data Combined - all-runs'!$L:$L, 'Data Combined - all-runs'!$A:$A, A389,'Data Combined - all-runs'!$B:$B, B389,'Data Combined - all-runs'!$C:$C, C389, 'Data Combined - all-runs'!$D:$D, D389, 'Data Combined - all-runs'!$E:$E, E389)</f>
        <v>4230.564043</v>
      </c>
      <c r="M389" s="5">
        <f>AVERAGEIFS('Data Combined - all-runs'!$M:$M, 'Data Combined - all-runs'!$A:$A, A389,'Data Combined - all-runs'!$B:$B, B389,'Data Combined - all-runs'!$C:$C, C389, 'Data Combined - all-runs'!$D:$D, D389, 'Data Combined - all-runs'!$E:$E, E389)</f>
        <v>24</v>
      </c>
      <c r="N389" s="5">
        <f>AVERAGEIFS('Data Combined - all-runs'!$N:$N, 'Data Combined - all-runs'!$A:$A, A389,'Data Combined - all-runs'!$B:$B, B389,'Data Combined - all-runs'!$C:$C, C389, 'Data Combined - all-runs'!$D:$D, D389, 'Data Combined - all-runs'!$E:$E, E389)</f>
        <v>3</v>
      </c>
      <c r="O389" s="5">
        <f>AVERAGEIFS('Data Combined - all-runs'!$O:$O, 'Data Combined - all-runs'!$A:$A, A389,'Data Combined - all-runs'!$B:$B, B389,'Data Combined - all-runs'!$C:$C, C389, 'Data Combined - all-runs'!$D:$D, D389, 'Data Combined - all-runs'!$E:$E, E389)</f>
        <v>565</v>
      </c>
      <c r="P389" s="5">
        <f>AVERAGEIFS('Data Combined - all-runs'!$P:$P, 'Data Combined - all-runs'!$A:$A, A389,'Data Combined - all-runs'!$B:$B, B389,'Data Combined - all-runs'!$C:$C, C389, 'Data Combined - all-runs'!$D:$D, D389, 'Data Combined - all-runs'!$E:$E, E389)</f>
        <v>5.309734513</v>
      </c>
      <c r="Q389" s="5">
        <f>AVERAGEIFS('Data Combined - all-runs'!$Q:$Q, 'Data Combined - all-runs'!$A:$A, A389,'Data Combined - all-runs'!$B:$B, B389,'Data Combined - all-runs'!$C:$C, C389, 'Data Combined - all-runs'!$D:$D, D389, 'Data Combined - all-runs'!$E:$E, E389)</f>
        <v>1021.238938</v>
      </c>
      <c r="R389" s="5">
        <f>AVERAGEIFS('Data Combined - all-runs'!$R:$R, 'Data Combined - all-runs'!$A:$A, A389,'Data Combined - all-runs'!$B:$B, B389,'Data Combined - all-runs'!$C:$C, C389, 'Data Combined - all-runs'!$D:$D, D389, 'Data Combined - all-runs'!$E:$E, E389)</f>
        <v>192.3333333</v>
      </c>
      <c r="S389" s="5">
        <f>AVERAGEIFS('Data Combined - all-runs'!$S:$S, 'Data Combined - all-runs'!$A:$A, A389,'Data Combined - all-runs'!$B:$B, B389,'Data Combined - all-runs'!$C:$C, C389, 'Data Combined - all-runs'!$D:$D, D389, 'Data Combined - all-runs'!$E:$E, E389)</f>
        <v>0</v>
      </c>
      <c r="T389" s="5" t="str">
        <f>AVERAGEIFS('Data Combined - all-runs'!$T:$T, 'Data Combined - all-runs'!$A:$A, A389,'Data Combined - all-runs'!$B:$B, B389,'Data Combined - all-runs'!$C:$C, C389, 'Data Combined - all-runs'!$D:$D, D389, 'Data Combined - all-runs'!$E:$E, E389)</f>
        <v>#DIV/0!</v>
      </c>
      <c r="U389" s="5" t="b">
        <f t="shared" si="1"/>
        <v>1</v>
      </c>
      <c r="V389" s="5" t="b">
        <f t="shared" si="2"/>
        <v>1</v>
      </c>
      <c r="W389" s="5" t="b">
        <f t="shared" si="3"/>
        <v>1</v>
      </c>
    </row>
    <row r="390">
      <c r="A390" s="2" t="s">
        <v>33</v>
      </c>
      <c r="B390" s="2" t="s">
        <v>114</v>
      </c>
      <c r="C390" s="2" t="s">
        <v>23</v>
      </c>
      <c r="D390" s="2" t="s">
        <v>102</v>
      </c>
      <c r="E390" s="2" t="s">
        <v>47</v>
      </c>
      <c r="H390" s="5">
        <f>AVERAGEIFS('Data Combined - all-runs'!$H:$H, 'Data Combined - all-runs'!$A:$A, A390,'Data Combined - all-runs'!$B:$B, B390,'Data Combined - all-runs'!$C:$C, C390, 'Data Combined - all-runs'!$D:$D, D390, 'Data Combined - all-runs'!$E:$E, E390)</f>
        <v>1282</v>
      </c>
      <c r="I390" s="5" t="str">
        <f>AVERAGEIFS('Data Combined - all-runs'!$I:$I, 'Data Combined - all-runs'!$A:$A, A390,'Data Combined - all-runs'!$B:$B, B390,'Data Combined - all-runs'!$C:$C, C390, 'Data Combined - all-runs'!$D:$D, D390, 'Data Combined - all-runs'!$E:$E, E390)</f>
        <v>#DIV/0!</v>
      </c>
      <c r="J390" s="5">
        <f>AVERAGEIFS('Data Combined - all-runs'!$J:$J, 'Data Combined - all-runs'!$A:$A, A390,'Data Combined - all-runs'!$B:$B, B390,'Data Combined - all-runs'!$C:$C, C390, 'Data Combined - all-runs'!$D:$D, D390, 'Data Combined - all-runs'!$E:$E, E390)</f>
        <v>0</v>
      </c>
      <c r="K390" s="5">
        <f>AVERAGEIFS('Data Combined - all-runs'!$K:$K, 'Data Combined - all-runs'!$A:$A, A390,'Data Combined - all-runs'!$B:$B, B390,'Data Combined - all-runs'!$C:$C, C390, 'Data Combined - all-runs'!$D:$D, D390, 'Data Combined - all-runs'!$E:$E, E390)</f>
        <v>0.1225775194</v>
      </c>
      <c r="L390" s="5">
        <f>AVERAGEIFS('Data Combined - all-runs'!$L:$L, 'Data Combined - all-runs'!$A:$A, A390,'Data Combined - all-runs'!$B:$B, B390,'Data Combined - all-runs'!$C:$C, C390, 'Data Combined - all-runs'!$D:$D, D390, 'Data Combined - all-runs'!$E:$E, E390)</f>
        <v>10023.99764</v>
      </c>
      <c r="M390" s="5">
        <f>AVERAGEIFS('Data Combined - all-runs'!$M:$M, 'Data Combined - all-runs'!$A:$A, A390,'Data Combined - all-runs'!$B:$B, B390,'Data Combined - all-runs'!$C:$C, C390, 'Data Combined - all-runs'!$D:$D, D390, 'Data Combined - all-runs'!$E:$E, E390)</f>
        <v>46</v>
      </c>
      <c r="N390" s="5">
        <f>AVERAGEIFS('Data Combined - all-runs'!$N:$N, 'Data Combined - all-runs'!$A:$A, A390,'Data Combined - all-runs'!$B:$B, B390,'Data Combined - all-runs'!$C:$C, C390, 'Data Combined - all-runs'!$D:$D, D390, 'Data Combined - all-runs'!$E:$E, E390)</f>
        <v>7</v>
      </c>
      <c r="O390" s="5">
        <f>AVERAGEIFS('Data Combined - all-runs'!$O:$O, 'Data Combined - all-runs'!$A:$A, A390,'Data Combined - all-runs'!$B:$B, B390,'Data Combined - all-runs'!$C:$C, C390, 'Data Combined - all-runs'!$D:$D, D390, 'Data Combined - all-runs'!$E:$E, E390)</f>
        <v>1032</v>
      </c>
      <c r="P390" s="5">
        <f>AVERAGEIFS('Data Combined - all-runs'!$P:$P, 'Data Combined - all-runs'!$A:$A, A390,'Data Combined - all-runs'!$B:$B, B390,'Data Combined - all-runs'!$C:$C, C390, 'Data Combined - all-runs'!$D:$D, D390, 'Data Combined - all-runs'!$E:$E, E390)</f>
        <v>6.782945736</v>
      </c>
      <c r="Q390" s="5">
        <f>AVERAGEIFS('Data Combined - all-runs'!$Q:$Q, 'Data Combined - all-runs'!$A:$A, A390,'Data Combined - all-runs'!$B:$B, B390,'Data Combined - all-runs'!$C:$C, C390, 'Data Combined - all-runs'!$D:$D, D390, 'Data Combined - all-runs'!$E:$E, E390)</f>
        <v>1242.248062</v>
      </c>
      <c r="R390" s="5">
        <f>AVERAGEIFS('Data Combined - all-runs'!$R:$R, 'Data Combined - all-runs'!$A:$A, A390,'Data Combined - all-runs'!$B:$B, B390,'Data Combined - all-runs'!$C:$C, C390, 'Data Combined - all-runs'!$D:$D, D390, 'Data Combined - all-runs'!$E:$E, E390)</f>
        <v>183.1428571</v>
      </c>
      <c r="S390" s="5">
        <f>AVERAGEIFS('Data Combined - all-runs'!$S:$S, 'Data Combined - all-runs'!$A:$A, A390,'Data Combined - all-runs'!$B:$B, B390,'Data Combined - all-runs'!$C:$C, C390, 'Data Combined - all-runs'!$D:$D, D390, 'Data Combined - all-runs'!$E:$E, E390)</f>
        <v>0</v>
      </c>
      <c r="T390" s="5" t="str">
        <f>AVERAGEIFS('Data Combined - all-runs'!$T:$T, 'Data Combined - all-runs'!$A:$A, A390,'Data Combined - all-runs'!$B:$B, B390,'Data Combined - all-runs'!$C:$C, C390, 'Data Combined - all-runs'!$D:$D, D390, 'Data Combined - all-runs'!$E:$E, E390)</f>
        <v>#DIV/0!</v>
      </c>
      <c r="U390" s="5" t="b">
        <f t="shared" si="1"/>
        <v>1</v>
      </c>
      <c r="V390" s="5" t="b">
        <f t="shared" si="2"/>
        <v>1</v>
      </c>
      <c r="W390" s="5" t="b">
        <f t="shared" si="3"/>
        <v>1</v>
      </c>
    </row>
    <row r="391">
      <c r="A391" s="2" t="s">
        <v>33</v>
      </c>
      <c r="B391" s="2" t="s">
        <v>114</v>
      </c>
      <c r="C391" s="2" t="s">
        <v>23</v>
      </c>
      <c r="D391" s="2" t="s">
        <v>102</v>
      </c>
      <c r="E391" s="2" t="s">
        <v>51</v>
      </c>
      <c r="H391" s="5">
        <f>AVERAGEIFS('Data Combined - all-runs'!$H:$H, 'Data Combined - all-runs'!$A:$A, A391,'Data Combined - all-runs'!$B:$B, B391,'Data Combined - all-runs'!$C:$C, C391, 'Data Combined - all-runs'!$D:$D, D391, 'Data Combined - all-runs'!$E:$E, E391)</f>
        <v>508</v>
      </c>
      <c r="I391" s="5" t="str">
        <f>AVERAGEIFS('Data Combined - all-runs'!$I:$I, 'Data Combined - all-runs'!$A:$A, A391,'Data Combined - all-runs'!$B:$B, B391,'Data Combined - all-runs'!$C:$C, C391, 'Data Combined - all-runs'!$D:$D, D391, 'Data Combined - all-runs'!$E:$E, E391)</f>
        <v>#DIV/0!</v>
      </c>
      <c r="J391" s="5">
        <f>AVERAGEIFS('Data Combined - all-runs'!$J:$J, 'Data Combined - all-runs'!$A:$A, A391,'Data Combined - all-runs'!$B:$B, B391,'Data Combined - all-runs'!$C:$C, C391, 'Data Combined - all-runs'!$D:$D, D391, 'Data Combined - all-runs'!$E:$E, E391)</f>
        <v>0</v>
      </c>
      <c r="K391" s="5">
        <f>AVERAGEIFS('Data Combined - all-runs'!$K:$K, 'Data Combined - all-runs'!$A:$A, A391,'Data Combined - all-runs'!$B:$B, B391,'Data Combined - all-runs'!$C:$C, C391, 'Data Combined - all-runs'!$D:$D, D391, 'Data Combined - all-runs'!$E:$E, E391)</f>
        <v>0.07418699187</v>
      </c>
      <c r="L391" s="5">
        <f>AVERAGEIFS('Data Combined - all-runs'!$L:$L, 'Data Combined - all-runs'!$A:$A, A391,'Data Combined - all-runs'!$B:$B, B391,'Data Combined - all-runs'!$C:$C, C391, 'Data Combined - all-runs'!$D:$D, D391, 'Data Combined - all-runs'!$E:$E, E391)</f>
        <v>3842.252124</v>
      </c>
      <c r="M391" s="5">
        <f>AVERAGEIFS('Data Combined - all-runs'!$M:$M, 'Data Combined - all-runs'!$A:$A, A391,'Data Combined - all-runs'!$B:$B, B391,'Data Combined - all-runs'!$C:$C, C391, 'Data Combined - all-runs'!$D:$D, D391, 'Data Combined - all-runs'!$E:$E, E391)</f>
        <v>32</v>
      </c>
      <c r="N391" s="5">
        <f>AVERAGEIFS('Data Combined - all-runs'!$N:$N, 'Data Combined - all-runs'!$A:$A, A391,'Data Combined - all-runs'!$B:$B, B391,'Data Combined - all-runs'!$C:$C, C391, 'Data Combined - all-runs'!$D:$D, D391, 'Data Combined - all-runs'!$E:$E, E391)</f>
        <v>5</v>
      </c>
      <c r="O391" s="5">
        <f>AVERAGEIFS('Data Combined - all-runs'!$O:$O, 'Data Combined - all-runs'!$A:$A, A391,'Data Combined - all-runs'!$B:$B, B391,'Data Combined - all-runs'!$C:$C, C391, 'Data Combined - all-runs'!$D:$D, D391, 'Data Combined - all-runs'!$E:$E, E391)</f>
        <v>738</v>
      </c>
      <c r="P391" s="5">
        <f>AVERAGEIFS('Data Combined - all-runs'!$P:$P, 'Data Combined - all-runs'!$A:$A, A391,'Data Combined - all-runs'!$B:$B, B391,'Data Combined - all-runs'!$C:$C, C391, 'Data Combined - all-runs'!$D:$D, D391, 'Data Combined - all-runs'!$E:$E, E391)</f>
        <v>6.775067751</v>
      </c>
      <c r="Q391" s="5">
        <f>AVERAGEIFS('Data Combined - all-runs'!$Q:$Q, 'Data Combined - all-runs'!$A:$A, A391,'Data Combined - all-runs'!$B:$B, B391,'Data Combined - all-runs'!$C:$C, C391, 'Data Combined - all-runs'!$D:$D, D391, 'Data Combined - all-runs'!$E:$E, E391)</f>
        <v>688.3468835</v>
      </c>
      <c r="R391" s="5">
        <f>AVERAGEIFS('Data Combined - all-runs'!$R:$R, 'Data Combined - all-runs'!$A:$A, A391,'Data Combined - all-runs'!$B:$B, B391,'Data Combined - all-runs'!$C:$C, C391, 'Data Combined - all-runs'!$D:$D, D391, 'Data Combined - all-runs'!$E:$E, E391)</f>
        <v>101.6</v>
      </c>
      <c r="S391" s="5">
        <f>AVERAGEIFS('Data Combined - all-runs'!$S:$S, 'Data Combined - all-runs'!$A:$A, A391,'Data Combined - all-runs'!$B:$B, B391,'Data Combined - all-runs'!$C:$C, C391, 'Data Combined - all-runs'!$D:$D, D391, 'Data Combined - all-runs'!$E:$E, E391)</f>
        <v>0</v>
      </c>
      <c r="T391" s="5" t="str">
        <f>AVERAGEIFS('Data Combined - all-runs'!$T:$T, 'Data Combined - all-runs'!$A:$A, A391,'Data Combined - all-runs'!$B:$B, B391,'Data Combined - all-runs'!$C:$C, C391, 'Data Combined - all-runs'!$D:$D, D391, 'Data Combined - all-runs'!$E:$E, E391)</f>
        <v>#DIV/0!</v>
      </c>
      <c r="U391" s="5" t="b">
        <f t="shared" si="1"/>
        <v>1</v>
      </c>
      <c r="V391" s="5" t="b">
        <f t="shared" si="2"/>
        <v>1</v>
      </c>
      <c r="W391" s="5" t="b">
        <f t="shared" si="3"/>
        <v>1</v>
      </c>
    </row>
    <row r="392">
      <c r="A392" s="2" t="s">
        <v>33</v>
      </c>
      <c r="B392" s="2" t="s">
        <v>114</v>
      </c>
      <c r="C392" s="2" t="s">
        <v>23</v>
      </c>
      <c r="D392" s="2" t="s">
        <v>118</v>
      </c>
      <c r="E392" s="2" t="s">
        <v>25</v>
      </c>
      <c r="H392" s="5">
        <f>AVERAGEIFS('Data Combined - all-runs'!$H:$H, 'Data Combined - all-runs'!$A:$A, A392,'Data Combined - all-runs'!$B:$B, B392,'Data Combined - all-runs'!$C:$C, C392, 'Data Combined - all-runs'!$D:$D, D392, 'Data Combined - all-runs'!$E:$E, E392)</f>
        <v>354</v>
      </c>
      <c r="I392" s="5" t="str">
        <f>AVERAGEIFS('Data Combined - all-runs'!$I:$I, 'Data Combined - all-runs'!$A:$A, A392,'Data Combined - all-runs'!$B:$B, B392,'Data Combined - all-runs'!$C:$C, C392, 'Data Combined - all-runs'!$D:$D, D392, 'Data Combined - all-runs'!$E:$E, E392)</f>
        <v>#DIV/0!</v>
      </c>
      <c r="J392" s="5">
        <f>AVERAGEIFS('Data Combined - all-runs'!$J:$J, 'Data Combined - all-runs'!$A:$A, A392,'Data Combined - all-runs'!$B:$B, B392,'Data Combined - all-runs'!$C:$C, C392, 'Data Combined - all-runs'!$D:$D, D392, 'Data Combined - all-runs'!$E:$E, E392)</f>
        <v>0</v>
      </c>
      <c r="K392" s="5">
        <f>AVERAGEIFS('Data Combined - all-runs'!$K:$K, 'Data Combined - all-runs'!$A:$A, A392,'Data Combined - all-runs'!$B:$B, B392,'Data Combined - all-runs'!$C:$C, C392, 'Data Combined - all-runs'!$D:$D, D392, 'Data Combined - all-runs'!$E:$E, E392)</f>
        <v>0.1500579374</v>
      </c>
      <c r="L392" s="5">
        <f>AVERAGEIFS('Data Combined - all-runs'!$L:$L, 'Data Combined - all-runs'!$A:$A, A392,'Data Combined - all-runs'!$B:$B, B392,'Data Combined - all-runs'!$C:$C, C392, 'Data Combined - all-runs'!$D:$D, D392, 'Data Combined - all-runs'!$E:$E, E392)</f>
        <v>687.2410159</v>
      </c>
      <c r="M392" s="5">
        <f>AVERAGEIFS('Data Combined - all-runs'!$M:$M, 'Data Combined - all-runs'!$A:$A, A392,'Data Combined - all-runs'!$B:$B, B392,'Data Combined - all-runs'!$C:$C, C392, 'Data Combined - all-runs'!$D:$D, D392, 'Data Combined - all-runs'!$E:$E, E392)</f>
        <v>35</v>
      </c>
      <c r="N392" s="5">
        <f>AVERAGEIFS('Data Combined - all-runs'!$N:$N, 'Data Combined - all-runs'!$A:$A, A392,'Data Combined - all-runs'!$B:$B, B392,'Data Combined - all-runs'!$C:$C, C392, 'Data Combined - all-runs'!$D:$D, D392, 'Data Combined - all-runs'!$E:$E, E392)</f>
        <v>3</v>
      </c>
      <c r="O392" s="5">
        <f>AVERAGEIFS('Data Combined - all-runs'!$O:$O, 'Data Combined - all-runs'!$A:$A, A392,'Data Combined - all-runs'!$B:$B, B392,'Data Combined - all-runs'!$C:$C, C392, 'Data Combined - all-runs'!$D:$D, D392, 'Data Combined - all-runs'!$E:$E, E392)</f>
        <v>863</v>
      </c>
      <c r="P392" s="5">
        <f>AVERAGEIFS('Data Combined - all-runs'!$P:$P, 'Data Combined - all-runs'!$A:$A, A392,'Data Combined - all-runs'!$B:$B, B392,'Data Combined - all-runs'!$C:$C, C392, 'Data Combined - all-runs'!$D:$D, D392, 'Data Combined - all-runs'!$E:$E, E392)</f>
        <v>3.476245655</v>
      </c>
      <c r="Q392" s="5">
        <f>AVERAGEIFS('Data Combined - all-runs'!$Q:$Q, 'Data Combined - all-runs'!$A:$A, A392,'Data Combined - all-runs'!$B:$B, B392,'Data Combined - all-runs'!$C:$C, C392, 'Data Combined - all-runs'!$D:$D, D392, 'Data Combined - all-runs'!$E:$E, E392)</f>
        <v>410.1969873</v>
      </c>
      <c r="R392" s="5">
        <f>AVERAGEIFS('Data Combined - all-runs'!$R:$R, 'Data Combined - all-runs'!$A:$A, A392,'Data Combined - all-runs'!$B:$B, B392,'Data Combined - all-runs'!$C:$C, C392, 'Data Combined - all-runs'!$D:$D, D392, 'Data Combined - all-runs'!$E:$E, E392)</f>
        <v>118</v>
      </c>
      <c r="S392" s="5">
        <f>AVERAGEIFS('Data Combined - all-runs'!$S:$S, 'Data Combined - all-runs'!$A:$A, A392,'Data Combined - all-runs'!$B:$B, B392,'Data Combined - all-runs'!$C:$C, C392, 'Data Combined - all-runs'!$D:$D, D392, 'Data Combined - all-runs'!$E:$E, E392)</f>
        <v>0</v>
      </c>
      <c r="T392" s="5" t="str">
        <f>AVERAGEIFS('Data Combined - all-runs'!$T:$T, 'Data Combined - all-runs'!$A:$A, A392,'Data Combined - all-runs'!$B:$B, B392,'Data Combined - all-runs'!$C:$C, C392, 'Data Combined - all-runs'!$D:$D, D392, 'Data Combined - all-runs'!$E:$E, E392)</f>
        <v>#DIV/0!</v>
      </c>
      <c r="U392" s="5" t="b">
        <f t="shared" si="1"/>
        <v>1</v>
      </c>
      <c r="V392" s="5" t="b">
        <f t="shared" si="2"/>
        <v>1</v>
      </c>
      <c r="W392" s="5" t="b">
        <f t="shared" si="3"/>
        <v>1</v>
      </c>
    </row>
    <row r="393">
      <c r="A393" s="2" t="s">
        <v>33</v>
      </c>
      <c r="B393" s="2" t="s">
        <v>114</v>
      </c>
      <c r="C393" s="2" t="s">
        <v>23</v>
      </c>
      <c r="D393" s="2" t="s">
        <v>118</v>
      </c>
      <c r="E393" s="2" t="s">
        <v>39</v>
      </c>
      <c r="H393" s="5">
        <f>AVERAGEIFS('Data Combined - all-runs'!$H:$H, 'Data Combined - all-runs'!$A:$A, A393,'Data Combined - all-runs'!$B:$B, B393,'Data Combined - all-runs'!$C:$C, C393, 'Data Combined - all-runs'!$D:$D, D393, 'Data Combined - all-runs'!$E:$E, E393)</f>
        <v>346</v>
      </c>
      <c r="I393" s="5" t="str">
        <f>AVERAGEIFS('Data Combined - all-runs'!$I:$I, 'Data Combined - all-runs'!$A:$A, A393,'Data Combined - all-runs'!$B:$B, B393,'Data Combined - all-runs'!$C:$C, C393, 'Data Combined - all-runs'!$D:$D, D393, 'Data Combined - all-runs'!$E:$E, E393)</f>
        <v>#DIV/0!</v>
      </c>
      <c r="J393" s="5">
        <f>AVERAGEIFS('Data Combined - all-runs'!$J:$J, 'Data Combined - all-runs'!$A:$A, A393,'Data Combined - all-runs'!$B:$B, B393,'Data Combined - all-runs'!$C:$C, C393, 'Data Combined - all-runs'!$D:$D, D393, 'Data Combined - all-runs'!$E:$E, E393)</f>
        <v>0</v>
      </c>
      <c r="K393" s="5">
        <f>AVERAGEIFS('Data Combined - all-runs'!$K:$K, 'Data Combined - all-runs'!$A:$A, A393,'Data Combined - all-runs'!$B:$B, B393,'Data Combined - all-runs'!$C:$C, C393, 'Data Combined - all-runs'!$D:$D, D393, 'Data Combined - all-runs'!$E:$E, E393)</f>
        <v>0.1166958042</v>
      </c>
      <c r="L393" s="5">
        <f>AVERAGEIFS('Data Combined - all-runs'!$L:$L, 'Data Combined - all-runs'!$A:$A, A393,'Data Combined - all-runs'!$B:$B, B393,'Data Combined - all-runs'!$C:$C, C393, 'Data Combined - all-runs'!$D:$D, D393, 'Data Combined - all-runs'!$E:$E, E393)</f>
        <v>851.9513812</v>
      </c>
      <c r="M393" s="5">
        <f>AVERAGEIFS('Data Combined - all-runs'!$M:$M, 'Data Combined - all-runs'!$A:$A, A393,'Data Combined - all-runs'!$B:$B, B393,'Data Combined - all-runs'!$C:$C, C393, 'Data Combined - all-runs'!$D:$D, D393, 'Data Combined - all-runs'!$E:$E, E393)</f>
        <v>72</v>
      </c>
      <c r="N393" s="5">
        <f>AVERAGEIFS('Data Combined - all-runs'!$N:$N, 'Data Combined - all-runs'!$A:$A, A393,'Data Combined - all-runs'!$B:$B, B393,'Data Combined - all-runs'!$C:$C, C393, 'Data Combined - all-runs'!$D:$D, D393, 'Data Combined - all-runs'!$E:$E, E393)</f>
        <v>1</v>
      </c>
      <c r="O393" s="5">
        <f>AVERAGEIFS('Data Combined - all-runs'!$O:$O, 'Data Combined - all-runs'!$A:$A, A393,'Data Combined - all-runs'!$B:$B, B393,'Data Combined - all-runs'!$C:$C, C393, 'Data Combined - all-runs'!$D:$D, D393, 'Data Combined - all-runs'!$E:$E, E393)</f>
        <v>572</v>
      </c>
      <c r="P393" s="5">
        <f>AVERAGEIFS('Data Combined - all-runs'!$P:$P, 'Data Combined - all-runs'!$A:$A, A393,'Data Combined - all-runs'!$B:$B, B393,'Data Combined - all-runs'!$C:$C, C393, 'Data Combined - all-runs'!$D:$D, D393, 'Data Combined - all-runs'!$E:$E, E393)</f>
        <v>1.748251748</v>
      </c>
      <c r="Q393" s="5">
        <f>AVERAGEIFS('Data Combined - all-runs'!$Q:$Q, 'Data Combined - all-runs'!$A:$A, A393,'Data Combined - all-runs'!$B:$B, B393,'Data Combined - all-runs'!$C:$C, C393, 'Data Combined - all-runs'!$D:$D, D393, 'Data Combined - all-runs'!$E:$E, E393)</f>
        <v>604.8951049</v>
      </c>
      <c r="R393" s="5">
        <f>AVERAGEIFS('Data Combined - all-runs'!$R:$R, 'Data Combined - all-runs'!$A:$A, A393,'Data Combined - all-runs'!$B:$B, B393,'Data Combined - all-runs'!$C:$C, C393, 'Data Combined - all-runs'!$D:$D, D393, 'Data Combined - all-runs'!$E:$E, E393)</f>
        <v>346</v>
      </c>
      <c r="S393" s="5">
        <f>AVERAGEIFS('Data Combined - all-runs'!$S:$S, 'Data Combined - all-runs'!$A:$A, A393,'Data Combined - all-runs'!$B:$B, B393,'Data Combined - all-runs'!$C:$C, C393, 'Data Combined - all-runs'!$D:$D, D393, 'Data Combined - all-runs'!$E:$E, E393)</f>
        <v>0</v>
      </c>
      <c r="T393" s="5" t="str">
        <f>AVERAGEIFS('Data Combined - all-runs'!$T:$T, 'Data Combined - all-runs'!$A:$A, A393,'Data Combined - all-runs'!$B:$B, B393,'Data Combined - all-runs'!$C:$C, C393, 'Data Combined - all-runs'!$D:$D, D393, 'Data Combined - all-runs'!$E:$E, E393)</f>
        <v>#DIV/0!</v>
      </c>
      <c r="U393" s="5" t="b">
        <f t="shared" si="1"/>
        <v>1</v>
      </c>
      <c r="V393" s="5" t="b">
        <f t="shared" si="2"/>
        <v>1</v>
      </c>
      <c r="W393" s="5" t="b">
        <f t="shared" si="3"/>
        <v>1</v>
      </c>
    </row>
    <row r="394">
      <c r="A394" s="2" t="s">
        <v>33</v>
      </c>
      <c r="B394" s="2" t="s">
        <v>114</v>
      </c>
      <c r="C394" s="2" t="s">
        <v>23</v>
      </c>
      <c r="D394" s="2" t="s">
        <v>118</v>
      </c>
      <c r="E394" s="2" t="s">
        <v>43</v>
      </c>
      <c r="H394" s="5">
        <f>AVERAGEIFS('Data Combined - all-runs'!$H:$H, 'Data Combined - all-runs'!$A:$A, A394,'Data Combined - all-runs'!$B:$B, B394,'Data Combined - all-runs'!$C:$C, C394, 'Data Combined - all-runs'!$D:$D, D394, 'Data Combined - all-runs'!$E:$E, E394)</f>
        <v>1411</v>
      </c>
      <c r="I394" s="5" t="str">
        <f>AVERAGEIFS('Data Combined - all-runs'!$I:$I, 'Data Combined - all-runs'!$A:$A, A394,'Data Combined - all-runs'!$B:$B, B394,'Data Combined - all-runs'!$C:$C, C394, 'Data Combined - all-runs'!$D:$D, D394, 'Data Combined - all-runs'!$E:$E, E394)</f>
        <v>#DIV/0!</v>
      </c>
      <c r="J394" s="5">
        <f>AVERAGEIFS('Data Combined - all-runs'!$J:$J, 'Data Combined - all-runs'!$A:$A, A394,'Data Combined - all-runs'!$B:$B, B394,'Data Combined - all-runs'!$C:$C, C394, 'Data Combined - all-runs'!$D:$D, D394, 'Data Combined - all-runs'!$E:$E, E394)</f>
        <v>0</v>
      </c>
      <c r="K394" s="5">
        <f>AVERAGEIFS('Data Combined - all-runs'!$K:$K, 'Data Combined - all-runs'!$A:$A, A394,'Data Combined - all-runs'!$B:$B, B394,'Data Combined - all-runs'!$C:$C, C394, 'Data Combined - all-runs'!$D:$D, D394, 'Data Combined - all-runs'!$E:$E, E394)</f>
        <v>0.09744037231</v>
      </c>
      <c r="L394" s="5">
        <f>AVERAGEIFS('Data Combined - all-runs'!$L:$L, 'Data Combined - all-runs'!$A:$A, A394,'Data Combined - all-runs'!$B:$B, B394,'Data Combined - all-runs'!$C:$C, C394, 'Data Combined - all-runs'!$D:$D, D394, 'Data Combined - all-runs'!$E:$E, E394)</f>
        <v>3769.770588</v>
      </c>
      <c r="M394" s="5">
        <f>AVERAGEIFS('Data Combined - all-runs'!$M:$M, 'Data Combined - all-runs'!$A:$A, A394,'Data Combined - all-runs'!$B:$B, B394,'Data Combined - all-runs'!$C:$C, C394, 'Data Combined - all-runs'!$D:$D, D394, 'Data Combined - all-runs'!$E:$E, E394)</f>
        <v>41</v>
      </c>
      <c r="N394" s="5">
        <f>AVERAGEIFS('Data Combined - all-runs'!$N:$N, 'Data Combined - all-runs'!$A:$A, A394,'Data Combined - all-runs'!$B:$B, B394,'Data Combined - all-runs'!$C:$C, C394, 'Data Combined - all-runs'!$D:$D, D394, 'Data Combined - all-runs'!$E:$E, E394)</f>
        <v>10</v>
      </c>
      <c r="O394" s="5">
        <f>AVERAGEIFS('Data Combined - all-runs'!$O:$O, 'Data Combined - all-runs'!$A:$A, A394,'Data Combined - all-runs'!$B:$B, B394,'Data Combined - all-runs'!$C:$C, C394, 'Data Combined - all-runs'!$D:$D, D394, 'Data Combined - all-runs'!$E:$E, E394)</f>
        <v>1146</v>
      </c>
      <c r="P394" s="5">
        <f>AVERAGEIFS('Data Combined - all-runs'!$P:$P, 'Data Combined - all-runs'!$A:$A, A394,'Data Combined - all-runs'!$B:$B, B394,'Data Combined - all-runs'!$C:$C, C394, 'Data Combined - all-runs'!$D:$D, D394, 'Data Combined - all-runs'!$E:$E, E394)</f>
        <v>8.72600349</v>
      </c>
      <c r="Q394" s="5">
        <f>AVERAGEIFS('Data Combined - all-runs'!$Q:$Q, 'Data Combined - all-runs'!$A:$A, A394,'Data Combined - all-runs'!$B:$B, B394,'Data Combined - all-runs'!$C:$C, C394, 'Data Combined - all-runs'!$D:$D, D394, 'Data Combined - all-runs'!$E:$E, E394)</f>
        <v>1231.239093</v>
      </c>
      <c r="R394" s="5">
        <f>AVERAGEIFS('Data Combined - all-runs'!$R:$R, 'Data Combined - all-runs'!$A:$A, A394,'Data Combined - all-runs'!$B:$B, B394,'Data Combined - all-runs'!$C:$C, C394, 'Data Combined - all-runs'!$D:$D, D394, 'Data Combined - all-runs'!$E:$E, E394)</f>
        <v>141.1</v>
      </c>
      <c r="S394" s="5">
        <f>AVERAGEIFS('Data Combined - all-runs'!$S:$S, 'Data Combined - all-runs'!$A:$A, A394,'Data Combined - all-runs'!$B:$B, B394,'Data Combined - all-runs'!$C:$C, C394, 'Data Combined - all-runs'!$D:$D, D394, 'Data Combined - all-runs'!$E:$E, E394)</f>
        <v>0</v>
      </c>
      <c r="T394" s="5" t="str">
        <f>AVERAGEIFS('Data Combined - all-runs'!$T:$T, 'Data Combined - all-runs'!$A:$A, A394,'Data Combined - all-runs'!$B:$B, B394,'Data Combined - all-runs'!$C:$C, C394, 'Data Combined - all-runs'!$D:$D, D394, 'Data Combined - all-runs'!$E:$E, E394)</f>
        <v>#DIV/0!</v>
      </c>
      <c r="U394" s="5" t="b">
        <f t="shared" si="1"/>
        <v>1</v>
      </c>
      <c r="V394" s="5" t="b">
        <f t="shared" si="2"/>
        <v>1</v>
      </c>
      <c r="W394" s="5" t="b">
        <f t="shared" si="3"/>
        <v>1</v>
      </c>
    </row>
    <row r="395">
      <c r="A395" s="2" t="s">
        <v>33</v>
      </c>
      <c r="B395" s="2" t="s">
        <v>114</v>
      </c>
      <c r="C395" s="2" t="s">
        <v>23</v>
      </c>
      <c r="D395" s="2" t="s">
        <v>118</v>
      </c>
      <c r="E395" s="2" t="s">
        <v>34</v>
      </c>
      <c r="H395" s="5">
        <f>AVERAGEIFS('Data Combined - all-runs'!$H:$H, 'Data Combined - all-runs'!$A:$A, A395,'Data Combined - all-runs'!$B:$B, B395,'Data Combined - all-runs'!$C:$C, C395, 'Data Combined - all-runs'!$D:$D, D395, 'Data Combined - all-runs'!$E:$E, E395)</f>
        <v>2804</v>
      </c>
      <c r="I395" s="5" t="str">
        <f>AVERAGEIFS('Data Combined - all-runs'!$I:$I, 'Data Combined - all-runs'!$A:$A, A395,'Data Combined - all-runs'!$B:$B, B395,'Data Combined - all-runs'!$C:$C, C395, 'Data Combined - all-runs'!$D:$D, D395, 'Data Combined - all-runs'!$E:$E, E395)</f>
        <v>#DIV/0!</v>
      </c>
      <c r="J395" s="5">
        <f>AVERAGEIFS('Data Combined - all-runs'!$J:$J, 'Data Combined - all-runs'!$A:$A, A395,'Data Combined - all-runs'!$B:$B, B395,'Data Combined - all-runs'!$C:$C, C395, 'Data Combined - all-runs'!$D:$D, D395, 'Data Combined - all-runs'!$E:$E, E395)</f>
        <v>0</v>
      </c>
      <c r="K395" s="5">
        <f>AVERAGEIFS('Data Combined - all-runs'!$K:$K, 'Data Combined - all-runs'!$A:$A, A395,'Data Combined - all-runs'!$B:$B, B395,'Data Combined - all-runs'!$C:$C, C395, 'Data Combined - all-runs'!$D:$D, D395, 'Data Combined - all-runs'!$E:$E, E395)</f>
        <v>0.1593812375</v>
      </c>
      <c r="L395" s="5">
        <f>AVERAGEIFS('Data Combined - all-runs'!$L:$L, 'Data Combined - all-runs'!$A:$A, A395,'Data Combined - all-runs'!$B:$B, B395,'Data Combined - all-runs'!$C:$C, C395, 'Data Combined - all-runs'!$D:$D, D395, 'Data Combined - all-runs'!$E:$E, E395)</f>
        <v>7173.883821</v>
      </c>
      <c r="M395" s="5">
        <f>AVERAGEIFS('Data Combined - all-runs'!$M:$M, 'Data Combined - all-runs'!$A:$A, A395,'Data Combined - all-runs'!$B:$B, B395,'Data Combined - all-runs'!$C:$C, C395, 'Data Combined - all-runs'!$D:$D, D395, 'Data Combined - all-runs'!$E:$E, E395)</f>
        <v>24</v>
      </c>
      <c r="N395" s="5">
        <f>AVERAGEIFS('Data Combined - all-runs'!$N:$N, 'Data Combined - all-runs'!$A:$A, A395,'Data Combined - all-runs'!$B:$B, B395,'Data Combined - all-runs'!$C:$C, C395, 'Data Combined - all-runs'!$D:$D, D395, 'Data Combined - all-runs'!$E:$E, E395)</f>
        <v>17</v>
      </c>
      <c r="O395" s="5">
        <f>AVERAGEIFS('Data Combined - all-runs'!$O:$O, 'Data Combined - all-runs'!$A:$A, A395,'Data Combined - all-runs'!$B:$B, B395,'Data Combined - all-runs'!$C:$C, C395, 'Data Combined - all-runs'!$D:$D, D395, 'Data Combined - all-runs'!$E:$E, E395)</f>
        <v>1670</v>
      </c>
      <c r="P395" s="5">
        <f>AVERAGEIFS('Data Combined - all-runs'!$P:$P, 'Data Combined - all-runs'!$A:$A, A395,'Data Combined - all-runs'!$B:$B, B395,'Data Combined - all-runs'!$C:$C, C395, 'Data Combined - all-runs'!$D:$D, D395, 'Data Combined - all-runs'!$E:$E, E395)</f>
        <v>10.17964072</v>
      </c>
      <c r="Q395" s="5">
        <f>AVERAGEIFS('Data Combined - all-runs'!$Q:$Q, 'Data Combined - all-runs'!$A:$A, A395,'Data Combined - all-runs'!$B:$B, B395,'Data Combined - all-runs'!$C:$C, C395, 'Data Combined - all-runs'!$D:$D, D395, 'Data Combined - all-runs'!$E:$E, E395)</f>
        <v>1679.041916</v>
      </c>
      <c r="R395" s="5">
        <f>AVERAGEIFS('Data Combined - all-runs'!$R:$R, 'Data Combined - all-runs'!$A:$A, A395,'Data Combined - all-runs'!$B:$B, B395,'Data Combined - all-runs'!$C:$C, C395, 'Data Combined - all-runs'!$D:$D, D395, 'Data Combined - all-runs'!$E:$E, E395)</f>
        <v>164.9411765</v>
      </c>
      <c r="S395" s="5">
        <f>AVERAGEIFS('Data Combined - all-runs'!$S:$S, 'Data Combined - all-runs'!$A:$A, A395,'Data Combined - all-runs'!$B:$B, B395,'Data Combined - all-runs'!$C:$C, C395, 'Data Combined - all-runs'!$D:$D, D395, 'Data Combined - all-runs'!$E:$E, E395)</f>
        <v>0</v>
      </c>
      <c r="T395" s="5" t="str">
        <f>AVERAGEIFS('Data Combined - all-runs'!$T:$T, 'Data Combined - all-runs'!$A:$A, A395,'Data Combined - all-runs'!$B:$B, B395,'Data Combined - all-runs'!$C:$C, C395, 'Data Combined - all-runs'!$D:$D, D395, 'Data Combined - all-runs'!$E:$E, E395)</f>
        <v>#DIV/0!</v>
      </c>
      <c r="U395" s="5" t="b">
        <f t="shared" si="1"/>
        <v>1</v>
      </c>
      <c r="V395" s="5" t="b">
        <f t="shared" si="2"/>
        <v>1</v>
      </c>
      <c r="W395" s="5" t="b">
        <f t="shared" si="3"/>
        <v>1</v>
      </c>
    </row>
    <row r="396">
      <c r="A396" s="2" t="s">
        <v>33</v>
      </c>
      <c r="B396" s="2" t="s">
        <v>114</v>
      </c>
      <c r="C396" s="2" t="s">
        <v>23</v>
      </c>
      <c r="D396" s="2" t="s">
        <v>118</v>
      </c>
      <c r="E396" s="2" t="s">
        <v>47</v>
      </c>
      <c r="H396" s="5">
        <f>AVERAGEIFS('Data Combined - all-runs'!$H:$H, 'Data Combined - all-runs'!$A:$A, A396,'Data Combined - all-runs'!$B:$B, B396,'Data Combined - all-runs'!$C:$C, C396, 'Data Combined - all-runs'!$D:$D, D396, 'Data Combined - all-runs'!$E:$E, E396)</f>
        <v>1592</v>
      </c>
      <c r="I396" s="5" t="str">
        <f>AVERAGEIFS('Data Combined - all-runs'!$I:$I, 'Data Combined - all-runs'!$A:$A, A396,'Data Combined - all-runs'!$B:$B, B396,'Data Combined - all-runs'!$C:$C, C396, 'Data Combined - all-runs'!$D:$D, D396, 'Data Combined - all-runs'!$E:$E, E396)</f>
        <v>#DIV/0!</v>
      </c>
      <c r="J396" s="5">
        <f>AVERAGEIFS('Data Combined - all-runs'!$J:$J, 'Data Combined - all-runs'!$A:$A, A396,'Data Combined - all-runs'!$B:$B, B396,'Data Combined - all-runs'!$C:$C, C396, 'Data Combined - all-runs'!$D:$D, D396, 'Data Combined - all-runs'!$E:$E, E396)</f>
        <v>0</v>
      </c>
      <c r="K396" s="5">
        <f>AVERAGEIFS('Data Combined - all-runs'!$K:$K, 'Data Combined - all-runs'!$A:$A, A396,'Data Combined - all-runs'!$B:$B, B396,'Data Combined - all-runs'!$C:$C, C396, 'Data Combined - all-runs'!$D:$D, D396, 'Data Combined - all-runs'!$E:$E, E396)</f>
        <v>0.143590998</v>
      </c>
      <c r="L396" s="5">
        <f>AVERAGEIFS('Data Combined - all-runs'!$L:$L, 'Data Combined - all-runs'!$A:$A, A396,'Data Combined - all-runs'!$B:$B, B396,'Data Combined - all-runs'!$C:$C, C396, 'Data Combined - all-runs'!$D:$D, D396, 'Data Combined - all-runs'!$E:$E, E396)</f>
        <v>5807.386519</v>
      </c>
      <c r="M396" s="5">
        <f>AVERAGEIFS('Data Combined - all-runs'!$M:$M, 'Data Combined - all-runs'!$A:$A, A396,'Data Combined - all-runs'!$B:$B, B396,'Data Combined - all-runs'!$C:$C, C396, 'Data Combined - all-runs'!$D:$D, D396, 'Data Combined - all-runs'!$E:$E, E396)</f>
        <v>48</v>
      </c>
      <c r="N396" s="5">
        <f>AVERAGEIFS('Data Combined - all-runs'!$N:$N, 'Data Combined - all-runs'!$A:$A, A396,'Data Combined - all-runs'!$B:$B, B396,'Data Combined - all-runs'!$C:$C, C396, 'Data Combined - all-runs'!$D:$D, D396, 'Data Combined - all-runs'!$E:$E, E396)</f>
        <v>6</v>
      </c>
      <c r="O396" s="5">
        <f>AVERAGEIFS('Data Combined - all-runs'!$O:$O, 'Data Combined - all-runs'!$A:$A, A396,'Data Combined - all-runs'!$B:$B, B396,'Data Combined - all-runs'!$C:$C, C396, 'Data Combined - all-runs'!$D:$D, D396, 'Data Combined - all-runs'!$E:$E, E396)</f>
        <v>1022</v>
      </c>
      <c r="P396" s="5">
        <f>AVERAGEIFS('Data Combined - all-runs'!$P:$P, 'Data Combined - all-runs'!$A:$A, A396,'Data Combined - all-runs'!$B:$B, B396,'Data Combined - all-runs'!$C:$C, C396, 'Data Combined - all-runs'!$D:$D, D396, 'Data Combined - all-runs'!$E:$E, E396)</f>
        <v>5.870841487</v>
      </c>
      <c r="Q396" s="5">
        <f>AVERAGEIFS('Data Combined - all-runs'!$Q:$Q, 'Data Combined - all-runs'!$A:$A, A396,'Data Combined - all-runs'!$B:$B, B396,'Data Combined - all-runs'!$C:$C, C396, 'Data Combined - all-runs'!$D:$D, D396, 'Data Combined - all-runs'!$E:$E, E396)</f>
        <v>1557.729941</v>
      </c>
      <c r="R396" s="5">
        <f>AVERAGEIFS('Data Combined - all-runs'!$R:$R, 'Data Combined - all-runs'!$A:$A, A396,'Data Combined - all-runs'!$B:$B, B396,'Data Combined - all-runs'!$C:$C, C396, 'Data Combined - all-runs'!$D:$D, D396, 'Data Combined - all-runs'!$E:$E, E396)</f>
        <v>265.3333333</v>
      </c>
      <c r="S396" s="5">
        <f>AVERAGEIFS('Data Combined - all-runs'!$S:$S, 'Data Combined - all-runs'!$A:$A, A396,'Data Combined - all-runs'!$B:$B, B396,'Data Combined - all-runs'!$C:$C, C396, 'Data Combined - all-runs'!$D:$D, D396, 'Data Combined - all-runs'!$E:$E, E396)</f>
        <v>0</v>
      </c>
      <c r="T396" s="5" t="str">
        <f>AVERAGEIFS('Data Combined - all-runs'!$T:$T, 'Data Combined - all-runs'!$A:$A, A396,'Data Combined - all-runs'!$B:$B, B396,'Data Combined - all-runs'!$C:$C, C396, 'Data Combined - all-runs'!$D:$D, D396, 'Data Combined - all-runs'!$E:$E, E396)</f>
        <v>#DIV/0!</v>
      </c>
      <c r="U396" s="5" t="b">
        <f t="shared" si="1"/>
        <v>1</v>
      </c>
      <c r="V396" s="5" t="b">
        <f t="shared" si="2"/>
        <v>1</v>
      </c>
      <c r="W396" s="5" t="b">
        <f t="shared" si="3"/>
        <v>1</v>
      </c>
    </row>
    <row r="397">
      <c r="A397" s="2" t="s">
        <v>33</v>
      </c>
      <c r="B397" s="2" t="s">
        <v>114</v>
      </c>
      <c r="C397" s="2" t="s">
        <v>23</v>
      </c>
      <c r="D397" s="2" t="s">
        <v>118</v>
      </c>
      <c r="E397" s="2" t="s">
        <v>51</v>
      </c>
      <c r="H397" s="5">
        <f>AVERAGEIFS('Data Combined - all-runs'!$H:$H, 'Data Combined - all-runs'!$A:$A, A397,'Data Combined - all-runs'!$B:$B, B397,'Data Combined - all-runs'!$C:$C, C397, 'Data Combined - all-runs'!$D:$D, D397, 'Data Combined - all-runs'!$E:$E, E397)</f>
        <v>1173</v>
      </c>
      <c r="I397" s="5" t="str">
        <f>AVERAGEIFS('Data Combined - all-runs'!$I:$I, 'Data Combined - all-runs'!$A:$A, A397,'Data Combined - all-runs'!$B:$B, B397,'Data Combined - all-runs'!$C:$C, C397, 'Data Combined - all-runs'!$D:$D, D397, 'Data Combined - all-runs'!$E:$E, E397)</f>
        <v>#DIV/0!</v>
      </c>
      <c r="J397" s="5">
        <f>AVERAGEIFS('Data Combined - all-runs'!$J:$J, 'Data Combined - all-runs'!$A:$A, A397,'Data Combined - all-runs'!$B:$B, B397,'Data Combined - all-runs'!$C:$C, C397, 'Data Combined - all-runs'!$D:$D, D397, 'Data Combined - all-runs'!$E:$E, E397)</f>
        <v>0</v>
      </c>
      <c r="K397" s="5">
        <f>AVERAGEIFS('Data Combined - all-runs'!$K:$K, 'Data Combined - all-runs'!$A:$A, A397,'Data Combined - all-runs'!$B:$B, B397,'Data Combined - all-runs'!$C:$C, C397, 'Data Combined - all-runs'!$D:$D, D397, 'Data Combined - all-runs'!$E:$E, E397)</f>
        <v>0.06009975062</v>
      </c>
      <c r="L397" s="5">
        <f>AVERAGEIFS('Data Combined - all-runs'!$L:$L, 'Data Combined - all-runs'!$A:$A, A397,'Data Combined - all-runs'!$B:$B, B397,'Data Combined - all-runs'!$C:$C, C397, 'Data Combined - all-runs'!$D:$D, D397, 'Data Combined - all-runs'!$E:$E, E397)</f>
        <v>4506.979395</v>
      </c>
      <c r="M397" s="5">
        <f>AVERAGEIFS('Data Combined - all-runs'!$M:$M, 'Data Combined - all-runs'!$A:$A, A397,'Data Combined - all-runs'!$B:$B, B397,'Data Combined - all-runs'!$C:$C, C397, 'Data Combined - all-runs'!$D:$D, D397, 'Data Combined - all-runs'!$E:$E, E397)</f>
        <v>32</v>
      </c>
      <c r="N397" s="5">
        <f>AVERAGEIFS('Data Combined - all-runs'!$N:$N, 'Data Combined - all-runs'!$A:$A, A397,'Data Combined - all-runs'!$B:$B, B397,'Data Combined - all-runs'!$C:$C, C397, 'Data Combined - all-runs'!$D:$D, D397, 'Data Combined - all-runs'!$E:$E, E397)</f>
        <v>9</v>
      </c>
      <c r="O397" s="5">
        <f>AVERAGEIFS('Data Combined - all-runs'!$O:$O, 'Data Combined - all-runs'!$A:$A, A397,'Data Combined - all-runs'!$B:$B, B397,'Data Combined - all-runs'!$C:$C, C397, 'Data Combined - all-runs'!$D:$D, D397, 'Data Combined - all-runs'!$E:$E, E397)</f>
        <v>2005</v>
      </c>
      <c r="P397" s="5">
        <f>AVERAGEIFS('Data Combined - all-runs'!$P:$P, 'Data Combined - all-runs'!$A:$A, A397,'Data Combined - all-runs'!$B:$B, B397,'Data Combined - all-runs'!$C:$C, C397, 'Data Combined - all-runs'!$D:$D, D397, 'Data Combined - all-runs'!$E:$E, E397)</f>
        <v>4.488778055</v>
      </c>
      <c r="Q397" s="5">
        <f>AVERAGEIFS('Data Combined - all-runs'!$Q:$Q, 'Data Combined - all-runs'!$A:$A, A397,'Data Combined - all-runs'!$B:$B, B397,'Data Combined - all-runs'!$C:$C, C397, 'Data Combined - all-runs'!$D:$D, D397, 'Data Combined - all-runs'!$E:$E, E397)</f>
        <v>585.0374065</v>
      </c>
      <c r="R397" s="5">
        <f>AVERAGEIFS('Data Combined - all-runs'!$R:$R, 'Data Combined - all-runs'!$A:$A, A397,'Data Combined - all-runs'!$B:$B, B397,'Data Combined - all-runs'!$C:$C, C397, 'Data Combined - all-runs'!$D:$D, D397, 'Data Combined - all-runs'!$E:$E, E397)</f>
        <v>130.3333333</v>
      </c>
      <c r="S397" s="5">
        <f>AVERAGEIFS('Data Combined - all-runs'!$S:$S, 'Data Combined - all-runs'!$A:$A, A397,'Data Combined - all-runs'!$B:$B, B397,'Data Combined - all-runs'!$C:$C, C397, 'Data Combined - all-runs'!$D:$D, D397, 'Data Combined - all-runs'!$E:$E, E397)</f>
        <v>0</v>
      </c>
      <c r="T397" s="5" t="str">
        <f>AVERAGEIFS('Data Combined - all-runs'!$T:$T, 'Data Combined - all-runs'!$A:$A, A397,'Data Combined - all-runs'!$B:$B, B397,'Data Combined - all-runs'!$C:$C, C397, 'Data Combined - all-runs'!$D:$D, D397, 'Data Combined - all-runs'!$E:$E, E397)</f>
        <v>#DIV/0!</v>
      </c>
      <c r="U397" s="5" t="b">
        <f t="shared" si="1"/>
        <v>1</v>
      </c>
      <c r="V397" s="5" t="b">
        <f t="shared" si="2"/>
        <v>1</v>
      </c>
      <c r="W397" s="5" t="b">
        <f t="shared" si="3"/>
        <v>1</v>
      </c>
    </row>
    <row r="398">
      <c r="A398" s="2" t="s">
        <v>33</v>
      </c>
      <c r="B398" s="2" t="s">
        <v>114</v>
      </c>
      <c r="C398" s="2" t="s">
        <v>35</v>
      </c>
      <c r="D398" s="2" t="s">
        <v>24</v>
      </c>
      <c r="E398" s="2" t="s">
        <v>25</v>
      </c>
      <c r="H398" s="5">
        <f>AVERAGEIFS('Data Combined - all-runs'!$H:$H, 'Data Combined - all-runs'!$A:$A, A398,'Data Combined - all-runs'!$B:$B, B398,'Data Combined - all-runs'!$C:$C, C398, 'Data Combined - all-runs'!$D:$D, D398, 'Data Combined - all-runs'!$E:$E, E398)</f>
        <v>787.75</v>
      </c>
      <c r="I398" s="5">
        <f>AVERAGEIFS('Data Combined - all-runs'!$I:$I, 'Data Combined - all-runs'!$A:$A, A398,'Data Combined - all-runs'!$B:$B, B398,'Data Combined - all-runs'!$C:$C, C398, 'Data Combined - all-runs'!$D:$D, D398, 'Data Combined - all-runs'!$E:$E, E398)</f>
        <v>0</v>
      </c>
      <c r="J398" s="5">
        <f>AVERAGEIFS('Data Combined - all-runs'!$J:$J, 'Data Combined - all-runs'!$A:$A, A398,'Data Combined - all-runs'!$B:$B, B398,'Data Combined - all-runs'!$C:$C, C398, 'Data Combined - all-runs'!$D:$D, D398, 'Data Combined - all-runs'!$E:$E, E398)</f>
        <v>0</v>
      </c>
      <c r="K398" s="5">
        <f>AVERAGEIFS('Data Combined - all-runs'!$K:$K, 'Data Combined - all-runs'!$A:$A, A398,'Data Combined - all-runs'!$B:$B, B398,'Data Combined - all-runs'!$C:$C, C398, 'Data Combined - all-runs'!$D:$D, D398, 'Data Combined - all-runs'!$E:$E, E398)</f>
        <v>0.01575</v>
      </c>
      <c r="L398" s="5">
        <f>AVERAGEIFS('Data Combined - all-runs'!$L:$L, 'Data Combined - all-runs'!$A:$A, A398,'Data Combined - all-runs'!$B:$B, B398,'Data Combined - all-runs'!$C:$C, C398, 'Data Combined - all-runs'!$D:$D, D398, 'Data Combined - all-runs'!$E:$E, E398)</f>
        <v>827.1105065</v>
      </c>
      <c r="M398" s="5" t="str">
        <f>AVERAGEIFS('Data Combined - all-runs'!$M:$M, 'Data Combined - all-runs'!$A:$A, A398,'Data Combined - all-runs'!$B:$B, B398,'Data Combined - all-runs'!$C:$C, C398, 'Data Combined - all-runs'!$D:$D, D398, 'Data Combined - all-runs'!$E:$E, E398)</f>
        <v>#DIV/0!</v>
      </c>
      <c r="N398" s="5">
        <f>AVERAGEIFS('Data Combined - all-runs'!$N:$N, 'Data Combined - all-runs'!$A:$A, A398,'Data Combined - all-runs'!$B:$B, B398,'Data Combined - all-runs'!$C:$C, C398, 'Data Combined - all-runs'!$D:$D, D398, 'Data Combined - all-runs'!$E:$E, E398)</f>
        <v>0</v>
      </c>
      <c r="O398" s="5">
        <f>AVERAGEIFS('Data Combined - all-runs'!$O:$O, 'Data Combined - all-runs'!$A:$A, A398,'Data Combined - all-runs'!$B:$B, B398,'Data Combined - all-runs'!$C:$C, C398, 'Data Combined - all-runs'!$D:$D, D398, 'Data Combined - all-runs'!$E:$E, E398)</f>
        <v>500</v>
      </c>
      <c r="P398" s="5">
        <f>AVERAGEIFS('Data Combined - all-runs'!$P:$P, 'Data Combined - all-runs'!$A:$A, A398,'Data Combined - all-runs'!$B:$B, B398,'Data Combined - all-runs'!$C:$C, C398, 'Data Combined - all-runs'!$D:$D, D398, 'Data Combined - all-runs'!$E:$E, E398)</f>
        <v>0</v>
      </c>
      <c r="Q398" s="5">
        <f>AVERAGEIFS('Data Combined - all-runs'!$Q:$Q, 'Data Combined - all-runs'!$A:$A, A398,'Data Combined - all-runs'!$B:$B, B398,'Data Combined - all-runs'!$C:$C, C398, 'Data Combined - all-runs'!$D:$D, D398, 'Data Combined - all-runs'!$E:$E, E398)</f>
        <v>1575.5</v>
      </c>
      <c r="R398" s="5" t="str">
        <f>AVERAGEIFS('Data Combined - all-runs'!$R:$R, 'Data Combined - all-runs'!$A:$A, A398,'Data Combined - all-runs'!$B:$B, B398,'Data Combined - all-runs'!$C:$C, C398, 'Data Combined - all-runs'!$D:$D, D398, 'Data Combined - all-runs'!$E:$E, E398)</f>
        <v>#DIV/0!</v>
      </c>
      <c r="S398" s="5">
        <f>AVERAGEIFS('Data Combined - all-runs'!$S:$S, 'Data Combined - all-runs'!$A:$A, A398,'Data Combined - all-runs'!$B:$B, B398,'Data Combined - all-runs'!$C:$C, C398, 'Data Combined - all-runs'!$D:$D, D398, 'Data Combined - all-runs'!$E:$E, E398)</f>
        <v>0</v>
      </c>
      <c r="T398" s="5">
        <f>AVERAGEIFS('Data Combined - all-runs'!$T:$T, 'Data Combined - all-runs'!$A:$A, A398,'Data Combined - all-runs'!$B:$B, B398,'Data Combined - all-runs'!$C:$C, C398, 'Data Combined - all-runs'!$D:$D, D398, 'Data Combined - all-runs'!$E:$E, E398)</f>
        <v>0</v>
      </c>
      <c r="U398" s="5" t="b">
        <f t="shared" si="1"/>
        <v>1</v>
      </c>
      <c r="V398" s="5" t="b">
        <f t="shared" si="2"/>
        <v>1</v>
      </c>
      <c r="W398" s="5" t="b">
        <f t="shared" si="3"/>
        <v>0</v>
      </c>
    </row>
    <row r="399">
      <c r="A399" s="2" t="s">
        <v>33</v>
      </c>
      <c r="B399" s="2" t="s">
        <v>114</v>
      </c>
      <c r="C399" s="2" t="s">
        <v>35</v>
      </c>
      <c r="D399" s="2" t="s">
        <v>24</v>
      </c>
      <c r="E399" s="2" t="s">
        <v>39</v>
      </c>
      <c r="H399" s="5">
        <f>AVERAGEIFS('Data Combined - all-runs'!$H:$H, 'Data Combined - all-runs'!$A:$A, A399,'Data Combined - all-runs'!$B:$B, B399,'Data Combined - all-runs'!$C:$C, C399, 'Data Combined - all-runs'!$D:$D, D399, 'Data Combined - all-runs'!$E:$E, E399)</f>
        <v>809.5</v>
      </c>
      <c r="I399" s="5">
        <f>AVERAGEIFS('Data Combined - all-runs'!$I:$I, 'Data Combined - all-runs'!$A:$A, A399,'Data Combined - all-runs'!$B:$B, B399,'Data Combined - all-runs'!$C:$C, C399, 'Data Combined - all-runs'!$D:$D, D399, 'Data Combined - all-runs'!$E:$E, E399)</f>
        <v>0</v>
      </c>
      <c r="J399" s="5">
        <f>AVERAGEIFS('Data Combined - all-runs'!$J:$J, 'Data Combined - all-runs'!$A:$A, A399,'Data Combined - all-runs'!$B:$B, B399,'Data Combined - all-runs'!$C:$C, C399, 'Data Combined - all-runs'!$D:$D, D399, 'Data Combined - all-runs'!$E:$E, E399)</f>
        <v>0</v>
      </c>
      <c r="K399" s="5">
        <f>AVERAGEIFS('Data Combined - all-runs'!$K:$K, 'Data Combined - all-runs'!$A:$A, A399,'Data Combined - all-runs'!$B:$B, B399,'Data Combined - all-runs'!$C:$C, C399, 'Data Combined - all-runs'!$D:$D, D399, 'Data Combined - all-runs'!$E:$E, E399)</f>
        <v>0.266125</v>
      </c>
      <c r="L399" s="5">
        <f>AVERAGEIFS('Data Combined - all-runs'!$L:$L, 'Data Combined - all-runs'!$A:$A, A399,'Data Combined - all-runs'!$B:$B, B399,'Data Combined - all-runs'!$C:$C, C399, 'Data Combined - all-runs'!$D:$D, D399, 'Data Combined - all-runs'!$E:$E, E399)</f>
        <v>953.6896397</v>
      </c>
      <c r="M399" s="5" t="str">
        <f>AVERAGEIFS('Data Combined - all-runs'!$M:$M, 'Data Combined - all-runs'!$A:$A, A399,'Data Combined - all-runs'!$B:$B, B399,'Data Combined - all-runs'!$C:$C, C399, 'Data Combined - all-runs'!$D:$D, D399, 'Data Combined - all-runs'!$E:$E, E399)</f>
        <v>#DIV/0!</v>
      </c>
      <c r="N399" s="5">
        <f>AVERAGEIFS('Data Combined - all-runs'!$N:$N, 'Data Combined - all-runs'!$A:$A, A399,'Data Combined - all-runs'!$B:$B, B399,'Data Combined - all-runs'!$C:$C, C399, 'Data Combined - all-runs'!$D:$D, D399, 'Data Combined - all-runs'!$E:$E, E399)</f>
        <v>0</v>
      </c>
      <c r="O399" s="5">
        <f>AVERAGEIFS('Data Combined - all-runs'!$O:$O, 'Data Combined - all-runs'!$A:$A, A399,'Data Combined - all-runs'!$B:$B, B399,'Data Combined - all-runs'!$C:$C, C399, 'Data Combined - all-runs'!$D:$D, D399, 'Data Combined - all-runs'!$E:$E, E399)</f>
        <v>500</v>
      </c>
      <c r="P399" s="5">
        <f>AVERAGEIFS('Data Combined - all-runs'!$P:$P, 'Data Combined - all-runs'!$A:$A, A399,'Data Combined - all-runs'!$B:$B, B399,'Data Combined - all-runs'!$C:$C, C399, 'Data Combined - all-runs'!$D:$D, D399, 'Data Combined - all-runs'!$E:$E, E399)</f>
        <v>0</v>
      </c>
      <c r="Q399" s="5">
        <f>AVERAGEIFS('Data Combined - all-runs'!$Q:$Q, 'Data Combined - all-runs'!$A:$A, A399,'Data Combined - all-runs'!$B:$B, B399,'Data Combined - all-runs'!$C:$C, C399, 'Data Combined - all-runs'!$D:$D, D399, 'Data Combined - all-runs'!$E:$E, E399)</f>
        <v>1619</v>
      </c>
      <c r="R399" s="5" t="str">
        <f>AVERAGEIFS('Data Combined - all-runs'!$R:$R, 'Data Combined - all-runs'!$A:$A, A399,'Data Combined - all-runs'!$B:$B, B399,'Data Combined - all-runs'!$C:$C, C399, 'Data Combined - all-runs'!$D:$D, D399, 'Data Combined - all-runs'!$E:$E, E399)</f>
        <v>#DIV/0!</v>
      </c>
      <c r="S399" s="5">
        <f>AVERAGEIFS('Data Combined - all-runs'!$S:$S, 'Data Combined - all-runs'!$A:$A, A399,'Data Combined - all-runs'!$B:$B, B399,'Data Combined - all-runs'!$C:$C, C399, 'Data Combined - all-runs'!$D:$D, D399, 'Data Combined - all-runs'!$E:$E, E399)</f>
        <v>0</v>
      </c>
      <c r="T399" s="5">
        <f>AVERAGEIFS('Data Combined - all-runs'!$T:$T, 'Data Combined - all-runs'!$A:$A, A399,'Data Combined - all-runs'!$B:$B, B399,'Data Combined - all-runs'!$C:$C, C399, 'Data Combined - all-runs'!$D:$D, D399, 'Data Combined - all-runs'!$E:$E, E399)</f>
        <v>0</v>
      </c>
      <c r="U399" s="5" t="b">
        <f t="shared" si="1"/>
        <v>1</v>
      </c>
      <c r="V399" s="5" t="b">
        <f t="shared" si="2"/>
        <v>1</v>
      </c>
      <c r="W399" s="5" t="b">
        <f t="shared" si="3"/>
        <v>0</v>
      </c>
    </row>
    <row r="400">
      <c r="A400" s="2" t="s">
        <v>33</v>
      </c>
      <c r="B400" s="2" t="s">
        <v>114</v>
      </c>
      <c r="C400" s="2" t="s">
        <v>35</v>
      </c>
      <c r="D400" s="2" t="s">
        <v>24</v>
      </c>
      <c r="E400" s="2" t="s">
        <v>43</v>
      </c>
      <c r="H400" s="5">
        <f>AVERAGEIFS('Data Combined - all-runs'!$H:$H, 'Data Combined - all-runs'!$A:$A, A400,'Data Combined - all-runs'!$B:$B, B400,'Data Combined - all-runs'!$C:$C, C400, 'Data Combined - all-runs'!$D:$D, D400, 'Data Combined - all-runs'!$E:$E, E400)</f>
        <v>1502</v>
      </c>
      <c r="I400" s="5">
        <f>AVERAGEIFS('Data Combined - all-runs'!$I:$I, 'Data Combined - all-runs'!$A:$A, A400,'Data Combined - all-runs'!$B:$B, B400,'Data Combined - all-runs'!$C:$C, C400, 'Data Combined - all-runs'!$D:$D, D400, 'Data Combined - all-runs'!$E:$E, E400)</f>
        <v>0</v>
      </c>
      <c r="J400" s="5">
        <f>AVERAGEIFS('Data Combined - all-runs'!$J:$J, 'Data Combined - all-runs'!$A:$A, A400,'Data Combined - all-runs'!$B:$B, B400,'Data Combined - all-runs'!$C:$C, C400, 'Data Combined - all-runs'!$D:$D, D400, 'Data Combined - all-runs'!$E:$E, E400)</f>
        <v>0</v>
      </c>
      <c r="K400" s="5">
        <f>AVERAGEIFS('Data Combined - all-runs'!$K:$K, 'Data Combined - all-runs'!$A:$A, A400,'Data Combined - all-runs'!$B:$B, B400,'Data Combined - all-runs'!$C:$C, C400, 'Data Combined - all-runs'!$D:$D, D400, 'Data Combined - all-runs'!$E:$E, E400)</f>
        <v>0.1895</v>
      </c>
      <c r="L400" s="5">
        <f>AVERAGEIFS('Data Combined - all-runs'!$L:$L, 'Data Combined - all-runs'!$A:$A, A400,'Data Combined - all-runs'!$B:$B, B400,'Data Combined - all-runs'!$C:$C, C400, 'Data Combined - all-runs'!$D:$D, D400, 'Data Combined - all-runs'!$E:$E, E400)</f>
        <v>1716.789979</v>
      </c>
      <c r="M400" s="5" t="str">
        <f>AVERAGEIFS('Data Combined - all-runs'!$M:$M, 'Data Combined - all-runs'!$A:$A, A400,'Data Combined - all-runs'!$B:$B, B400,'Data Combined - all-runs'!$C:$C, C400, 'Data Combined - all-runs'!$D:$D, D400, 'Data Combined - all-runs'!$E:$E, E400)</f>
        <v>#DIV/0!</v>
      </c>
      <c r="N400" s="5">
        <f>AVERAGEIFS('Data Combined - all-runs'!$N:$N, 'Data Combined - all-runs'!$A:$A, A400,'Data Combined - all-runs'!$B:$B, B400,'Data Combined - all-runs'!$C:$C, C400, 'Data Combined - all-runs'!$D:$D, D400, 'Data Combined - all-runs'!$E:$E, E400)</f>
        <v>0</v>
      </c>
      <c r="O400" s="5">
        <f>AVERAGEIFS('Data Combined - all-runs'!$O:$O, 'Data Combined - all-runs'!$A:$A, A400,'Data Combined - all-runs'!$B:$B, B400,'Data Combined - all-runs'!$C:$C, C400, 'Data Combined - all-runs'!$D:$D, D400, 'Data Combined - all-runs'!$E:$E, E400)</f>
        <v>500</v>
      </c>
      <c r="P400" s="5">
        <f>AVERAGEIFS('Data Combined - all-runs'!$P:$P, 'Data Combined - all-runs'!$A:$A, A400,'Data Combined - all-runs'!$B:$B, B400,'Data Combined - all-runs'!$C:$C, C400, 'Data Combined - all-runs'!$D:$D, D400, 'Data Combined - all-runs'!$E:$E, E400)</f>
        <v>0</v>
      </c>
      <c r="Q400" s="5">
        <f>AVERAGEIFS('Data Combined - all-runs'!$Q:$Q, 'Data Combined - all-runs'!$A:$A, A400,'Data Combined - all-runs'!$B:$B, B400,'Data Combined - all-runs'!$C:$C, C400, 'Data Combined - all-runs'!$D:$D, D400, 'Data Combined - all-runs'!$E:$E, E400)</f>
        <v>3004</v>
      </c>
      <c r="R400" s="5" t="str">
        <f>AVERAGEIFS('Data Combined - all-runs'!$R:$R, 'Data Combined - all-runs'!$A:$A, A400,'Data Combined - all-runs'!$B:$B, B400,'Data Combined - all-runs'!$C:$C, C400, 'Data Combined - all-runs'!$D:$D, D400, 'Data Combined - all-runs'!$E:$E, E400)</f>
        <v>#DIV/0!</v>
      </c>
      <c r="S400" s="5">
        <f>AVERAGEIFS('Data Combined - all-runs'!$S:$S, 'Data Combined - all-runs'!$A:$A, A400,'Data Combined - all-runs'!$B:$B, B400,'Data Combined - all-runs'!$C:$C, C400, 'Data Combined - all-runs'!$D:$D, D400, 'Data Combined - all-runs'!$E:$E, E400)</f>
        <v>0</v>
      </c>
      <c r="T400" s="5">
        <f>AVERAGEIFS('Data Combined - all-runs'!$T:$T, 'Data Combined - all-runs'!$A:$A, A400,'Data Combined - all-runs'!$B:$B, B400,'Data Combined - all-runs'!$C:$C, C400, 'Data Combined - all-runs'!$D:$D, D400, 'Data Combined - all-runs'!$E:$E, E400)</f>
        <v>0</v>
      </c>
      <c r="U400" s="5" t="b">
        <f t="shared" si="1"/>
        <v>1</v>
      </c>
      <c r="V400" s="5" t="b">
        <f t="shared" si="2"/>
        <v>1</v>
      </c>
      <c r="W400" s="5" t="b">
        <f t="shared" si="3"/>
        <v>0</v>
      </c>
    </row>
    <row r="401">
      <c r="A401" s="2" t="s">
        <v>33</v>
      </c>
      <c r="B401" s="2" t="s">
        <v>114</v>
      </c>
      <c r="C401" s="2" t="s">
        <v>35</v>
      </c>
      <c r="D401" s="2" t="s">
        <v>24</v>
      </c>
      <c r="E401" s="2" t="s">
        <v>34</v>
      </c>
      <c r="H401" s="5">
        <f>AVERAGEIFS('Data Combined - all-runs'!$H:$H, 'Data Combined - all-runs'!$A:$A, A401,'Data Combined - all-runs'!$B:$B, B401,'Data Combined - all-runs'!$C:$C, C401, 'Data Combined - all-runs'!$D:$D, D401, 'Data Combined - all-runs'!$E:$E, E401)</f>
        <v>1727.5</v>
      </c>
      <c r="I401" s="5">
        <f>AVERAGEIFS('Data Combined - all-runs'!$I:$I, 'Data Combined - all-runs'!$A:$A, A401,'Data Combined - all-runs'!$B:$B, B401,'Data Combined - all-runs'!$C:$C, C401, 'Data Combined - all-runs'!$D:$D, D401, 'Data Combined - all-runs'!$E:$E, E401)</f>
        <v>0</v>
      </c>
      <c r="J401" s="5">
        <f>AVERAGEIFS('Data Combined - all-runs'!$J:$J, 'Data Combined - all-runs'!$A:$A, A401,'Data Combined - all-runs'!$B:$B, B401,'Data Combined - all-runs'!$C:$C, C401, 'Data Combined - all-runs'!$D:$D, D401, 'Data Combined - all-runs'!$E:$E, E401)</f>
        <v>0</v>
      </c>
      <c r="K401" s="5">
        <f>AVERAGEIFS('Data Combined - all-runs'!$K:$K, 'Data Combined - all-runs'!$A:$A, A401,'Data Combined - all-runs'!$B:$B, B401,'Data Combined - all-runs'!$C:$C, C401, 'Data Combined - all-runs'!$D:$D, D401, 'Data Combined - all-runs'!$E:$E, E401)</f>
        <v>0.224</v>
      </c>
      <c r="L401" s="5">
        <f>AVERAGEIFS('Data Combined - all-runs'!$L:$L, 'Data Combined - all-runs'!$A:$A, A401,'Data Combined - all-runs'!$B:$B, B401,'Data Combined - all-runs'!$C:$C, C401, 'Data Combined - all-runs'!$D:$D, D401, 'Data Combined - all-runs'!$E:$E, E401)</f>
        <v>1954.925353</v>
      </c>
      <c r="M401" s="5" t="str">
        <f>AVERAGEIFS('Data Combined - all-runs'!$M:$M, 'Data Combined - all-runs'!$A:$A, A401,'Data Combined - all-runs'!$B:$B, B401,'Data Combined - all-runs'!$C:$C, C401, 'Data Combined - all-runs'!$D:$D, D401, 'Data Combined - all-runs'!$E:$E, E401)</f>
        <v>#DIV/0!</v>
      </c>
      <c r="N401" s="5">
        <f>AVERAGEIFS('Data Combined - all-runs'!$N:$N, 'Data Combined - all-runs'!$A:$A, A401,'Data Combined - all-runs'!$B:$B, B401,'Data Combined - all-runs'!$C:$C, C401, 'Data Combined - all-runs'!$D:$D, D401, 'Data Combined - all-runs'!$E:$E, E401)</f>
        <v>0</v>
      </c>
      <c r="O401" s="5">
        <f>AVERAGEIFS('Data Combined - all-runs'!$O:$O, 'Data Combined - all-runs'!$A:$A, A401,'Data Combined - all-runs'!$B:$B, B401,'Data Combined - all-runs'!$C:$C, C401, 'Data Combined - all-runs'!$D:$D, D401, 'Data Combined - all-runs'!$E:$E, E401)</f>
        <v>500</v>
      </c>
      <c r="P401" s="5">
        <f>AVERAGEIFS('Data Combined - all-runs'!$P:$P, 'Data Combined - all-runs'!$A:$A, A401,'Data Combined - all-runs'!$B:$B, B401,'Data Combined - all-runs'!$C:$C, C401, 'Data Combined - all-runs'!$D:$D, D401, 'Data Combined - all-runs'!$E:$E, E401)</f>
        <v>0</v>
      </c>
      <c r="Q401" s="5">
        <f>AVERAGEIFS('Data Combined - all-runs'!$Q:$Q, 'Data Combined - all-runs'!$A:$A, A401,'Data Combined - all-runs'!$B:$B, B401,'Data Combined - all-runs'!$C:$C, C401, 'Data Combined - all-runs'!$D:$D, D401, 'Data Combined - all-runs'!$E:$E, E401)</f>
        <v>3455</v>
      </c>
      <c r="R401" s="5" t="str">
        <f>AVERAGEIFS('Data Combined - all-runs'!$R:$R, 'Data Combined - all-runs'!$A:$A, A401,'Data Combined - all-runs'!$B:$B, B401,'Data Combined - all-runs'!$C:$C, C401, 'Data Combined - all-runs'!$D:$D, D401, 'Data Combined - all-runs'!$E:$E, E401)</f>
        <v>#DIV/0!</v>
      </c>
      <c r="S401" s="5">
        <f>AVERAGEIFS('Data Combined - all-runs'!$S:$S, 'Data Combined - all-runs'!$A:$A, A401,'Data Combined - all-runs'!$B:$B, B401,'Data Combined - all-runs'!$C:$C, C401, 'Data Combined - all-runs'!$D:$D, D401, 'Data Combined - all-runs'!$E:$E, E401)</f>
        <v>0</v>
      </c>
      <c r="T401" s="5">
        <f>AVERAGEIFS('Data Combined - all-runs'!$T:$T, 'Data Combined - all-runs'!$A:$A, A401,'Data Combined - all-runs'!$B:$B, B401,'Data Combined - all-runs'!$C:$C, C401, 'Data Combined - all-runs'!$D:$D, D401, 'Data Combined - all-runs'!$E:$E, E401)</f>
        <v>0</v>
      </c>
      <c r="U401" s="5" t="b">
        <f t="shared" si="1"/>
        <v>1</v>
      </c>
      <c r="V401" s="5" t="b">
        <f t="shared" si="2"/>
        <v>1</v>
      </c>
      <c r="W401" s="5" t="b">
        <f t="shared" si="3"/>
        <v>0</v>
      </c>
    </row>
    <row r="402">
      <c r="A402" s="2" t="s">
        <v>33</v>
      </c>
      <c r="B402" s="2" t="s">
        <v>114</v>
      </c>
      <c r="C402" s="2" t="s">
        <v>35</v>
      </c>
      <c r="D402" s="2" t="s">
        <v>24</v>
      </c>
      <c r="E402" s="2" t="s">
        <v>47</v>
      </c>
      <c r="H402" s="5">
        <f>AVERAGEIFS('Data Combined - all-runs'!$H:$H, 'Data Combined - all-runs'!$A:$A, A402,'Data Combined - all-runs'!$B:$B, B402,'Data Combined - all-runs'!$C:$C, C402, 'Data Combined - all-runs'!$D:$D, D402, 'Data Combined - all-runs'!$E:$E, E402)</f>
        <v>1862</v>
      </c>
      <c r="I402" s="5">
        <f>AVERAGEIFS('Data Combined - all-runs'!$I:$I, 'Data Combined - all-runs'!$A:$A, A402,'Data Combined - all-runs'!$B:$B, B402,'Data Combined - all-runs'!$C:$C, C402, 'Data Combined - all-runs'!$D:$D, D402, 'Data Combined - all-runs'!$E:$E, E402)</f>
        <v>0</v>
      </c>
      <c r="J402" s="5">
        <f>AVERAGEIFS('Data Combined - all-runs'!$J:$J, 'Data Combined - all-runs'!$A:$A, A402,'Data Combined - all-runs'!$B:$B, B402,'Data Combined - all-runs'!$C:$C, C402, 'Data Combined - all-runs'!$D:$D, D402, 'Data Combined - all-runs'!$E:$E, E402)</f>
        <v>0</v>
      </c>
      <c r="K402" s="5">
        <f>AVERAGEIFS('Data Combined - all-runs'!$K:$K, 'Data Combined - all-runs'!$A:$A, A402,'Data Combined - all-runs'!$B:$B, B402,'Data Combined - all-runs'!$C:$C, C402, 'Data Combined - all-runs'!$D:$D, D402, 'Data Combined - all-runs'!$E:$E, E402)</f>
        <v>0.2383333333</v>
      </c>
      <c r="L402" s="5">
        <f>AVERAGEIFS('Data Combined - all-runs'!$L:$L, 'Data Combined - all-runs'!$A:$A, A402,'Data Combined - all-runs'!$B:$B, B402,'Data Combined - all-runs'!$C:$C, C402, 'Data Combined - all-runs'!$D:$D, D402, 'Data Combined - all-runs'!$E:$E, E402)</f>
        <v>2555.871407</v>
      </c>
      <c r="M402" s="5" t="str">
        <f>AVERAGEIFS('Data Combined - all-runs'!$M:$M, 'Data Combined - all-runs'!$A:$A, A402,'Data Combined - all-runs'!$B:$B, B402,'Data Combined - all-runs'!$C:$C, C402, 'Data Combined - all-runs'!$D:$D, D402, 'Data Combined - all-runs'!$E:$E, E402)</f>
        <v>#DIV/0!</v>
      </c>
      <c r="N402" s="5">
        <f>AVERAGEIFS('Data Combined - all-runs'!$N:$N, 'Data Combined - all-runs'!$A:$A, A402,'Data Combined - all-runs'!$B:$B, B402,'Data Combined - all-runs'!$C:$C, C402, 'Data Combined - all-runs'!$D:$D, D402, 'Data Combined - all-runs'!$E:$E, E402)</f>
        <v>0</v>
      </c>
      <c r="O402" s="5">
        <f>AVERAGEIFS('Data Combined - all-runs'!$O:$O, 'Data Combined - all-runs'!$A:$A, A402,'Data Combined - all-runs'!$B:$B, B402,'Data Combined - all-runs'!$C:$C, C402, 'Data Combined - all-runs'!$D:$D, D402, 'Data Combined - all-runs'!$E:$E, E402)</f>
        <v>500</v>
      </c>
      <c r="P402" s="5">
        <f>AVERAGEIFS('Data Combined - all-runs'!$P:$P, 'Data Combined - all-runs'!$A:$A, A402,'Data Combined - all-runs'!$B:$B, B402,'Data Combined - all-runs'!$C:$C, C402, 'Data Combined - all-runs'!$D:$D, D402, 'Data Combined - all-runs'!$E:$E, E402)</f>
        <v>0</v>
      </c>
      <c r="Q402" s="5">
        <f>AVERAGEIFS('Data Combined - all-runs'!$Q:$Q, 'Data Combined - all-runs'!$A:$A, A402,'Data Combined - all-runs'!$B:$B, B402,'Data Combined - all-runs'!$C:$C, C402, 'Data Combined - all-runs'!$D:$D, D402, 'Data Combined - all-runs'!$E:$E, E402)</f>
        <v>3724</v>
      </c>
      <c r="R402" s="5" t="str">
        <f>AVERAGEIFS('Data Combined - all-runs'!$R:$R, 'Data Combined - all-runs'!$A:$A, A402,'Data Combined - all-runs'!$B:$B, B402,'Data Combined - all-runs'!$C:$C, C402, 'Data Combined - all-runs'!$D:$D, D402, 'Data Combined - all-runs'!$E:$E, E402)</f>
        <v>#DIV/0!</v>
      </c>
      <c r="S402" s="5">
        <f>AVERAGEIFS('Data Combined - all-runs'!$S:$S, 'Data Combined - all-runs'!$A:$A, A402,'Data Combined - all-runs'!$B:$B, B402,'Data Combined - all-runs'!$C:$C, C402, 'Data Combined - all-runs'!$D:$D, D402, 'Data Combined - all-runs'!$E:$E, E402)</f>
        <v>0</v>
      </c>
      <c r="T402" s="5">
        <f>AVERAGEIFS('Data Combined - all-runs'!$T:$T, 'Data Combined - all-runs'!$A:$A, A402,'Data Combined - all-runs'!$B:$B, B402,'Data Combined - all-runs'!$C:$C, C402, 'Data Combined - all-runs'!$D:$D, D402, 'Data Combined - all-runs'!$E:$E, E402)</f>
        <v>0</v>
      </c>
      <c r="U402" s="5" t="b">
        <f t="shared" si="1"/>
        <v>1</v>
      </c>
      <c r="V402" s="5" t="b">
        <f t="shared" si="2"/>
        <v>1</v>
      </c>
      <c r="W402" s="5" t="b">
        <f t="shared" si="3"/>
        <v>0</v>
      </c>
    </row>
    <row r="403">
      <c r="A403" s="2" t="s">
        <v>33</v>
      </c>
      <c r="B403" s="2" t="s">
        <v>114</v>
      </c>
      <c r="C403" s="2" t="s">
        <v>35</v>
      </c>
      <c r="D403" s="2" t="s">
        <v>24</v>
      </c>
      <c r="E403" s="2" t="s">
        <v>51</v>
      </c>
      <c r="H403" s="5">
        <f>AVERAGEIFS('Data Combined - all-runs'!$H:$H, 'Data Combined - all-runs'!$A:$A, A403,'Data Combined - all-runs'!$B:$B, B403,'Data Combined - all-runs'!$C:$C, C403, 'Data Combined - all-runs'!$D:$D, D403, 'Data Combined - all-runs'!$E:$E, E403)</f>
        <v>1329.5</v>
      </c>
      <c r="I403" s="5">
        <f>AVERAGEIFS('Data Combined - all-runs'!$I:$I, 'Data Combined - all-runs'!$A:$A, A403,'Data Combined - all-runs'!$B:$B, B403,'Data Combined - all-runs'!$C:$C, C403, 'Data Combined - all-runs'!$D:$D, D403, 'Data Combined - all-runs'!$E:$E, E403)</f>
        <v>0</v>
      </c>
      <c r="J403" s="5">
        <f>AVERAGEIFS('Data Combined - all-runs'!$J:$J, 'Data Combined - all-runs'!$A:$A, A403,'Data Combined - all-runs'!$B:$B, B403,'Data Combined - all-runs'!$C:$C, C403, 'Data Combined - all-runs'!$D:$D, D403, 'Data Combined - all-runs'!$E:$E, E403)</f>
        <v>0</v>
      </c>
      <c r="K403" s="5">
        <f>AVERAGEIFS('Data Combined - all-runs'!$K:$K, 'Data Combined - all-runs'!$A:$A, A403,'Data Combined - all-runs'!$B:$B, B403,'Data Combined - all-runs'!$C:$C, C403, 'Data Combined - all-runs'!$D:$D, D403, 'Data Combined - all-runs'!$E:$E, E403)</f>
        <v>0.186</v>
      </c>
      <c r="L403" s="5">
        <f>AVERAGEIFS('Data Combined - all-runs'!$L:$L, 'Data Combined - all-runs'!$A:$A, A403,'Data Combined - all-runs'!$B:$B, B403,'Data Combined - all-runs'!$C:$C, C403, 'Data Combined - all-runs'!$D:$D, D403, 'Data Combined - all-runs'!$E:$E, E403)</f>
        <v>2034.776698</v>
      </c>
      <c r="M403" s="5" t="str">
        <f>AVERAGEIFS('Data Combined - all-runs'!$M:$M, 'Data Combined - all-runs'!$A:$A, A403,'Data Combined - all-runs'!$B:$B, B403,'Data Combined - all-runs'!$C:$C, C403, 'Data Combined - all-runs'!$D:$D, D403, 'Data Combined - all-runs'!$E:$E, E403)</f>
        <v>#DIV/0!</v>
      </c>
      <c r="N403" s="5">
        <f>AVERAGEIFS('Data Combined - all-runs'!$N:$N, 'Data Combined - all-runs'!$A:$A, A403,'Data Combined - all-runs'!$B:$B, B403,'Data Combined - all-runs'!$C:$C, C403, 'Data Combined - all-runs'!$D:$D, D403, 'Data Combined - all-runs'!$E:$E, E403)</f>
        <v>0</v>
      </c>
      <c r="O403" s="5">
        <f>AVERAGEIFS('Data Combined - all-runs'!$O:$O, 'Data Combined - all-runs'!$A:$A, A403,'Data Combined - all-runs'!$B:$B, B403,'Data Combined - all-runs'!$C:$C, C403, 'Data Combined - all-runs'!$D:$D, D403, 'Data Combined - all-runs'!$E:$E, E403)</f>
        <v>500</v>
      </c>
      <c r="P403" s="5">
        <f>AVERAGEIFS('Data Combined - all-runs'!$P:$P, 'Data Combined - all-runs'!$A:$A, A403,'Data Combined - all-runs'!$B:$B, B403,'Data Combined - all-runs'!$C:$C, C403, 'Data Combined - all-runs'!$D:$D, D403, 'Data Combined - all-runs'!$E:$E, E403)</f>
        <v>0</v>
      </c>
      <c r="Q403" s="5">
        <f>AVERAGEIFS('Data Combined - all-runs'!$Q:$Q, 'Data Combined - all-runs'!$A:$A, A403,'Data Combined - all-runs'!$B:$B, B403,'Data Combined - all-runs'!$C:$C, C403, 'Data Combined - all-runs'!$D:$D, D403, 'Data Combined - all-runs'!$E:$E, E403)</f>
        <v>2659</v>
      </c>
      <c r="R403" s="5" t="str">
        <f>AVERAGEIFS('Data Combined - all-runs'!$R:$R, 'Data Combined - all-runs'!$A:$A, A403,'Data Combined - all-runs'!$B:$B, B403,'Data Combined - all-runs'!$C:$C, C403, 'Data Combined - all-runs'!$D:$D, D403, 'Data Combined - all-runs'!$E:$E, E403)</f>
        <v>#DIV/0!</v>
      </c>
      <c r="S403" s="5">
        <f>AVERAGEIFS('Data Combined - all-runs'!$S:$S, 'Data Combined - all-runs'!$A:$A, A403,'Data Combined - all-runs'!$B:$B, B403,'Data Combined - all-runs'!$C:$C, C403, 'Data Combined - all-runs'!$D:$D, D403, 'Data Combined - all-runs'!$E:$E, E403)</f>
        <v>0</v>
      </c>
      <c r="T403" s="5">
        <f>AVERAGEIFS('Data Combined - all-runs'!$T:$T, 'Data Combined - all-runs'!$A:$A, A403,'Data Combined - all-runs'!$B:$B, B403,'Data Combined - all-runs'!$C:$C, C403, 'Data Combined - all-runs'!$D:$D, D403, 'Data Combined - all-runs'!$E:$E, E403)</f>
        <v>0</v>
      </c>
      <c r="U403" s="5" t="b">
        <f t="shared" si="1"/>
        <v>1</v>
      </c>
      <c r="V403" s="5" t="b">
        <f t="shared" si="2"/>
        <v>1</v>
      </c>
      <c r="W403" s="5" t="b">
        <f t="shared" si="3"/>
        <v>0</v>
      </c>
    </row>
    <row r="404">
      <c r="A404" s="2" t="s">
        <v>33</v>
      </c>
      <c r="B404" s="2" t="s">
        <v>114</v>
      </c>
      <c r="C404" s="2" t="s">
        <v>35</v>
      </c>
      <c r="D404" s="2" t="s">
        <v>54</v>
      </c>
      <c r="E404" s="2" t="s">
        <v>25</v>
      </c>
      <c r="H404" s="5">
        <f>AVERAGEIFS('Data Combined - all-runs'!$H:$H, 'Data Combined - all-runs'!$A:$A, A404,'Data Combined - all-runs'!$B:$B, B404,'Data Combined - all-runs'!$C:$C, C404, 'Data Combined - all-runs'!$D:$D, D404, 'Data Combined - all-runs'!$E:$E, E404)</f>
        <v>770.5</v>
      </c>
      <c r="I404" s="5">
        <f>AVERAGEIFS('Data Combined - all-runs'!$I:$I, 'Data Combined - all-runs'!$A:$A, A404,'Data Combined - all-runs'!$B:$B, B404,'Data Combined - all-runs'!$C:$C, C404, 'Data Combined - all-runs'!$D:$D, D404, 'Data Combined - all-runs'!$E:$E, E404)</f>
        <v>0</v>
      </c>
      <c r="J404" s="5">
        <f>AVERAGEIFS('Data Combined - all-runs'!$J:$J, 'Data Combined - all-runs'!$A:$A, A404,'Data Combined - all-runs'!$B:$B, B404,'Data Combined - all-runs'!$C:$C, C404, 'Data Combined - all-runs'!$D:$D, D404, 'Data Combined - all-runs'!$E:$E, E404)</f>
        <v>0</v>
      </c>
      <c r="K404" s="5">
        <f>AVERAGEIFS('Data Combined - all-runs'!$K:$K, 'Data Combined - all-runs'!$A:$A, A404,'Data Combined - all-runs'!$B:$B, B404,'Data Combined - all-runs'!$C:$C, C404, 'Data Combined - all-runs'!$D:$D, D404, 'Data Combined - all-runs'!$E:$E, E404)</f>
        <v>0</v>
      </c>
      <c r="L404" s="5">
        <f>AVERAGEIFS('Data Combined - all-runs'!$L:$L, 'Data Combined - all-runs'!$A:$A, A404,'Data Combined - all-runs'!$B:$B, B404,'Data Combined - all-runs'!$C:$C, C404, 'Data Combined - all-runs'!$D:$D, D404, 'Data Combined - all-runs'!$E:$E, E404)</f>
        <v>1168.874694</v>
      </c>
      <c r="M404" s="5" t="str">
        <f>AVERAGEIFS('Data Combined - all-runs'!$M:$M, 'Data Combined - all-runs'!$A:$A, A404,'Data Combined - all-runs'!$B:$B, B404,'Data Combined - all-runs'!$C:$C, C404, 'Data Combined - all-runs'!$D:$D, D404, 'Data Combined - all-runs'!$E:$E, E404)</f>
        <v>#DIV/0!</v>
      </c>
      <c r="N404" s="5">
        <f>AVERAGEIFS('Data Combined - all-runs'!$N:$N, 'Data Combined - all-runs'!$A:$A, A404,'Data Combined - all-runs'!$B:$B, B404,'Data Combined - all-runs'!$C:$C, C404, 'Data Combined - all-runs'!$D:$D, D404, 'Data Combined - all-runs'!$E:$E, E404)</f>
        <v>0</v>
      </c>
      <c r="O404" s="5">
        <f>AVERAGEIFS('Data Combined - all-runs'!$O:$O, 'Data Combined - all-runs'!$A:$A, A404,'Data Combined - all-runs'!$B:$B, B404,'Data Combined - all-runs'!$C:$C, C404, 'Data Combined - all-runs'!$D:$D, D404, 'Data Combined - all-runs'!$E:$E, E404)</f>
        <v>500</v>
      </c>
      <c r="P404" s="5">
        <f>AVERAGEIFS('Data Combined - all-runs'!$P:$P, 'Data Combined - all-runs'!$A:$A, A404,'Data Combined - all-runs'!$B:$B, B404,'Data Combined - all-runs'!$C:$C, C404, 'Data Combined - all-runs'!$D:$D, D404, 'Data Combined - all-runs'!$E:$E, E404)</f>
        <v>0</v>
      </c>
      <c r="Q404" s="5">
        <f>AVERAGEIFS('Data Combined - all-runs'!$Q:$Q, 'Data Combined - all-runs'!$A:$A, A404,'Data Combined - all-runs'!$B:$B, B404,'Data Combined - all-runs'!$C:$C, C404, 'Data Combined - all-runs'!$D:$D, D404, 'Data Combined - all-runs'!$E:$E, E404)</f>
        <v>1541</v>
      </c>
      <c r="R404" s="5" t="str">
        <f>AVERAGEIFS('Data Combined - all-runs'!$R:$R, 'Data Combined - all-runs'!$A:$A, A404,'Data Combined - all-runs'!$B:$B, B404,'Data Combined - all-runs'!$C:$C, C404, 'Data Combined - all-runs'!$D:$D, D404, 'Data Combined - all-runs'!$E:$E, E404)</f>
        <v>#DIV/0!</v>
      </c>
      <c r="S404" s="5">
        <f>AVERAGEIFS('Data Combined - all-runs'!$S:$S, 'Data Combined - all-runs'!$A:$A, A404,'Data Combined - all-runs'!$B:$B, B404,'Data Combined - all-runs'!$C:$C, C404, 'Data Combined - all-runs'!$D:$D, D404, 'Data Combined - all-runs'!$E:$E, E404)</f>
        <v>0</v>
      </c>
      <c r="T404" s="5">
        <f>AVERAGEIFS('Data Combined - all-runs'!$T:$T, 'Data Combined - all-runs'!$A:$A, A404,'Data Combined - all-runs'!$B:$B, B404,'Data Combined - all-runs'!$C:$C, C404, 'Data Combined - all-runs'!$D:$D, D404, 'Data Combined - all-runs'!$E:$E, E404)</f>
        <v>0</v>
      </c>
      <c r="U404" s="5" t="b">
        <f t="shared" si="1"/>
        <v>1</v>
      </c>
      <c r="V404" s="5" t="b">
        <f t="shared" si="2"/>
        <v>1</v>
      </c>
      <c r="W404" s="5" t="b">
        <f t="shared" si="3"/>
        <v>0</v>
      </c>
    </row>
    <row r="405">
      <c r="A405" s="2" t="s">
        <v>33</v>
      </c>
      <c r="B405" s="2" t="s">
        <v>114</v>
      </c>
      <c r="C405" s="2" t="s">
        <v>35</v>
      </c>
      <c r="D405" s="2" t="s">
        <v>54</v>
      </c>
      <c r="E405" s="2" t="s">
        <v>39</v>
      </c>
      <c r="H405" s="5">
        <f>AVERAGEIFS('Data Combined - all-runs'!$H:$H, 'Data Combined - all-runs'!$A:$A, A405,'Data Combined - all-runs'!$B:$B, B405,'Data Combined - all-runs'!$C:$C, C405, 'Data Combined - all-runs'!$D:$D, D405, 'Data Combined - all-runs'!$E:$E, E405)</f>
        <v>1084.5</v>
      </c>
      <c r="I405" s="5">
        <f>AVERAGEIFS('Data Combined - all-runs'!$I:$I, 'Data Combined - all-runs'!$A:$A, A405,'Data Combined - all-runs'!$B:$B, B405,'Data Combined - all-runs'!$C:$C, C405, 'Data Combined - all-runs'!$D:$D, D405, 'Data Combined - all-runs'!$E:$E, E405)</f>
        <v>0</v>
      </c>
      <c r="J405" s="5">
        <f>AVERAGEIFS('Data Combined - all-runs'!$J:$J, 'Data Combined - all-runs'!$A:$A, A405,'Data Combined - all-runs'!$B:$B, B405,'Data Combined - all-runs'!$C:$C, C405, 'Data Combined - all-runs'!$D:$D, D405, 'Data Combined - all-runs'!$E:$E, E405)</f>
        <v>0</v>
      </c>
      <c r="K405" s="5">
        <f>AVERAGEIFS('Data Combined - all-runs'!$K:$K, 'Data Combined - all-runs'!$A:$A, A405,'Data Combined - all-runs'!$B:$B, B405,'Data Combined - all-runs'!$C:$C, C405, 'Data Combined - all-runs'!$D:$D, D405, 'Data Combined - all-runs'!$E:$E, E405)</f>
        <v>0.05225</v>
      </c>
      <c r="L405" s="5">
        <f>AVERAGEIFS('Data Combined - all-runs'!$L:$L, 'Data Combined - all-runs'!$A:$A, A405,'Data Combined - all-runs'!$B:$B, B405,'Data Combined - all-runs'!$C:$C, C405, 'Data Combined - all-runs'!$D:$D, D405, 'Data Combined - all-runs'!$E:$E, E405)</f>
        <v>1753.366306</v>
      </c>
      <c r="M405" s="5" t="str">
        <f>AVERAGEIFS('Data Combined - all-runs'!$M:$M, 'Data Combined - all-runs'!$A:$A, A405,'Data Combined - all-runs'!$B:$B, B405,'Data Combined - all-runs'!$C:$C, C405, 'Data Combined - all-runs'!$D:$D, D405, 'Data Combined - all-runs'!$E:$E, E405)</f>
        <v>#DIV/0!</v>
      </c>
      <c r="N405" s="5">
        <f>AVERAGEIFS('Data Combined - all-runs'!$N:$N, 'Data Combined - all-runs'!$A:$A, A405,'Data Combined - all-runs'!$B:$B, B405,'Data Combined - all-runs'!$C:$C, C405, 'Data Combined - all-runs'!$D:$D, D405, 'Data Combined - all-runs'!$E:$E, E405)</f>
        <v>0</v>
      </c>
      <c r="O405" s="5">
        <f>AVERAGEIFS('Data Combined - all-runs'!$O:$O, 'Data Combined - all-runs'!$A:$A, A405,'Data Combined - all-runs'!$B:$B, B405,'Data Combined - all-runs'!$C:$C, C405, 'Data Combined - all-runs'!$D:$D, D405, 'Data Combined - all-runs'!$E:$E, E405)</f>
        <v>500</v>
      </c>
      <c r="P405" s="5">
        <f>AVERAGEIFS('Data Combined - all-runs'!$P:$P, 'Data Combined - all-runs'!$A:$A, A405,'Data Combined - all-runs'!$B:$B, B405,'Data Combined - all-runs'!$C:$C, C405, 'Data Combined - all-runs'!$D:$D, D405, 'Data Combined - all-runs'!$E:$E, E405)</f>
        <v>0</v>
      </c>
      <c r="Q405" s="5">
        <f>AVERAGEIFS('Data Combined - all-runs'!$Q:$Q, 'Data Combined - all-runs'!$A:$A, A405,'Data Combined - all-runs'!$B:$B, B405,'Data Combined - all-runs'!$C:$C, C405, 'Data Combined - all-runs'!$D:$D, D405, 'Data Combined - all-runs'!$E:$E, E405)</f>
        <v>2169</v>
      </c>
      <c r="R405" s="5" t="str">
        <f>AVERAGEIFS('Data Combined - all-runs'!$R:$R, 'Data Combined - all-runs'!$A:$A, A405,'Data Combined - all-runs'!$B:$B, B405,'Data Combined - all-runs'!$C:$C, C405, 'Data Combined - all-runs'!$D:$D, D405, 'Data Combined - all-runs'!$E:$E, E405)</f>
        <v>#DIV/0!</v>
      </c>
      <c r="S405" s="5">
        <f>AVERAGEIFS('Data Combined - all-runs'!$S:$S, 'Data Combined - all-runs'!$A:$A, A405,'Data Combined - all-runs'!$B:$B, B405,'Data Combined - all-runs'!$C:$C, C405, 'Data Combined - all-runs'!$D:$D, D405, 'Data Combined - all-runs'!$E:$E, E405)</f>
        <v>0</v>
      </c>
      <c r="T405" s="5">
        <f>AVERAGEIFS('Data Combined - all-runs'!$T:$T, 'Data Combined - all-runs'!$A:$A, A405,'Data Combined - all-runs'!$B:$B, B405,'Data Combined - all-runs'!$C:$C, C405, 'Data Combined - all-runs'!$D:$D, D405, 'Data Combined - all-runs'!$E:$E, E405)</f>
        <v>0</v>
      </c>
      <c r="U405" s="5" t="b">
        <f t="shared" si="1"/>
        <v>1</v>
      </c>
      <c r="V405" s="5" t="b">
        <f t="shared" si="2"/>
        <v>1</v>
      </c>
      <c r="W405" s="5" t="b">
        <f t="shared" si="3"/>
        <v>0</v>
      </c>
    </row>
    <row r="406">
      <c r="A406" s="2" t="s">
        <v>33</v>
      </c>
      <c r="B406" s="2" t="s">
        <v>114</v>
      </c>
      <c r="C406" s="2" t="s">
        <v>35</v>
      </c>
      <c r="D406" s="2" t="s">
        <v>54</v>
      </c>
      <c r="E406" s="2" t="s">
        <v>43</v>
      </c>
      <c r="H406" s="5">
        <f>AVERAGEIFS('Data Combined - all-runs'!$H:$H, 'Data Combined - all-runs'!$A:$A, A406,'Data Combined - all-runs'!$B:$B, B406,'Data Combined - all-runs'!$C:$C, C406, 'Data Combined - all-runs'!$D:$D, D406, 'Data Combined - all-runs'!$E:$E, E406)</f>
        <v>1470</v>
      </c>
      <c r="I406" s="5">
        <f>AVERAGEIFS('Data Combined - all-runs'!$I:$I, 'Data Combined - all-runs'!$A:$A, A406,'Data Combined - all-runs'!$B:$B, B406,'Data Combined - all-runs'!$C:$C, C406, 'Data Combined - all-runs'!$D:$D, D406, 'Data Combined - all-runs'!$E:$E, E406)</f>
        <v>0</v>
      </c>
      <c r="J406" s="5">
        <f>AVERAGEIFS('Data Combined - all-runs'!$J:$J, 'Data Combined - all-runs'!$A:$A, A406,'Data Combined - all-runs'!$B:$B, B406,'Data Combined - all-runs'!$C:$C, C406, 'Data Combined - all-runs'!$D:$D, D406, 'Data Combined - all-runs'!$E:$E, E406)</f>
        <v>0</v>
      </c>
      <c r="K406" s="5">
        <f>AVERAGEIFS('Data Combined - all-runs'!$K:$K, 'Data Combined - all-runs'!$A:$A, A406,'Data Combined - all-runs'!$B:$B, B406,'Data Combined - all-runs'!$C:$C, C406, 'Data Combined - all-runs'!$D:$D, D406, 'Data Combined - all-runs'!$E:$E, E406)</f>
        <v>0.06133333333</v>
      </c>
      <c r="L406" s="5">
        <f>AVERAGEIFS('Data Combined - all-runs'!$L:$L, 'Data Combined - all-runs'!$A:$A, A406,'Data Combined - all-runs'!$B:$B, B406,'Data Combined - all-runs'!$C:$C, C406, 'Data Combined - all-runs'!$D:$D, D406, 'Data Combined - all-runs'!$E:$E, E406)</f>
        <v>2367.587873</v>
      </c>
      <c r="M406" s="5" t="str">
        <f>AVERAGEIFS('Data Combined - all-runs'!$M:$M, 'Data Combined - all-runs'!$A:$A, A406,'Data Combined - all-runs'!$B:$B, B406,'Data Combined - all-runs'!$C:$C, C406, 'Data Combined - all-runs'!$D:$D, D406, 'Data Combined - all-runs'!$E:$E, E406)</f>
        <v>#DIV/0!</v>
      </c>
      <c r="N406" s="5">
        <f>AVERAGEIFS('Data Combined - all-runs'!$N:$N, 'Data Combined - all-runs'!$A:$A, A406,'Data Combined - all-runs'!$B:$B, B406,'Data Combined - all-runs'!$C:$C, C406, 'Data Combined - all-runs'!$D:$D, D406, 'Data Combined - all-runs'!$E:$E, E406)</f>
        <v>0</v>
      </c>
      <c r="O406" s="5">
        <f>AVERAGEIFS('Data Combined - all-runs'!$O:$O, 'Data Combined - all-runs'!$A:$A, A406,'Data Combined - all-runs'!$B:$B, B406,'Data Combined - all-runs'!$C:$C, C406, 'Data Combined - all-runs'!$D:$D, D406, 'Data Combined - all-runs'!$E:$E, E406)</f>
        <v>500</v>
      </c>
      <c r="P406" s="5">
        <f>AVERAGEIFS('Data Combined - all-runs'!$P:$P, 'Data Combined - all-runs'!$A:$A, A406,'Data Combined - all-runs'!$B:$B, B406,'Data Combined - all-runs'!$C:$C, C406, 'Data Combined - all-runs'!$D:$D, D406, 'Data Combined - all-runs'!$E:$E, E406)</f>
        <v>0</v>
      </c>
      <c r="Q406" s="5">
        <f>AVERAGEIFS('Data Combined - all-runs'!$Q:$Q, 'Data Combined - all-runs'!$A:$A, A406,'Data Combined - all-runs'!$B:$B, B406,'Data Combined - all-runs'!$C:$C, C406, 'Data Combined - all-runs'!$D:$D, D406, 'Data Combined - all-runs'!$E:$E, E406)</f>
        <v>2940</v>
      </c>
      <c r="R406" s="5" t="str">
        <f>AVERAGEIFS('Data Combined - all-runs'!$R:$R, 'Data Combined - all-runs'!$A:$A, A406,'Data Combined - all-runs'!$B:$B, B406,'Data Combined - all-runs'!$C:$C, C406, 'Data Combined - all-runs'!$D:$D, D406, 'Data Combined - all-runs'!$E:$E, E406)</f>
        <v>#DIV/0!</v>
      </c>
      <c r="S406" s="5">
        <f>AVERAGEIFS('Data Combined - all-runs'!$S:$S, 'Data Combined - all-runs'!$A:$A, A406,'Data Combined - all-runs'!$B:$B, B406,'Data Combined - all-runs'!$C:$C, C406, 'Data Combined - all-runs'!$D:$D, D406, 'Data Combined - all-runs'!$E:$E, E406)</f>
        <v>0</v>
      </c>
      <c r="T406" s="5">
        <f>AVERAGEIFS('Data Combined - all-runs'!$T:$T, 'Data Combined - all-runs'!$A:$A, A406,'Data Combined - all-runs'!$B:$B, B406,'Data Combined - all-runs'!$C:$C, C406, 'Data Combined - all-runs'!$D:$D, D406, 'Data Combined - all-runs'!$E:$E, E406)</f>
        <v>0</v>
      </c>
      <c r="U406" s="5" t="b">
        <f t="shared" si="1"/>
        <v>1</v>
      </c>
      <c r="V406" s="5" t="b">
        <f t="shared" si="2"/>
        <v>1</v>
      </c>
      <c r="W406" s="5" t="b">
        <f t="shared" si="3"/>
        <v>0</v>
      </c>
    </row>
    <row r="407">
      <c r="A407" s="2" t="s">
        <v>33</v>
      </c>
      <c r="B407" s="2" t="s">
        <v>114</v>
      </c>
      <c r="C407" s="2" t="s">
        <v>35</v>
      </c>
      <c r="D407" s="2" t="s">
        <v>54</v>
      </c>
      <c r="E407" s="2" t="s">
        <v>34</v>
      </c>
      <c r="H407" s="5">
        <f>AVERAGEIFS('Data Combined - all-runs'!$H:$H, 'Data Combined - all-runs'!$A:$A, A407,'Data Combined - all-runs'!$B:$B, B407,'Data Combined - all-runs'!$C:$C, C407, 'Data Combined - all-runs'!$D:$D, D407, 'Data Combined - all-runs'!$E:$E, E407)</f>
        <v>1791.5</v>
      </c>
      <c r="I407" s="5">
        <f>AVERAGEIFS('Data Combined - all-runs'!$I:$I, 'Data Combined - all-runs'!$A:$A, A407,'Data Combined - all-runs'!$B:$B, B407,'Data Combined - all-runs'!$C:$C, C407, 'Data Combined - all-runs'!$D:$D, D407, 'Data Combined - all-runs'!$E:$E, E407)</f>
        <v>0</v>
      </c>
      <c r="J407" s="5">
        <f>AVERAGEIFS('Data Combined - all-runs'!$J:$J, 'Data Combined - all-runs'!$A:$A, A407,'Data Combined - all-runs'!$B:$B, B407,'Data Combined - all-runs'!$C:$C, C407, 'Data Combined - all-runs'!$D:$D, D407, 'Data Combined - all-runs'!$E:$E, E407)</f>
        <v>0</v>
      </c>
      <c r="K407" s="5">
        <f>AVERAGEIFS('Data Combined - all-runs'!$K:$K, 'Data Combined - all-runs'!$A:$A, A407,'Data Combined - all-runs'!$B:$B, B407,'Data Combined - all-runs'!$C:$C, C407, 'Data Combined - all-runs'!$D:$D, D407, 'Data Combined - all-runs'!$E:$E, E407)</f>
        <v>0.0685</v>
      </c>
      <c r="L407" s="5">
        <f>AVERAGEIFS('Data Combined - all-runs'!$L:$L, 'Data Combined - all-runs'!$A:$A, A407,'Data Combined - all-runs'!$B:$B, B407,'Data Combined - all-runs'!$C:$C, C407, 'Data Combined - all-runs'!$D:$D, D407, 'Data Combined - all-runs'!$E:$E, E407)</f>
        <v>3046.949385</v>
      </c>
      <c r="M407" s="5" t="str">
        <f>AVERAGEIFS('Data Combined - all-runs'!$M:$M, 'Data Combined - all-runs'!$A:$A, A407,'Data Combined - all-runs'!$B:$B, B407,'Data Combined - all-runs'!$C:$C, C407, 'Data Combined - all-runs'!$D:$D, D407, 'Data Combined - all-runs'!$E:$E, E407)</f>
        <v>#DIV/0!</v>
      </c>
      <c r="N407" s="5">
        <f>AVERAGEIFS('Data Combined - all-runs'!$N:$N, 'Data Combined - all-runs'!$A:$A, A407,'Data Combined - all-runs'!$B:$B, B407,'Data Combined - all-runs'!$C:$C, C407, 'Data Combined - all-runs'!$D:$D, D407, 'Data Combined - all-runs'!$E:$E, E407)</f>
        <v>0</v>
      </c>
      <c r="O407" s="5">
        <f>AVERAGEIFS('Data Combined - all-runs'!$O:$O, 'Data Combined - all-runs'!$A:$A, A407,'Data Combined - all-runs'!$B:$B, B407,'Data Combined - all-runs'!$C:$C, C407, 'Data Combined - all-runs'!$D:$D, D407, 'Data Combined - all-runs'!$E:$E, E407)</f>
        <v>500</v>
      </c>
      <c r="P407" s="5">
        <f>AVERAGEIFS('Data Combined - all-runs'!$P:$P, 'Data Combined - all-runs'!$A:$A, A407,'Data Combined - all-runs'!$B:$B, B407,'Data Combined - all-runs'!$C:$C, C407, 'Data Combined - all-runs'!$D:$D, D407, 'Data Combined - all-runs'!$E:$E, E407)</f>
        <v>0</v>
      </c>
      <c r="Q407" s="5">
        <f>AVERAGEIFS('Data Combined - all-runs'!$Q:$Q, 'Data Combined - all-runs'!$A:$A, A407,'Data Combined - all-runs'!$B:$B, B407,'Data Combined - all-runs'!$C:$C, C407, 'Data Combined - all-runs'!$D:$D, D407, 'Data Combined - all-runs'!$E:$E, E407)</f>
        <v>3583</v>
      </c>
      <c r="R407" s="5" t="str">
        <f>AVERAGEIFS('Data Combined - all-runs'!$R:$R, 'Data Combined - all-runs'!$A:$A, A407,'Data Combined - all-runs'!$B:$B, B407,'Data Combined - all-runs'!$C:$C, C407, 'Data Combined - all-runs'!$D:$D, D407, 'Data Combined - all-runs'!$E:$E, E407)</f>
        <v>#DIV/0!</v>
      </c>
      <c r="S407" s="5">
        <f>AVERAGEIFS('Data Combined - all-runs'!$S:$S, 'Data Combined - all-runs'!$A:$A, A407,'Data Combined - all-runs'!$B:$B, B407,'Data Combined - all-runs'!$C:$C, C407, 'Data Combined - all-runs'!$D:$D, D407, 'Data Combined - all-runs'!$E:$E, E407)</f>
        <v>0</v>
      </c>
      <c r="T407" s="5">
        <f>AVERAGEIFS('Data Combined - all-runs'!$T:$T, 'Data Combined - all-runs'!$A:$A, A407,'Data Combined - all-runs'!$B:$B, B407,'Data Combined - all-runs'!$C:$C, C407, 'Data Combined - all-runs'!$D:$D, D407, 'Data Combined - all-runs'!$E:$E, E407)</f>
        <v>0</v>
      </c>
      <c r="U407" s="5" t="b">
        <f t="shared" si="1"/>
        <v>1</v>
      </c>
      <c r="V407" s="5" t="b">
        <f t="shared" si="2"/>
        <v>1</v>
      </c>
      <c r="W407" s="5" t="b">
        <f t="shared" si="3"/>
        <v>0</v>
      </c>
    </row>
    <row r="408">
      <c r="A408" s="2" t="s">
        <v>33</v>
      </c>
      <c r="B408" s="2" t="s">
        <v>114</v>
      </c>
      <c r="C408" s="2" t="s">
        <v>35</v>
      </c>
      <c r="D408" s="2" t="s">
        <v>54</v>
      </c>
      <c r="E408" s="2" t="s">
        <v>47</v>
      </c>
      <c r="H408" s="5">
        <f>AVERAGEIFS('Data Combined - all-runs'!$H:$H, 'Data Combined - all-runs'!$A:$A, A408,'Data Combined - all-runs'!$B:$B, B408,'Data Combined - all-runs'!$C:$C, C408, 'Data Combined - all-runs'!$D:$D, D408, 'Data Combined - all-runs'!$E:$E, E408)</f>
        <v>1868.5</v>
      </c>
      <c r="I408" s="5">
        <f>AVERAGEIFS('Data Combined - all-runs'!$I:$I, 'Data Combined - all-runs'!$A:$A, A408,'Data Combined - all-runs'!$B:$B, B408,'Data Combined - all-runs'!$C:$C, C408, 'Data Combined - all-runs'!$D:$D, D408, 'Data Combined - all-runs'!$E:$E, E408)</f>
        <v>0</v>
      </c>
      <c r="J408" s="5">
        <f>AVERAGEIFS('Data Combined - all-runs'!$J:$J, 'Data Combined - all-runs'!$A:$A, A408,'Data Combined - all-runs'!$B:$B, B408,'Data Combined - all-runs'!$C:$C, C408, 'Data Combined - all-runs'!$D:$D, D408, 'Data Combined - all-runs'!$E:$E, E408)</f>
        <v>0</v>
      </c>
      <c r="K408" s="5">
        <f>AVERAGEIFS('Data Combined - all-runs'!$K:$K, 'Data Combined - all-runs'!$A:$A, A408,'Data Combined - all-runs'!$B:$B, B408,'Data Combined - all-runs'!$C:$C, C408, 'Data Combined - all-runs'!$D:$D, D408, 'Data Combined - all-runs'!$E:$E, E408)</f>
        <v>0.090375</v>
      </c>
      <c r="L408" s="5">
        <f>AVERAGEIFS('Data Combined - all-runs'!$L:$L, 'Data Combined - all-runs'!$A:$A, A408,'Data Combined - all-runs'!$B:$B, B408,'Data Combined - all-runs'!$C:$C, C408, 'Data Combined - all-runs'!$D:$D, D408, 'Data Combined - all-runs'!$E:$E, E408)</f>
        <v>3103.749309</v>
      </c>
      <c r="M408" s="5" t="str">
        <f>AVERAGEIFS('Data Combined - all-runs'!$M:$M, 'Data Combined - all-runs'!$A:$A, A408,'Data Combined - all-runs'!$B:$B, B408,'Data Combined - all-runs'!$C:$C, C408, 'Data Combined - all-runs'!$D:$D, D408, 'Data Combined - all-runs'!$E:$E, E408)</f>
        <v>#DIV/0!</v>
      </c>
      <c r="N408" s="5">
        <f>AVERAGEIFS('Data Combined - all-runs'!$N:$N, 'Data Combined - all-runs'!$A:$A, A408,'Data Combined - all-runs'!$B:$B, B408,'Data Combined - all-runs'!$C:$C, C408, 'Data Combined - all-runs'!$D:$D, D408, 'Data Combined - all-runs'!$E:$E, E408)</f>
        <v>0</v>
      </c>
      <c r="O408" s="5">
        <f>AVERAGEIFS('Data Combined - all-runs'!$O:$O, 'Data Combined - all-runs'!$A:$A, A408,'Data Combined - all-runs'!$B:$B, B408,'Data Combined - all-runs'!$C:$C, C408, 'Data Combined - all-runs'!$D:$D, D408, 'Data Combined - all-runs'!$E:$E, E408)</f>
        <v>500</v>
      </c>
      <c r="P408" s="5">
        <f>AVERAGEIFS('Data Combined - all-runs'!$P:$P, 'Data Combined - all-runs'!$A:$A, A408,'Data Combined - all-runs'!$B:$B, B408,'Data Combined - all-runs'!$C:$C, C408, 'Data Combined - all-runs'!$D:$D, D408, 'Data Combined - all-runs'!$E:$E, E408)</f>
        <v>0</v>
      </c>
      <c r="Q408" s="5">
        <f>AVERAGEIFS('Data Combined - all-runs'!$Q:$Q, 'Data Combined - all-runs'!$A:$A, A408,'Data Combined - all-runs'!$B:$B, B408,'Data Combined - all-runs'!$C:$C, C408, 'Data Combined - all-runs'!$D:$D, D408, 'Data Combined - all-runs'!$E:$E, E408)</f>
        <v>3737</v>
      </c>
      <c r="R408" s="5" t="str">
        <f>AVERAGEIFS('Data Combined - all-runs'!$R:$R, 'Data Combined - all-runs'!$A:$A, A408,'Data Combined - all-runs'!$B:$B, B408,'Data Combined - all-runs'!$C:$C, C408, 'Data Combined - all-runs'!$D:$D, D408, 'Data Combined - all-runs'!$E:$E, E408)</f>
        <v>#DIV/0!</v>
      </c>
      <c r="S408" s="5">
        <f>AVERAGEIFS('Data Combined - all-runs'!$S:$S, 'Data Combined - all-runs'!$A:$A, A408,'Data Combined - all-runs'!$B:$B, B408,'Data Combined - all-runs'!$C:$C, C408, 'Data Combined - all-runs'!$D:$D, D408, 'Data Combined - all-runs'!$E:$E, E408)</f>
        <v>0</v>
      </c>
      <c r="T408" s="5">
        <f>AVERAGEIFS('Data Combined - all-runs'!$T:$T, 'Data Combined - all-runs'!$A:$A, A408,'Data Combined - all-runs'!$B:$B, B408,'Data Combined - all-runs'!$C:$C, C408, 'Data Combined - all-runs'!$D:$D, D408, 'Data Combined - all-runs'!$E:$E, E408)</f>
        <v>0</v>
      </c>
      <c r="U408" s="5" t="b">
        <f t="shared" si="1"/>
        <v>1</v>
      </c>
      <c r="V408" s="5" t="b">
        <f t="shared" si="2"/>
        <v>1</v>
      </c>
      <c r="W408" s="5" t="b">
        <f t="shared" si="3"/>
        <v>0</v>
      </c>
    </row>
    <row r="409">
      <c r="A409" s="2" t="s">
        <v>33</v>
      </c>
      <c r="B409" s="2" t="s">
        <v>114</v>
      </c>
      <c r="C409" s="2" t="s">
        <v>35</v>
      </c>
      <c r="D409" s="2" t="s">
        <v>54</v>
      </c>
      <c r="E409" s="2" t="s">
        <v>51</v>
      </c>
      <c r="H409" s="5">
        <f>AVERAGEIFS('Data Combined - all-runs'!$H:$H, 'Data Combined - all-runs'!$A:$A, A409,'Data Combined - all-runs'!$B:$B, B409,'Data Combined - all-runs'!$C:$C, C409, 'Data Combined - all-runs'!$D:$D, D409, 'Data Combined - all-runs'!$E:$E, E409)</f>
        <v>1451.5</v>
      </c>
      <c r="I409" s="5">
        <f>AVERAGEIFS('Data Combined - all-runs'!$I:$I, 'Data Combined - all-runs'!$A:$A, A409,'Data Combined - all-runs'!$B:$B, B409,'Data Combined - all-runs'!$C:$C, C409, 'Data Combined - all-runs'!$D:$D, D409, 'Data Combined - all-runs'!$E:$E, E409)</f>
        <v>0</v>
      </c>
      <c r="J409" s="5">
        <f>AVERAGEIFS('Data Combined - all-runs'!$J:$J, 'Data Combined - all-runs'!$A:$A, A409,'Data Combined - all-runs'!$B:$B, B409,'Data Combined - all-runs'!$C:$C, C409, 'Data Combined - all-runs'!$D:$D, D409, 'Data Combined - all-runs'!$E:$E, E409)</f>
        <v>0</v>
      </c>
      <c r="K409" s="5">
        <f>AVERAGEIFS('Data Combined - all-runs'!$K:$K, 'Data Combined - all-runs'!$A:$A, A409,'Data Combined - all-runs'!$B:$B, B409,'Data Combined - all-runs'!$C:$C, C409, 'Data Combined - all-runs'!$D:$D, D409, 'Data Combined - all-runs'!$E:$E, E409)</f>
        <v>0.179</v>
      </c>
      <c r="L409" s="5">
        <f>AVERAGEIFS('Data Combined - all-runs'!$L:$L, 'Data Combined - all-runs'!$A:$A, A409,'Data Combined - all-runs'!$B:$B, B409,'Data Combined - all-runs'!$C:$C, C409, 'Data Combined - all-runs'!$D:$D, D409, 'Data Combined - all-runs'!$E:$E, E409)</f>
        <v>2418.989796</v>
      </c>
      <c r="M409" s="5" t="str">
        <f>AVERAGEIFS('Data Combined - all-runs'!$M:$M, 'Data Combined - all-runs'!$A:$A, A409,'Data Combined - all-runs'!$B:$B, B409,'Data Combined - all-runs'!$C:$C, C409, 'Data Combined - all-runs'!$D:$D, D409, 'Data Combined - all-runs'!$E:$E, E409)</f>
        <v>#DIV/0!</v>
      </c>
      <c r="N409" s="5">
        <f>AVERAGEIFS('Data Combined - all-runs'!$N:$N, 'Data Combined - all-runs'!$A:$A, A409,'Data Combined - all-runs'!$B:$B, B409,'Data Combined - all-runs'!$C:$C, C409, 'Data Combined - all-runs'!$D:$D, D409, 'Data Combined - all-runs'!$E:$E, E409)</f>
        <v>0</v>
      </c>
      <c r="O409" s="5">
        <f>AVERAGEIFS('Data Combined - all-runs'!$O:$O, 'Data Combined - all-runs'!$A:$A, A409,'Data Combined - all-runs'!$B:$B, B409,'Data Combined - all-runs'!$C:$C, C409, 'Data Combined - all-runs'!$D:$D, D409, 'Data Combined - all-runs'!$E:$E, E409)</f>
        <v>500</v>
      </c>
      <c r="P409" s="5">
        <f>AVERAGEIFS('Data Combined - all-runs'!$P:$P, 'Data Combined - all-runs'!$A:$A, A409,'Data Combined - all-runs'!$B:$B, B409,'Data Combined - all-runs'!$C:$C, C409, 'Data Combined - all-runs'!$D:$D, D409, 'Data Combined - all-runs'!$E:$E, E409)</f>
        <v>0</v>
      </c>
      <c r="Q409" s="5">
        <f>AVERAGEIFS('Data Combined - all-runs'!$Q:$Q, 'Data Combined - all-runs'!$A:$A, A409,'Data Combined - all-runs'!$B:$B, B409,'Data Combined - all-runs'!$C:$C, C409, 'Data Combined - all-runs'!$D:$D, D409, 'Data Combined - all-runs'!$E:$E, E409)</f>
        <v>2903</v>
      </c>
      <c r="R409" s="5" t="str">
        <f>AVERAGEIFS('Data Combined - all-runs'!$R:$R, 'Data Combined - all-runs'!$A:$A, A409,'Data Combined - all-runs'!$B:$B, B409,'Data Combined - all-runs'!$C:$C, C409, 'Data Combined - all-runs'!$D:$D, D409, 'Data Combined - all-runs'!$E:$E, E409)</f>
        <v>#DIV/0!</v>
      </c>
      <c r="S409" s="5">
        <f>AVERAGEIFS('Data Combined - all-runs'!$S:$S, 'Data Combined - all-runs'!$A:$A, A409,'Data Combined - all-runs'!$B:$B, B409,'Data Combined - all-runs'!$C:$C, C409, 'Data Combined - all-runs'!$D:$D, D409, 'Data Combined - all-runs'!$E:$E, E409)</f>
        <v>0</v>
      </c>
      <c r="T409" s="5">
        <f>AVERAGEIFS('Data Combined - all-runs'!$T:$T, 'Data Combined - all-runs'!$A:$A, A409,'Data Combined - all-runs'!$B:$B, B409,'Data Combined - all-runs'!$C:$C, C409, 'Data Combined - all-runs'!$D:$D, D409, 'Data Combined - all-runs'!$E:$E, E409)</f>
        <v>0</v>
      </c>
      <c r="U409" s="5" t="b">
        <f t="shared" si="1"/>
        <v>1</v>
      </c>
      <c r="V409" s="5" t="b">
        <f t="shared" si="2"/>
        <v>1</v>
      </c>
      <c r="W409" s="5" t="b">
        <f t="shared" si="3"/>
        <v>0</v>
      </c>
    </row>
    <row r="410">
      <c r="A410" s="2" t="s">
        <v>33</v>
      </c>
      <c r="B410" s="2" t="s">
        <v>114</v>
      </c>
      <c r="C410" s="2" t="s">
        <v>35</v>
      </c>
      <c r="D410" s="2" t="s">
        <v>72</v>
      </c>
      <c r="E410" s="2" t="s">
        <v>25</v>
      </c>
      <c r="H410" s="5">
        <f>AVERAGEIFS('Data Combined - all-runs'!$H:$H, 'Data Combined - all-runs'!$A:$A, A410,'Data Combined - all-runs'!$B:$B, B410,'Data Combined - all-runs'!$C:$C, C410, 'Data Combined - all-runs'!$D:$D, D410, 'Data Combined - all-runs'!$E:$E, E410)</f>
        <v>904</v>
      </c>
      <c r="I410" s="5">
        <f>AVERAGEIFS('Data Combined - all-runs'!$I:$I, 'Data Combined - all-runs'!$A:$A, A410,'Data Combined - all-runs'!$B:$B, B410,'Data Combined - all-runs'!$C:$C, C410, 'Data Combined - all-runs'!$D:$D, D410, 'Data Combined - all-runs'!$E:$E, E410)</f>
        <v>0</v>
      </c>
      <c r="J410" s="5">
        <f>AVERAGEIFS('Data Combined - all-runs'!$J:$J, 'Data Combined - all-runs'!$A:$A, A410,'Data Combined - all-runs'!$B:$B, B410,'Data Combined - all-runs'!$C:$C, C410, 'Data Combined - all-runs'!$D:$D, D410, 'Data Combined - all-runs'!$E:$E, E410)</f>
        <v>0</v>
      </c>
      <c r="K410" s="5">
        <f>AVERAGEIFS('Data Combined - all-runs'!$K:$K, 'Data Combined - all-runs'!$A:$A, A410,'Data Combined - all-runs'!$B:$B, B410,'Data Combined - all-runs'!$C:$C, C410, 'Data Combined - all-runs'!$D:$D, D410, 'Data Combined - all-runs'!$E:$E, E410)</f>
        <v>0.046</v>
      </c>
      <c r="L410" s="5">
        <f>AVERAGEIFS('Data Combined - all-runs'!$L:$L, 'Data Combined - all-runs'!$A:$A, A410,'Data Combined - all-runs'!$B:$B, B410,'Data Combined - all-runs'!$C:$C, C410, 'Data Combined - all-runs'!$D:$D, D410, 'Data Combined - all-runs'!$E:$E, E410)</f>
        <v>1902.697979</v>
      </c>
      <c r="M410" s="5" t="str">
        <f>AVERAGEIFS('Data Combined - all-runs'!$M:$M, 'Data Combined - all-runs'!$A:$A, A410,'Data Combined - all-runs'!$B:$B, B410,'Data Combined - all-runs'!$C:$C, C410, 'Data Combined - all-runs'!$D:$D, D410, 'Data Combined - all-runs'!$E:$E, E410)</f>
        <v>#DIV/0!</v>
      </c>
      <c r="N410" s="5">
        <f>AVERAGEIFS('Data Combined - all-runs'!$N:$N, 'Data Combined - all-runs'!$A:$A, A410,'Data Combined - all-runs'!$B:$B, B410,'Data Combined - all-runs'!$C:$C, C410, 'Data Combined - all-runs'!$D:$D, D410, 'Data Combined - all-runs'!$E:$E, E410)</f>
        <v>0</v>
      </c>
      <c r="O410" s="5">
        <f>AVERAGEIFS('Data Combined - all-runs'!$O:$O, 'Data Combined - all-runs'!$A:$A, A410,'Data Combined - all-runs'!$B:$B, B410,'Data Combined - all-runs'!$C:$C, C410, 'Data Combined - all-runs'!$D:$D, D410, 'Data Combined - all-runs'!$E:$E, E410)</f>
        <v>500</v>
      </c>
      <c r="P410" s="5">
        <f>AVERAGEIFS('Data Combined - all-runs'!$P:$P, 'Data Combined - all-runs'!$A:$A, A410,'Data Combined - all-runs'!$B:$B, B410,'Data Combined - all-runs'!$C:$C, C410, 'Data Combined - all-runs'!$D:$D, D410, 'Data Combined - all-runs'!$E:$E, E410)</f>
        <v>0</v>
      </c>
      <c r="Q410" s="5">
        <f>AVERAGEIFS('Data Combined - all-runs'!$Q:$Q, 'Data Combined - all-runs'!$A:$A, A410,'Data Combined - all-runs'!$B:$B, B410,'Data Combined - all-runs'!$C:$C, C410, 'Data Combined - all-runs'!$D:$D, D410, 'Data Combined - all-runs'!$E:$E, E410)</f>
        <v>1808</v>
      </c>
      <c r="R410" s="5" t="str">
        <f>AVERAGEIFS('Data Combined - all-runs'!$R:$R, 'Data Combined - all-runs'!$A:$A, A410,'Data Combined - all-runs'!$B:$B, B410,'Data Combined - all-runs'!$C:$C, C410, 'Data Combined - all-runs'!$D:$D, D410, 'Data Combined - all-runs'!$E:$E, E410)</f>
        <v>#DIV/0!</v>
      </c>
      <c r="S410" s="5">
        <f>AVERAGEIFS('Data Combined - all-runs'!$S:$S, 'Data Combined - all-runs'!$A:$A, A410,'Data Combined - all-runs'!$B:$B, B410,'Data Combined - all-runs'!$C:$C, C410, 'Data Combined - all-runs'!$D:$D, D410, 'Data Combined - all-runs'!$E:$E, E410)</f>
        <v>0</v>
      </c>
      <c r="T410" s="5">
        <f>AVERAGEIFS('Data Combined - all-runs'!$T:$T, 'Data Combined - all-runs'!$A:$A, A410,'Data Combined - all-runs'!$B:$B, B410,'Data Combined - all-runs'!$C:$C, C410, 'Data Combined - all-runs'!$D:$D, D410, 'Data Combined - all-runs'!$E:$E, E410)</f>
        <v>0</v>
      </c>
      <c r="U410" s="5" t="b">
        <f t="shared" si="1"/>
        <v>1</v>
      </c>
      <c r="V410" s="5" t="b">
        <f t="shared" si="2"/>
        <v>1</v>
      </c>
      <c r="W410" s="5" t="b">
        <f t="shared" si="3"/>
        <v>0</v>
      </c>
    </row>
    <row r="411">
      <c r="A411" s="2" t="s">
        <v>33</v>
      </c>
      <c r="B411" s="2" t="s">
        <v>114</v>
      </c>
      <c r="C411" s="2" t="s">
        <v>35</v>
      </c>
      <c r="D411" s="2" t="s">
        <v>72</v>
      </c>
      <c r="E411" s="2" t="s">
        <v>39</v>
      </c>
      <c r="H411" s="5">
        <f>AVERAGEIFS('Data Combined - all-runs'!$H:$H, 'Data Combined - all-runs'!$A:$A, A411,'Data Combined - all-runs'!$B:$B, B411,'Data Combined - all-runs'!$C:$C, C411, 'Data Combined - all-runs'!$D:$D, D411, 'Data Combined - all-runs'!$E:$E, E411)</f>
        <v>1403</v>
      </c>
      <c r="I411" s="5">
        <f>AVERAGEIFS('Data Combined - all-runs'!$I:$I, 'Data Combined - all-runs'!$A:$A, A411,'Data Combined - all-runs'!$B:$B, B411,'Data Combined - all-runs'!$C:$C, C411, 'Data Combined - all-runs'!$D:$D, D411, 'Data Combined - all-runs'!$E:$E, E411)</f>
        <v>1</v>
      </c>
      <c r="J411" s="5">
        <f>AVERAGEIFS('Data Combined - all-runs'!$J:$J, 'Data Combined - all-runs'!$A:$A, A411,'Data Combined - all-runs'!$B:$B, B411,'Data Combined - all-runs'!$C:$C, C411, 'Data Combined - all-runs'!$D:$D, D411, 'Data Combined - all-runs'!$E:$E, E411)</f>
        <v>9</v>
      </c>
      <c r="K411" s="5">
        <f>AVERAGEIFS('Data Combined - all-runs'!$K:$K, 'Data Combined - all-runs'!$A:$A, A411,'Data Combined - all-runs'!$B:$B, B411,'Data Combined - all-runs'!$C:$C, C411, 'Data Combined - all-runs'!$D:$D, D411, 'Data Combined - all-runs'!$E:$E, E411)</f>
        <v>0.1174176776</v>
      </c>
      <c r="L411" s="5">
        <f>AVERAGEIFS('Data Combined - all-runs'!$L:$L, 'Data Combined - all-runs'!$A:$A, A411,'Data Combined - all-runs'!$B:$B, B411,'Data Combined - all-runs'!$C:$C, C411, 'Data Combined - all-runs'!$D:$D, D411, 'Data Combined - all-runs'!$E:$E, E411)</f>
        <v>2777.166476</v>
      </c>
      <c r="M411" s="5">
        <f>AVERAGEIFS('Data Combined - all-runs'!$M:$M, 'Data Combined - all-runs'!$A:$A, A411,'Data Combined - all-runs'!$B:$B, B411,'Data Combined - all-runs'!$C:$C, C411, 'Data Combined - all-runs'!$D:$D, D411, 'Data Combined - all-runs'!$E:$E, E411)</f>
        <v>77</v>
      </c>
      <c r="N411" s="5">
        <f>AVERAGEIFS('Data Combined - all-runs'!$N:$N, 'Data Combined - all-runs'!$A:$A, A411,'Data Combined - all-runs'!$B:$B, B411,'Data Combined - all-runs'!$C:$C, C411, 'Data Combined - all-runs'!$D:$D, D411, 'Data Combined - all-runs'!$E:$E, E411)</f>
        <v>1</v>
      </c>
      <c r="O411" s="5">
        <f>AVERAGEIFS('Data Combined - all-runs'!$O:$O, 'Data Combined - all-runs'!$A:$A, A411,'Data Combined - all-runs'!$B:$B, B411,'Data Combined - all-runs'!$C:$C, C411, 'Data Combined - all-runs'!$D:$D, D411, 'Data Combined - all-runs'!$E:$E, E411)</f>
        <v>577</v>
      </c>
      <c r="P411" s="5">
        <f>AVERAGEIFS('Data Combined - all-runs'!$P:$P, 'Data Combined - all-runs'!$A:$A, A411,'Data Combined - all-runs'!$B:$B, B411,'Data Combined - all-runs'!$C:$C, C411, 'Data Combined - all-runs'!$D:$D, D411, 'Data Combined - all-runs'!$E:$E, E411)</f>
        <v>1.733102253</v>
      </c>
      <c r="Q411" s="5">
        <f>AVERAGEIFS('Data Combined - all-runs'!$Q:$Q, 'Data Combined - all-runs'!$A:$A, A411,'Data Combined - all-runs'!$B:$B, B411,'Data Combined - all-runs'!$C:$C, C411, 'Data Combined - all-runs'!$D:$D, D411, 'Data Combined - all-runs'!$E:$E, E411)</f>
        <v>2431.542461</v>
      </c>
      <c r="R411" s="5">
        <f>AVERAGEIFS('Data Combined - all-runs'!$R:$R, 'Data Combined - all-runs'!$A:$A, A411,'Data Combined - all-runs'!$B:$B, B411,'Data Combined - all-runs'!$C:$C, C411, 'Data Combined - all-runs'!$D:$D, D411, 'Data Combined - all-runs'!$E:$E, E411)</f>
        <v>1403</v>
      </c>
      <c r="S411" s="5">
        <f>AVERAGEIFS('Data Combined - all-runs'!$S:$S, 'Data Combined - all-runs'!$A:$A, A411,'Data Combined - all-runs'!$B:$B, B411,'Data Combined - all-runs'!$C:$C, C411, 'Data Combined - all-runs'!$D:$D, D411, 'Data Combined - all-runs'!$E:$E, E411)</f>
        <v>0.006414825374</v>
      </c>
      <c r="T411" s="5">
        <f>AVERAGEIFS('Data Combined - all-runs'!$T:$T, 'Data Combined - all-runs'!$A:$A, A411,'Data Combined - all-runs'!$B:$B, B411,'Data Combined - all-runs'!$C:$C, C411, 'Data Combined - all-runs'!$D:$D, D411, 'Data Combined - all-runs'!$E:$E, E411)</f>
        <v>0.0007127583749</v>
      </c>
      <c r="U411" s="5" t="b">
        <f t="shared" si="1"/>
        <v>1</v>
      </c>
      <c r="V411" s="5" t="b">
        <f t="shared" si="2"/>
        <v>1</v>
      </c>
      <c r="W411" s="5" t="b">
        <f t="shared" si="3"/>
        <v>0</v>
      </c>
    </row>
    <row r="412">
      <c r="A412" s="2" t="s">
        <v>33</v>
      </c>
      <c r="B412" s="2" t="s">
        <v>114</v>
      </c>
      <c r="C412" s="2" t="s">
        <v>35</v>
      </c>
      <c r="D412" s="2" t="s">
        <v>72</v>
      </c>
      <c r="E412" s="2" t="s">
        <v>43</v>
      </c>
      <c r="H412" s="5">
        <f>AVERAGEIFS('Data Combined - all-runs'!$H:$H, 'Data Combined - all-runs'!$A:$A, A412,'Data Combined - all-runs'!$B:$B, B412,'Data Combined - all-runs'!$C:$C, C412, 'Data Combined - all-runs'!$D:$D, D412, 'Data Combined - all-runs'!$E:$E, E412)</f>
        <v>1578</v>
      </c>
      <c r="I412" s="5">
        <f>AVERAGEIFS('Data Combined - all-runs'!$I:$I, 'Data Combined - all-runs'!$A:$A, A412,'Data Combined - all-runs'!$B:$B, B412,'Data Combined - all-runs'!$C:$C, C412, 'Data Combined - all-runs'!$D:$D, D412, 'Data Combined - all-runs'!$E:$E, E412)</f>
        <v>0</v>
      </c>
      <c r="J412" s="5">
        <f>AVERAGEIFS('Data Combined - all-runs'!$J:$J, 'Data Combined - all-runs'!$A:$A, A412,'Data Combined - all-runs'!$B:$B, B412,'Data Combined - all-runs'!$C:$C, C412, 'Data Combined - all-runs'!$D:$D, D412, 'Data Combined - all-runs'!$E:$E, E412)</f>
        <v>55</v>
      </c>
      <c r="K412" s="5">
        <f>AVERAGEIFS('Data Combined - all-runs'!$K:$K, 'Data Combined - all-runs'!$A:$A, A412,'Data Combined - all-runs'!$B:$B, B412,'Data Combined - all-runs'!$C:$C, C412, 'Data Combined - all-runs'!$D:$D, D412, 'Data Combined - all-runs'!$E:$E, E412)</f>
        <v>0.229</v>
      </c>
      <c r="L412" s="5">
        <f>AVERAGEIFS('Data Combined - all-runs'!$L:$L, 'Data Combined - all-runs'!$A:$A, A412,'Data Combined - all-runs'!$B:$B, B412,'Data Combined - all-runs'!$C:$C, C412, 'Data Combined - all-runs'!$D:$D, D412, 'Data Combined - all-runs'!$E:$E, E412)</f>
        <v>3304.060995</v>
      </c>
      <c r="M412" s="5" t="str">
        <f>AVERAGEIFS('Data Combined - all-runs'!$M:$M, 'Data Combined - all-runs'!$A:$A, A412,'Data Combined - all-runs'!$B:$B, B412,'Data Combined - all-runs'!$C:$C, C412, 'Data Combined - all-runs'!$D:$D, D412, 'Data Combined - all-runs'!$E:$E, E412)</f>
        <v>#DIV/0!</v>
      </c>
      <c r="N412" s="5">
        <f>AVERAGEIFS('Data Combined - all-runs'!$N:$N, 'Data Combined - all-runs'!$A:$A, A412,'Data Combined - all-runs'!$B:$B, B412,'Data Combined - all-runs'!$C:$C, C412, 'Data Combined - all-runs'!$D:$D, D412, 'Data Combined - all-runs'!$E:$E, E412)</f>
        <v>0</v>
      </c>
      <c r="O412" s="5">
        <f>AVERAGEIFS('Data Combined - all-runs'!$O:$O, 'Data Combined - all-runs'!$A:$A, A412,'Data Combined - all-runs'!$B:$B, B412,'Data Combined - all-runs'!$C:$C, C412, 'Data Combined - all-runs'!$D:$D, D412, 'Data Combined - all-runs'!$E:$E, E412)</f>
        <v>500</v>
      </c>
      <c r="P412" s="5">
        <f>AVERAGEIFS('Data Combined - all-runs'!$P:$P, 'Data Combined - all-runs'!$A:$A, A412,'Data Combined - all-runs'!$B:$B, B412,'Data Combined - all-runs'!$C:$C, C412, 'Data Combined - all-runs'!$D:$D, D412, 'Data Combined - all-runs'!$E:$E, E412)</f>
        <v>0</v>
      </c>
      <c r="Q412" s="5">
        <f>AVERAGEIFS('Data Combined - all-runs'!$Q:$Q, 'Data Combined - all-runs'!$A:$A, A412,'Data Combined - all-runs'!$B:$B, B412,'Data Combined - all-runs'!$C:$C, C412, 'Data Combined - all-runs'!$D:$D, D412, 'Data Combined - all-runs'!$E:$E, E412)</f>
        <v>3156</v>
      </c>
      <c r="R412" s="5" t="str">
        <f>AVERAGEIFS('Data Combined - all-runs'!$R:$R, 'Data Combined - all-runs'!$A:$A, A412,'Data Combined - all-runs'!$B:$B, B412,'Data Combined - all-runs'!$C:$C, C412, 'Data Combined - all-runs'!$D:$D, D412, 'Data Combined - all-runs'!$E:$E, E412)</f>
        <v>#DIV/0!</v>
      </c>
      <c r="S412" s="5">
        <f>AVERAGEIFS('Data Combined - all-runs'!$S:$S, 'Data Combined - all-runs'!$A:$A, A412,'Data Combined - all-runs'!$B:$B, B412,'Data Combined - all-runs'!$C:$C, C412, 'Data Combined - all-runs'!$D:$D, D412, 'Data Combined - all-runs'!$E:$E, E412)</f>
        <v>0.03485424588</v>
      </c>
      <c r="T412" s="5">
        <f>AVERAGEIFS('Data Combined - all-runs'!$T:$T, 'Data Combined - all-runs'!$A:$A, A412,'Data Combined - all-runs'!$B:$B, B412,'Data Combined - all-runs'!$C:$C, C412, 'Data Combined - all-runs'!$D:$D, D412, 'Data Combined - all-runs'!$E:$E, E412)</f>
        <v>0</v>
      </c>
      <c r="U412" s="5" t="b">
        <f t="shared" si="1"/>
        <v>1</v>
      </c>
      <c r="V412" s="5" t="b">
        <f t="shared" si="2"/>
        <v>1</v>
      </c>
      <c r="W412" s="5" t="b">
        <f t="shared" si="3"/>
        <v>0</v>
      </c>
    </row>
    <row r="413">
      <c r="A413" s="2" t="s">
        <v>33</v>
      </c>
      <c r="B413" s="2" t="s">
        <v>114</v>
      </c>
      <c r="C413" s="2" t="s">
        <v>35</v>
      </c>
      <c r="D413" s="2" t="s">
        <v>72</v>
      </c>
      <c r="E413" s="2" t="s">
        <v>34</v>
      </c>
      <c r="H413" s="5">
        <f>AVERAGEIFS('Data Combined - all-runs'!$H:$H, 'Data Combined - all-runs'!$A:$A, A413,'Data Combined - all-runs'!$B:$B, B413,'Data Combined - all-runs'!$C:$C, C413, 'Data Combined - all-runs'!$D:$D, D413, 'Data Combined - all-runs'!$E:$E, E413)</f>
        <v>2024</v>
      </c>
      <c r="I413" s="5">
        <f>AVERAGEIFS('Data Combined - all-runs'!$I:$I, 'Data Combined - all-runs'!$A:$A, A413,'Data Combined - all-runs'!$B:$B, B413,'Data Combined - all-runs'!$C:$C, C413, 'Data Combined - all-runs'!$D:$D, D413, 'Data Combined - all-runs'!$E:$E, E413)</f>
        <v>0</v>
      </c>
      <c r="J413" s="5">
        <f>AVERAGEIFS('Data Combined - all-runs'!$J:$J, 'Data Combined - all-runs'!$A:$A, A413,'Data Combined - all-runs'!$B:$B, B413,'Data Combined - all-runs'!$C:$C, C413, 'Data Combined - all-runs'!$D:$D, D413, 'Data Combined - all-runs'!$E:$E, E413)</f>
        <v>28</v>
      </c>
      <c r="K413" s="5">
        <f>AVERAGEIFS('Data Combined - all-runs'!$K:$K, 'Data Combined - all-runs'!$A:$A, A413,'Data Combined - all-runs'!$B:$B, B413,'Data Combined - all-runs'!$C:$C, C413, 'Data Combined - all-runs'!$D:$D, D413, 'Data Combined - all-runs'!$E:$E, E413)</f>
        <v>0.315</v>
      </c>
      <c r="L413" s="5">
        <f>AVERAGEIFS('Data Combined - all-runs'!$L:$L, 'Data Combined - all-runs'!$A:$A, A413,'Data Combined - all-runs'!$B:$B, B413,'Data Combined - all-runs'!$C:$C, C413, 'Data Combined - all-runs'!$D:$D, D413, 'Data Combined - all-runs'!$E:$E, E413)</f>
        <v>3633.573953</v>
      </c>
      <c r="M413" s="5" t="str">
        <f>AVERAGEIFS('Data Combined - all-runs'!$M:$M, 'Data Combined - all-runs'!$A:$A, A413,'Data Combined - all-runs'!$B:$B, B413,'Data Combined - all-runs'!$C:$C, C413, 'Data Combined - all-runs'!$D:$D, D413, 'Data Combined - all-runs'!$E:$E, E413)</f>
        <v>#DIV/0!</v>
      </c>
      <c r="N413" s="5">
        <f>AVERAGEIFS('Data Combined - all-runs'!$N:$N, 'Data Combined - all-runs'!$A:$A, A413,'Data Combined - all-runs'!$B:$B, B413,'Data Combined - all-runs'!$C:$C, C413, 'Data Combined - all-runs'!$D:$D, D413, 'Data Combined - all-runs'!$E:$E, E413)</f>
        <v>0</v>
      </c>
      <c r="O413" s="5">
        <f>AVERAGEIFS('Data Combined - all-runs'!$O:$O, 'Data Combined - all-runs'!$A:$A, A413,'Data Combined - all-runs'!$B:$B, B413,'Data Combined - all-runs'!$C:$C, C413, 'Data Combined - all-runs'!$D:$D, D413, 'Data Combined - all-runs'!$E:$E, E413)</f>
        <v>500</v>
      </c>
      <c r="P413" s="5">
        <f>AVERAGEIFS('Data Combined - all-runs'!$P:$P, 'Data Combined - all-runs'!$A:$A, A413,'Data Combined - all-runs'!$B:$B, B413,'Data Combined - all-runs'!$C:$C, C413, 'Data Combined - all-runs'!$D:$D, D413, 'Data Combined - all-runs'!$E:$E, E413)</f>
        <v>0</v>
      </c>
      <c r="Q413" s="5">
        <f>AVERAGEIFS('Data Combined - all-runs'!$Q:$Q, 'Data Combined - all-runs'!$A:$A, A413,'Data Combined - all-runs'!$B:$B, B413,'Data Combined - all-runs'!$C:$C, C413, 'Data Combined - all-runs'!$D:$D, D413, 'Data Combined - all-runs'!$E:$E, E413)</f>
        <v>4048</v>
      </c>
      <c r="R413" s="5" t="str">
        <f>AVERAGEIFS('Data Combined - all-runs'!$R:$R, 'Data Combined - all-runs'!$A:$A, A413,'Data Combined - all-runs'!$B:$B, B413,'Data Combined - all-runs'!$C:$C, C413, 'Data Combined - all-runs'!$D:$D, D413, 'Data Combined - all-runs'!$E:$E, E413)</f>
        <v>#DIV/0!</v>
      </c>
      <c r="S413" s="5">
        <f>AVERAGEIFS('Data Combined - all-runs'!$S:$S, 'Data Combined - all-runs'!$A:$A, A413,'Data Combined - all-runs'!$B:$B, B413,'Data Combined - all-runs'!$C:$C, C413, 'Data Combined - all-runs'!$D:$D, D413, 'Data Combined - all-runs'!$E:$E, E413)</f>
        <v>0.01383399209</v>
      </c>
      <c r="T413" s="5">
        <f>AVERAGEIFS('Data Combined - all-runs'!$T:$T, 'Data Combined - all-runs'!$A:$A, A413,'Data Combined - all-runs'!$B:$B, B413,'Data Combined - all-runs'!$C:$C, C413, 'Data Combined - all-runs'!$D:$D, D413, 'Data Combined - all-runs'!$E:$E, E413)</f>
        <v>0</v>
      </c>
      <c r="U413" s="5" t="b">
        <f t="shared" si="1"/>
        <v>1</v>
      </c>
      <c r="V413" s="5" t="b">
        <f t="shared" si="2"/>
        <v>1</v>
      </c>
      <c r="W413" s="5" t="b">
        <f t="shared" si="3"/>
        <v>0</v>
      </c>
    </row>
    <row r="414">
      <c r="A414" s="2" t="s">
        <v>33</v>
      </c>
      <c r="B414" s="2" t="s">
        <v>114</v>
      </c>
      <c r="C414" s="2" t="s">
        <v>35</v>
      </c>
      <c r="D414" s="2" t="s">
        <v>72</v>
      </c>
      <c r="E414" s="2" t="s">
        <v>47</v>
      </c>
      <c r="H414" s="5">
        <f>AVERAGEIFS('Data Combined - all-runs'!$H:$H, 'Data Combined - all-runs'!$A:$A, A414,'Data Combined - all-runs'!$B:$B, B414,'Data Combined - all-runs'!$C:$C, C414, 'Data Combined - all-runs'!$D:$D, D414, 'Data Combined - all-runs'!$E:$E, E414)</f>
        <v>2015</v>
      </c>
      <c r="I414" s="5">
        <f>AVERAGEIFS('Data Combined - all-runs'!$I:$I, 'Data Combined - all-runs'!$A:$A, A414,'Data Combined - all-runs'!$B:$B, B414,'Data Combined - all-runs'!$C:$C, C414, 'Data Combined - all-runs'!$D:$D, D414, 'Data Combined - all-runs'!$E:$E, E414)</f>
        <v>0</v>
      </c>
      <c r="J414" s="5">
        <f>AVERAGEIFS('Data Combined - all-runs'!$J:$J, 'Data Combined - all-runs'!$A:$A, A414,'Data Combined - all-runs'!$B:$B, B414,'Data Combined - all-runs'!$C:$C, C414, 'Data Combined - all-runs'!$D:$D, D414, 'Data Combined - all-runs'!$E:$E, E414)</f>
        <v>220</v>
      </c>
      <c r="K414" s="5">
        <f>AVERAGEIFS('Data Combined - all-runs'!$K:$K, 'Data Combined - all-runs'!$A:$A, A414,'Data Combined - all-runs'!$B:$B, B414,'Data Combined - all-runs'!$C:$C, C414, 'Data Combined - all-runs'!$D:$D, D414, 'Data Combined - all-runs'!$E:$E, E414)</f>
        <v>0.12875</v>
      </c>
      <c r="L414" s="5">
        <f>AVERAGEIFS('Data Combined - all-runs'!$L:$L, 'Data Combined - all-runs'!$A:$A, A414,'Data Combined - all-runs'!$B:$B, B414,'Data Combined - all-runs'!$C:$C, C414, 'Data Combined - all-runs'!$D:$D, D414, 'Data Combined - all-runs'!$E:$E, E414)</f>
        <v>5557.144807</v>
      </c>
      <c r="M414" s="5" t="str">
        <f>AVERAGEIFS('Data Combined - all-runs'!$M:$M, 'Data Combined - all-runs'!$A:$A, A414,'Data Combined - all-runs'!$B:$B, B414,'Data Combined - all-runs'!$C:$C, C414, 'Data Combined - all-runs'!$D:$D, D414, 'Data Combined - all-runs'!$E:$E, E414)</f>
        <v>#DIV/0!</v>
      </c>
      <c r="N414" s="5">
        <f>AVERAGEIFS('Data Combined - all-runs'!$N:$N, 'Data Combined - all-runs'!$A:$A, A414,'Data Combined - all-runs'!$B:$B, B414,'Data Combined - all-runs'!$C:$C, C414, 'Data Combined - all-runs'!$D:$D, D414, 'Data Combined - all-runs'!$E:$E, E414)</f>
        <v>0</v>
      </c>
      <c r="O414" s="5">
        <f>AVERAGEIFS('Data Combined - all-runs'!$O:$O, 'Data Combined - all-runs'!$A:$A, A414,'Data Combined - all-runs'!$B:$B, B414,'Data Combined - all-runs'!$C:$C, C414, 'Data Combined - all-runs'!$D:$D, D414, 'Data Combined - all-runs'!$E:$E, E414)</f>
        <v>500</v>
      </c>
      <c r="P414" s="5">
        <f>AVERAGEIFS('Data Combined - all-runs'!$P:$P, 'Data Combined - all-runs'!$A:$A, A414,'Data Combined - all-runs'!$B:$B, B414,'Data Combined - all-runs'!$C:$C, C414, 'Data Combined - all-runs'!$D:$D, D414, 'Data Combined - all-runs'!$E:$E, E414)</f>
        <v>0</v>
      </c>
      <c r="Q414" s="5">
        <f>AVERAGEIFS('Data Combined - all-runs'!$Q:$Q, 'Data Combined - all-runs'!$A:$A, A414,'Data Combined - all-runs'!$B:$B, B414,'Data Combined - all-runs'!$C:$C, C414, 'Data Combined - all-runs'!$D:$D, D414, 'Data Combined - all-runs'!$E:$E, E414)</f>
        <v>4030</v>
      </c>
      <c r="R414" s="5" t="str">
        <f>AVERAGEIFS('Data Combined - all-runs'!$R:$R, 'Data Combined - all-runs'!$A:$A, A414,'Data Combined - all-runs'!$B:$B, B414,'Data Combined - all-runs'!$C:$C, C414, 'Data Combined - all-runs'!$D:$D, D414, 'Data Combined - all-runs'!$E:$E, E414)</f>
        <v>#DIV/0!</v>
      </c>
      <c r="S414" s="5">
        <f>AVERAGEIFS('Data Combined - all-runs'!$S:$S, 'Data Combined - all-runs'!$A:$A, A414,'Data Combined - all-runs'!$B:$B, B414,'Data Combined - all-runs'!$C:$C, C414, 'Data Combined - all-runs'!$D:$D, D414, 'Data Combined - all-runs'!$E:$E, E414)</f>
        <v>0.1091811414</v>
      </c>
      <c r="T414" s="5">
        <f>AVERAGEIFS('Data Combined - all-runs'!$T:$T, 'Data Combined - all-runs'!$A:$A, A414,'Data Combined - all-runs'!$B:$B, B414,'Data Combined - all-runs'!$C:$C, C414, 'Data Combined - all-runs'!$D:$D, D414, 'Data Combined - all-runs'!$E:$E, E414)</f>
        <v>0</v>
      </c>
      <c r="U414" s="5" t="b">
        <f t="shared" si="1"/>
        <v>1</v>
      </c>
      <c r="V414" s="5" t="b">
        <f t="shared" si="2"/>
        <v>1</v>
      </c>
      <c r="W414" s="5" t="b">
        <f t="shared" si="3"/>
        <v>0</v>
      </c>
    </row>
    <row r="415">
      <c r="A415" s="2" t="s">
        <v>33</v>
      </c>
      <c r="B415" s="2" t="s">
        <v>114</v>
      </c>
      <c r="C415" s="2" t="s">
        <v>35</v>
      </c>
      <c r="D415" s="2" t="s">
        <v>72</v>
      </c>
      <c r="E415" s="2" t="s">
        <v>51</v>
      </c>
      <c r="H415" s="5">
        <f>AVERAGEIFS('Data Combined - all-runs'!$H:$H, 'Data Combined - all-runs'!$A:$A, A415,'Data Combined - all-runs'!$B:$B, B415,'Data Combined - all-runs'!$C:$C, C415, 'Data Combined - all-runs'!$D:$D, D415, 'Data Combined - all-runs'!$E:$E, E415)</f>
        <v>1875</v>
      </c>
      <c r="I415" s="5">
        <f>AVERAGEIFS('Data Combined - all-runs'!$I:$I, 'Data Combined - all-runs'!$A:$A, A415,'Data Combined - all-runs'!$B:$B, B415,'Data Combined - all-runs'!$C:$C, C415, 'Data Combined - all-runs'!$D:$D, D415, 'Data Combined - all-runs'!$E:$E, E415)</f>
        <v>0</v>
      </c>
      <c r="J415" s="5">
        <f>AVERAGEIFS('Data Combined - all-runs'!$J:$J, 'Data Combined - all-runs'!$A:$A, A415,'Data Combined - all-runs'!$B:$B, B415,'Data Combined - all-runs'!$C:$C, C415, 'Data Combined - all-runs'!$D:$D, D415, 'Data Combined - all-runs'!$E:$E, E415)</f>
        <v>694</v>
      </c>
      <c r="K415" s="5">
        <f>AVERAGEIFS('Data Combined - all-runs'!$K:$K, 'Data Combined - all-runs'!$A:$A, A415,'Data Combined - all-runs'!$B:$B, B415,'Data Combined - all-runs'!$C:$C, C415, 'Data Combined - all-runs'!$D:$D, D415, 'Data Combined - all-runs'!$E:$E, E415)</f>
        <v>0.23375</v>
      </c>
      <c r="L415" s="5">
        <f>AVERAGEIFS('Data Combined - all-runs'!$L:$L, 'Data Combined - all-runs'!$A:$A, A415,'Data Combined - all-runs'!$B:$B, B415,'Data Combined - all-runs'!$C:$C, C415, 'Data Combined - all-runs'!$D:$D, D415, 'Data Combined - all-runs'!$E:$E, E415)</f>
        <v>4482.107951</v>
      </c>
      <c r="M415" s="5" t="str">
        <f>AVERAGEIFS('Data Combined - all-runs'!$M:$M, 'Data Combined - all-runs'!$A:$A, A415,'Data Combined - all-runs'!$B:$B, B415,'Data Combined - all-runs'!$C:$C, C415, 'Data Combined - all-runs'!$D:$D, D415, 'Data Combined - all-runs'!$E:$E, E415)</f>
        <v>#DIV/0!</v>
      </c>
      <c r="N415" s="5">
        <f>AVERAGEIFS('Data Combined - all-runs'!$N:$N, 'Data Combined - all-runs'!$A:$A, A415,'Data Combined - all-runs'!$B:$B, B415,'Data Combined - all-runs'!$C:$C, C415, 'Data Combined - all-runs'!$D:$D, D415, 'Data Combined - all-runs'!$E:$E, E415)</f>
        <v>0</v>
      </c>
      <c r="O415" s="5">
        <f>AVERAGEIFS('Data Combined - all-runs'!$O:$O, 'Data Combined - all-runs'!$A:$A, A415,'Data Combined - all-runs'!$B:$B, B415,'Data Combined - all-runs'!$C:$C, C415, 'Data Combined - all-runs'!$D:$D, D415, 'Data Combined - all-runs'!$E:$E, E415)</f>
        <v>500</v>
      </c>
      <c r="P415" s="5">
        <f>AVERAGEIFS('Data Combined - all-runs'!$P:$P, 'Data Combined - all-runs'!$A:$A, A415,'Data Combined - all-runs'!$B:$B, B415,'Data Combined - all-runs'!$C:$C, C415, 'Data Combined - all-runs'!$D:$D, D415, 'Data Combined - all-runs'!$E:$E, E415)</f>
        <v>0</v>
      </c>
      <c r="Q415" s="5">
        <f>AVERAGEIFS('Data Combined - all-runs'!$Q:$Q, 'Data Combined - all-runs'!$A:$A, A415,'Data Combined - all-runs'!$B:$B, B415,'Data Combined - all-runs'!$C:$C, C415, 'Data Combined - all-runs'!$D:$D, D415, 'Data Combined - all-runs'!$E:$E, E415)</f>
        <v>3750</v>
      </c>
      <c r="R415" s="5" t="str">
        <f>AVERAGEIFS('Data Combined - all-runs'!$R:$R, 'Data Combined - all-runs'!$A:$A, A415,'Data Combined - all-runs'!$B:$B, B415,'Data Combined - all-runs'!$C:$C, C415, 'Data Combined - all-runs'!$D:$D, D415, 'Data Combined - all-runs'!$E:$E, E415)</f>
        <v>#DIV/0!</v>
      </c>
      <c r="S415" s="5">
        <f>AVERAGEIFS('Data Combined - all-runs'!$S:$S, 'Data Combined - all-runs'!$A:$A, A415,'Data Combined - all-runs'!$B:$B, B415,'Data Combined - all-runs'!$C:$C, C415, 'Data Combined - all-runs'!$D:$D, D415, 'Data Combined - all-runs'!$E:$E, E415)</f>
        <v>0.3701333333</v>
      </c>
      <c r="T415" s="5">
        <f>AVERAGEIFS('Data Combined - all-runs'!$T:$T, 'Data Combined - all-runs'!$A:$A, A415,'Data Combined - all-runs'!$B:$B, B415,'Data Combined - all-runs'!$C:$C, C415, 'Data Combined - all-runs'!$D:$D, D415, 'Data Combined - all-runs'!$E:$E, E415)</f>
        <v>0</v>
      </c>
      <c r="U415" s="5" t="b">
        <f t="shared" si="1"/>
        <v>1</v>
      </c>
      <c r="V415" s="5" t="b">
        <f t="shared" si="2"/>
        <v>1</v>
      </c>
      <c r="W415" s="5" t="b">
        <f t="shared" si="3"/>
        <v>0</v>
      </c>
    </row>
    <row r="416">
      <c r="A416" s="2" t="s">
        <v>33</v>
      </c>
      <c r="B416" s="2" t="s">
        <v>114</v>
      </c>
      <c r="C416" s="2" t="s">
        <v>35</v>
      </c>
      <c r="D416" s="2" t="s">
        <v>64</v>
      </c>
      <c r="E416" s="2" t="s">
        <v>25</v>
      </c>
      <c r="H416" s="5">
        <f>AVERAGEIFS('Data Combined - all-runs'!$H:$H, 'Data Combined - all-runs'!$A:$A, A416,'Data Combined - all-runs'!$B:$B, B416,'Data Combined - all-runs'!$C:$C, C416, 'Data Combined - all-runs'!$D:$D, D416, 'Data Combined - all-runs'!$E:$E, E416)</f>
        <v>1380</v>
      </c>
      <c r="I416" s="5">
        <f>AVERAGEIFS('Data Combined - all-runs'!$I:$I, 'Data Combined - all-runs'!$A:$A, A416,'Data Combined - all-runs'!$B:$B, B416,'Data Combined - all-runs'!$C:$C, C416, 'Data Combined - all-runs'!$D:$D, D416, 'Data Combined - all-runs'!$E:$E, E416)</f>
        <v>0</v>
      </c>
      <c r="J416" s="5">
        <f>AVERAGEIFS('Data Combined - all-runs'!$J:$J, 'Data Combined - all-runs'!$A:$A, A416,'Data Combined - all-runs'!$B:$B, B416,'Data Combined - all-runs'!$C:$C, C416, 'Data Combined - all-runs'!$D:$D, D416, 'Data Combined - all-runs'!$E:$E, E416)</f>
        <v>0</v>
      </c>
      <c r="K416" s="5">
        <f>AVERAGEIFS('Data Combined - all-runs'!$K:$K, 'Data Combined - all-runs'!$A:$A, A416,'Data Combined - all-runs'!$B:$B, B416,'Data Combined - all-runs'!$C:$C, C416, 'Data Combined - all-runs'!$D:$D, D416, 'Data Combined - all-runs'!$E:$E, E416)</f>
        <v>0.08324715615</v>
      </c>
      <c r="L416" s="5">
        <f>AVERAGEIFS('Data Combined - all-runs'!$L:$L, 'Data Combined - all-runs'!$A:$A, A416,'Data Combined - all-runs'!$B:$B, B416,'Data Combined - all-runs'!$C:$C, C416, 'Data Combined - all-runs'!$D:$D, D416, 'Data Combined - all-runs'!$E:$E, E416)</f>
        <v>4071.748569</v>
      </c>
      <c r="M416" s="5">
        <f>AVERAGEIFS('Data Combined - all-runs'!$M:$M, 'Data Combined - all-runs'!$A:$A, A416,'Data Combined - all-runs'!$B:$B, B416,'Data Combined - all-runs'!$C:$C, C416, 'Data Combined - all-runs'!$D:$D, D416, 'Data Combined - all-runs'!$E:$E, E416)</f>
        <v>35</v>
      </c>
      <c r="N416" s="5">
        <f>AVERAGEIFS('Data Combined - all-runs'!$N:$N, 'Data Combined - all-runs'!$A:$A, A416,'Data Combined - all-runs'!$B:$B, B416,'Data Combined - all-runs'!$C:$C, C416, 'Data Combined - all-runs'!$D:$D, D416, 'Data Combined - all-runs'!$E:$E, E416)</f>
        <v>6</v>
      </c>
      <c r="O416" s="5">
        <f>AVERAGEIFS('Data Combined - all-runs'!$O:$O, 'Data Combined - all-runs'!$A:$A, A416,'Data Combined - all-runs'!$B:$B, B416,'Data Combined - all-runs'!$C:$C, C416, 'Data Combined - all-runs'!$D:$D, D416, 'Data Combined - all-runs'!$E:$E, E416)</f>
        <v>967</v>
      </c>
      <c r="P416" s="5">
        <f>AVERAGEIFS('Data Combined - all-runs'!$P:$P, 'Data Combined - all-runs'!$A:$A, A416,'Data Combined - all-runs'!$B:$B, B416,'Data Combined - all-runs'!$C:$C, C416, 'Data Combined - all-runs'!$D:$D, D416, 'Data Combined - all-runs'!$E:$E, E416)</f>
        <v>6.20475698</v>
      </c>
      <c r="Q416" s="5">
        <f>AVERAGEIFS('Data Combined - all-runs'!$Q:$Q, 'Data Combined - all-runs'!$A:$A, A416,'Data Combined - all-runs'!$B:$B, B416,'Data Combined - all-runs'!$C:$C, C416, 'Data Combined - all-runs'!$D:$D, D416, 'Data Combined - all-runs'!$E:$E, E416)</f>
        <v>1427.094105</v>
      </c>
      <c r="R416" s="5">
        <f>AVERAGEIFS('Data Combined - all-runs'!$R:$R, 'Data Combined - all-runs'!$A:$A, A416,'Data Combined - all-runs'!$B:$B, B416,'Data Combined - all-runs'!$C:$C, C416, 'Data Combined - all-runs'!$D:$D, D416, 'Data Combined - all-runs'!$E:$E, E416)</f>
        <v>230</v>
      </c>
      <c r="S416" s="5">
        <f>AVERAGEIFS('Data Combined - all-runs'!$S:$S, 'Data Combined - all-runs'!$A:$A, A416,'Data Combined - all-runs'!$B:$B, B416,'Data Combined - all-runs'!$C:$C, C416, 'Data Combined - all-runs'!$D:$D, D416, 'Data Combined - all-runs'!$E:$E, E416)</f>
        <v>0</v>
      </c>
      <c r="T416" s="5">
        <f>AVERAGEIFS('Data Combined - all-runs'!$T:$T, 'Data Combined - all-runs'!$A:$A, A416,'Data Combined - all-runs'!$B:$B, B416,'Data Combined - all-runs'!$C:$C, C416, 'Data Combined - all-runs'!$D:$D, D416, 'Data Combined - all-runs'!$E:$E, E416)</f>
        <v>0</v>
      </c>
      <c r="U416" s="5" t="b">
        <f t="shared" si="1"/>
        <v>1</v>
      </c>
      <c r="V416" s="5" t="b">
        <f t="shared" si="2"/>
        <v>1</v>
      </c>
      <c r="W416" s="5" t="b">
        <f t="shared" si="3"/>
        <v>0</v>
      </c>
    </row>
    <row r="417">
      <c r="A417" s="2" t="s">
        <v>33</v>
      </c>
      <c r="B417" s="2" t="s">
        <v>114</v>
      </c>
      <c r="C417" s="2" t="s">
        <v>35</v>
      </c>
      <c r="D417" s="2" t="s">
        <v>64</v>
      </c>
      <c r="E417" s="2" t="s">
        <v>39</v>
      </c>
      <c r="H417" s="5">
        <f>AVERAGEIFS('Data Combined - all-runs'!$H:$H, 'Data Combined - all-runs'!$A:$A, A417,'Data Combined - all-runs'!$B:$B, B417,'Data Combined - all-runs'!$C:$C, C417, 'Data Combined - all-runs'!$D:$D, D417, 'Data Combined - all-runs'!$E:$E, E417)</f>
        <v>188</v>
      </c>
      <c r="I417" s="5">
        <f>AVERAGEIFS('Data Combined - all-runs'!$I:$I, 'Data Combined - all-runs'!$A:$A, A417,'Data Combined - all-runs'!$B:$B, B417,'Data Combined - all-runs'!$C:$C, C417, 'Data Combined - all-runs'!$D:$D, D417, 'Data Combined - all-runs'!$E:$E, E417)</f>
        <v>0</v>
      </c>
      <c r="J417" s="5">
        <f>AVERAGEIFS('Data Combined - all-runs'!$J:$J, 'Data Combined - all-runs'!$A:$A, A417,'Data Combined - all-runs'!$B:$B, B417,'Data Combined - all-runs'!$C:$C, C417, 'Data Combined - all-runs'!$D:$D, D417, 'Data Combined - all-runs'!$E:$E, E417)</f>
        <v>0</v>
      </c>
      <c r="K417" s="5">
        <f>AVERAGEIFS('Data Combined - all-runs'!$K:$K, 'Data Combined - all-runs'!$A:$A, A417,'Data Combined - all-runs'!$B:$B, B417,'Data Combined - all-runs'!$C:$C, C417, 'Data Combined - all-runs'!$D:$D, D417, 'Data Combined - all-runs'!$E:$E, E417)</f>
        <v>0.0945</v>
      </c>
      <c r="L417" s="5">
        <f>AVERAGEIFS('Data Combined - all-runs'!$L:$L, 'Data Combined - all-runs'!$A:$A, A417,'Data Combined - all-runs'!$B:$B, B417,'Data Combined - all-runs'!$C:$C, C417, 'Data Combined - all-runs'!$D:$D, D417, 'Data Combined - all-runs'!$E:$E, E417)</f>
        <v>640.1219091</v>
      </c>
      <c r="M417" s="5" t="str">
        <f>AVERAGEIFS('Data Combined - all-runs'!$M:$M, 'Data Combined - all-runs'!$A:$A, A417,'Data Combined - all-runs'!$B:$B, B417,'Data Combined - all-runs'!$C:$C, C417, 'Data Combined - all-runs'!$D:$D, D417, 'Data Combined - all-runs'!$E:$E, E417)</f>
        <v>#DIV/0!</v>
      </c>
      <c r="N417" s="5">
        <f>AVERAGEIFS('Data Combined - all-runs'!$N:$N, 'Data Combined - all-runs'!$A:$A, A417,'Data Combined - all-runs'!$B:$B, B417,'Data Combined - all-runs'!$C:$C, C417, 'Data Combined - all-runs'!$D:$D, D417, 'Data Combined - all-runs'!$E:$E, E417)</f>
        <v>0</v>
      </c>
      <c r="O417" s="5">
        <f>AVERAGEIFS('Data Combined - all-runs'!$O:$O, 'Data Combined - all-runs'!$A:$A, A417,'Data Combined - all-runs'!$B:$B, B417,'Data Combined - all-runs'!$C:$C, C417, 'Data Combined - all-runs'!$D:$D, D417, 'Data Combined - all-runs'!$E:$E, E417)</f>
        <v>500</v>
      </c>
      <c r="P417" s="5">
        <f>AVERAGEIFS('Data Combined - all-runs'!$P:$P, 'Data Combined - all-runs'!$A:$A, A417,'Data Combined - all-runs'!$B:$B, B417,'Data Combined - all-runs'!$C:$C, C417, 'Data Combined - all-runs'!$D:$D, D417, 'Data Combined - all-runs'!$E:$E, E417)</f>
        <v>0</v>
      </c>
      <c r="Q417" s="5">
        <f>AVERAGEIFS('Data Combined - all-runs'!$Q:$Q, 'Data Combined - all-runs'!$A:$A, A417,'Data Combined - all-runs'!$B:$B, B417,'Data Combined - all-runs'!$C:$C, C417, 'Data Combined - all-runs'!$D:$D, D417, 'Data Combined - all-runs'!$E:$E, E417)</f>
        <v>376</v>
      </c>
      <c r="R417" s="5" t="str">
        <f>AVERAGEIFS('Data Combined - all-runs'!$R:$R, 'Data Combined - all-runs'!$A:$A, A417,'Data Combined - all-runs'!$B:$B, B417,'Data Combined - all-runs'!$C:$C, C417, 'Data Combined - all-runs'!$D:$D, D417, 'Data Combined - all-runs'!$E:$E, E417)</f>
        <v>#DIV/0!</v>
      </c>
      <c r="S417" s="5">
        <f>AVERAGEIFS('Data Combined - all-runs'!$S:$S, 'Data Combined - all-runs'!$A:$A, A417,'Data Combined - all-runs'!$B:$B, B417,'Data Combined - all-runs'!$C:$C, C417, 'Data Combined - all-runs'!$D:$D, D417, 'Data Combined - all-runs'!$E:$E, E417)</f>
        <v>0</v>
      </c>
      <c r="T417" s="5">
        <f>AVERAGEIFS('Data Combined - all-runs'!$T:$T, 'Data Combined - all-runs'!$A:$A, A417,'Data Combined - all-runs'!$B:$B, B417,'Data Combined - all-runs'!$C:$C, C417, 'Data Combined - all-runs'!$D:$D, D417, 'Data Combined - all-runs'!$E:$E, E417)</f>
        <v>0</v>
      </c>
      <c r="U417" s="5" t="b">
        <f t="shared" si="1"/>
        <v>1</v>
      </c>
      <c r="V417" s="5" t="b">
        <f t="shared" si="2"/>
        <v>1</v>
      </c>
      <c r="W417" s="5" t="b">
        <f t="shared" si="3"/>
        <v>0</v>
      </c>
    </row>
    <row r="418">
      <c r="A418" s="2" t="s">
        <v>33</v>
      </c>
      <c r="B418" s="2" t="s">
        <v>114</v>
      </c>
      <c r="C418" s="2" t="s">
        <v>35</v>
      </c>
      <c r="D418" s="2" t="s">
        <v>64</v>
      </c>
      <c r="E418" s="2" t="s">
        <v>43</v>
      </c>
      <c r="H418" s="5">
        <f>AVERAGEIFS('Data Combined - all-runs'!$H:$H, 'Data Combined - all-runs'!$A:$A, A418,'Data Combined - all-runs'!$B:$B, B418,'Data Combined - all-runs'!$C:$C, C418, 'Data Combined - all-runs'!$D:$D, D418, 'Data Combined - all-runs'!$E:$E, E418)</f>
        <v>3450</v>
      </c>
      <c r="I418" s="5">
        <f>AVERAGEIFS('Data Combined - all-runs'!$I:$I, 'Data Combined - all-runs'!$A:$A, A418,'Data Combined - all-runs'!$B:$B, B418,'Data Combined - all-runs'!$C:$C, C418, 'Data Combined - all-runs'!$D:$D, D418, 'Data Combined - all-runs'!$E:$E, E418)</f>
        <v>0</v>
      </c>
      <c r="J418" s="5">
        <f>AVERAGEIFS('Data Combined - all-runs'!$J:$J, 'Data Combined - all-runs'!$A:$A, A418,'Data Combined - all-runs'!$B:$B, B418,'Data Combined - all-runs'!$C:$C, C418, 'Data Combined - all-runs'!$D:$D, D418, 'Data Combined - all-runs'!$E:$E, E418)</f>
        <v>0</v>
      </c>
      <c r="K418" s="5">
        <f>AVERAGEIFS('Data Combined - all-runs'!$K:$K, 'Data Combined - all-runs'!$A:$A, A418,'Data Combined - all-runs'!$B:$B, B418,'Data Combined - all-runs'!$C:$C, C418, 'Data Combined - all-runs'!$D:$D, D418, 'Data Combined - all-runs'!$E:$E, E418)</f>
        <v>0.1122581845</v>
      </c>
      <c r="L418" s="5">
        <f>AVERAGEIFS('Data Combined - all-runs'!$L:$L, 'Data Combined - all-runs'!$A:$A, A418,'Data Combined - all-runs'!$B:$B, B418,'Data Combined - all-runs'!$C:$C, C418, 'Data Combined - all-runs'!$D:$D, D418, 'Data Combined - all-runs'!$E:$E, E418)</f>
        <v>11974.05656</v>
      </c>
      <c r="M418" s="5">
        <f>AVERAGEIFS('Data Combined - all-runs'!$M:$M, 'Data Combined - all-runs'!$A:$A, A418,'Data Combined - all-runs'!$B:$B, B418,'Data Combined - all-runs'!$C:$C, C418, 'Data Combined - all-runs'!$D:$D, D418, 'Data Combined - all-runs'!$E:$E, E418)</f>
        <v>84</v>
      </c>
      <c r="N418" s="5">
        <f>AVERAGEIFS('Data Combined - all-runs'!$N:$N, 'Data Combined - all-runs'!$A:$A, A418,'Data Combined - all-runs'!$B:$B, B418,'Data Combined - all-runs'!$C:$C, C418, 'Data Combined - all-runs'!$D:$D, D418, 'Data Combined - all-runs'!$E:$E, E418)</f>
        <v>11</v>
      </c>
      <c r="O418" s="5">
        <f>AVERAGEIFS('Data Combined - all-runs'!$O:$O, 'Data Combined - all-runs'!$A:$A, A418,'Data Combined - all-runs'!$B:$B, B418,'Data Combined - all-runs'!$C:$C, C418, 'Data Combined - all-runs'!$D:$D, D418, 'Data Combined - all-runs'!$E:$E, E418)</f>
        <v>1792</v>
      </c>
      <c r="P418" s="5">
        <f>AVERAGEIFS('Data Combined - all-runs'!$P:$P, 'Data Combined - all-runs'!$A:$A, A418,'Data Combined - all-runs'!$B:$B, B418,'Data Combined - all-runs'!$C:$C, C418, 'Data Combined - all-runs'!$D:$D, D418, 'Data Combined - all-runs'!$E:$E, E418)</f>
        <v>6.138392857</v>
      </c>
      <c r="Q418" s="5">
        <f>AVERAGEIFS('Data Combined - all-runs'!$Q:$Q, 'Data Combined - all-runs'!$A:$A, A418,'Data Combined - all-runs'!$B:$B, B418,'Data Combined - all-runs'!$C:$C, C418, 'Data Combined - all-runs'!$D:$D, D418, 'Data Combined - all-runs'!$E:$E, E418)</f>
        <v>1925.223214</v>
      </c>
      <c r="R418" s="5">
        <f>AVERAGEIFS('Data Combined - all-runs'!$R:$R, 'Data Combined - all-runs'!$A:$A, A418,'Data Combined - all-runs'!$B:$B, B418,'Data Combined - all-runs'!$C:$C, C418, 'Data Combined - all-runs'!$D:$D, D418, 'Data Combined - all-runs'!$E:$E, E418)</f>
        <v>313.6363636</v>
      </c>
      <c r="S418" s="5">
        <f>AVERAGEIFS('Data Combined - all-runs'!$S:$S, 'Data Combined - all-runs'!$A:$A, A418,'Data Combined - all-runs'!$B:$B, B418,'Data Combined - all-runs'!$C:$C, C418, 'Data Combined - all-runs'!$D:$D, D418, 'Data Combined - all-runs'!$E:$E, E418)</f>
        <v>0</v>
      </c>
      <c r="T418" s="5">
        <f>AVERAGEIFS('Data Combined - all-runs'!$T:$T, 'Data Combined - all-runs'!$A:$A, A418,'Data Combined - all-runs'!$B:$B, B418,'Data Combined - all-runs'!$C:$C, C418, 'Data Combined - all-runs'!$D:$D, D418, 'Data Combined - all-runs'!$E:$E, E418)</f>
        <v>0</v>
      </c>
      <c r="U418" s="5" t="b">
        <f t="shared" si="1"/>
        <v>1</v>
      </c>
      <c r="V418" s="5" t="b">
        <f t="shared" si="2"/>
        <v>1</v>
      </c>
      <c r="W418" s="5" t="b">
        <f t="shared" si="3"/>
        <v>0</v>
      </c>
    </row>
    <row r="419">
      <c r="A419" s="2" t="s">
        <v>33</v>
      </c>
      <c r="B419" s="2" t="s">
        <v>114</v>
      </c>
      <c r="C419" s="2" t="s">
        <v>35</v>
      </c>
      <c r="D419" s="2" t="s">
        <v>64</v>
      </c>
      <c r="E419" s="2" t="s">
        <v>34</v>
      </c>
      <c r="H419" s="5">
        <f>AVERAGEIFS('Data Combined - all-runs'!$H:$H, 'Data Combined - all-runs'!$A:$A, A419,'Data Combined - all-runs'!$B:$B, B419,'Data Combined - all-runs'!$C:$C, C419, 'Data Combined - all-runs'!$D:$D, D419, 'Data Combined - all-runs'!$E:$E, E419)</f>
        <v>2020</v>
      </c>
      <c r="I419" s="5">
        <f>AVERAGEIFS('Data Combined - all-runs'!$I:$I, 'Data Combined - all-runs'!$A:$A, A419,'Data Combined - all-runs'!$B:$B, B419,'Data Combined - all-runs'!$C:$C, C419, 'Data Combined - all-runs'!$D:$D, D419, 'Data Combined - all-runs'!$E:$E, E419)</f>
        <v>0</v>
      </c>
      <c r="J419" s="5">
        <f>AVERAGEIFS('Data Combined - all-runs'!$J:$J, 'Data Combined - all-runs'!$A:$A, A419,'Data Combined - all-runs'!$B:$B, B419,'Data Combined - all-runs'!$C:$C, C419, 'Data Combined - all-runs'!$D:$D, D419, 'Data Combined - all-runs'!$E:$E, E419)</f>
        <v>0</v>
      </c>
      <c r="K419" s="5">
        <f>AVERAGEIFS('Data Combined - all-runs'!$K:$K, 'Data Combined - all-runs'!$A:$A, A419,'Data Combined - all-runs'!$B:$B, B419,'Data Combined - all-runs'!$C:$C, C419, 'Data Combined - all-runs'!$D:$D, D419, 'Data Combined - all-runs'!$E:$E, E419)</f>
        <v>0.3223333333</v>
      </c>
      <c r="L419" s="5">
        <f>AVERAGEIFS('Data Combined - all-runs'!$L:$L, 'Data Combined - all-runs'!$A:$A, A419,'Data Combined - all-runs'!$B:$B, B419,'Data Combined - all-runs'!$C:$C, C419, 'Data Combined - all-runs'!$D:$D, D419, 'Data Combined - all-runs'!$E:$E, E419)</f>
        <v>5629.448745</v>
      </c>
      <c r="M419" s="5" t="str">
        <f>AVERAGEIFS('Data Combined - all-runs'!$M:$M, 'Data Combined - all-runs'!$A:$A, A419,'Data Combined - all-runs'!$B:$B, B419,'Data Combined - all-runs'!$C:$C, C419, 'Data Combined - all-runs'!$D:$D, D419, 'Data Combined - all-runs'!$E:$E, E419)</f>
        <v>#DIV/0!</v>
      </c>
      <c r="N419" s="5">
        <f>AVERAGEIFS('Data Combined - all-runs'!$N:$N, 'Data Combined - all-runs'!$A:$A, A419,'Data Combined - all-runs'!$B:$B, B419,'Data Combined - all-runs'!$C:$C, C419, 'Data Combined - all-runs'!$D:$D, D419, 'Data Combined - all-runs'!$E:$E, E419)</f>
        <v>0</v>
      </c>
      <c r="O419" s="5">
        <f>AVERAGEIFS('Data Combined - all-runs'!$O:$O, 'Data Combined - all-runs'!$A:$A, A419,'Data Combined - all-runs'!$B:$B, B419,'Data Combined - all-runs'!$C:$C, C419, 'Data Combined - all-runs'!$D:$D, D419, 'Data Combined - all-runs'!$E:$E, E419)</f>
        <v>500</v>
      </c>
      <c r="P419" s="5">
        <f>AVERAGEIFS('Data Combined - all-runs'!$P:$P, 'Data Combined - all-runs'!$A:$A, A419,'Data Combined - all-runs'!$B:$B, B419,'Data Combined - all-runs'!$C:$C, C419, 'Data Combined - all-runs'!$D:$D, D419, 'Data Combined - all-runs'!$E:$E, E419)</f>
        <v>0</v>
      </c>
      <c r="Q419" s="5">
        <f>AVERAGEIFS('Data Combined - all-runs'!$Q:$Q, 'Data Combined - all-runs'!$A:$A, A419,'Data Combined - all-runs'!$B:$B, B419,'Data Combined - all-runs'!$C:$C, C419, 'Data Combined - all-runs'!$D:$D, D419, 'Data Combined - all-runs'!$E:$E, E419)</f>
        <v>4040</v>
      </c>
      <c r="R419" s="5" t="str">
        <f>AVERAGEIFS('Data Combined - all-runs'!$R:$R, 'Data Combined - all-runs'!$A:$A, A419,'Data Combined - all-runs'!$B:$B, B419,'Data Combined - all-runs'!$C:$C, C419, 'Data Combined - all-runs'!$D:$D, D419, 'Data Combined - all-runs'!$E:$E, E419)</f>
        <v>#DIV/0!</v>
      </c>
      <c r="S419" s="5">
        <f>AVERAGEIFS('Data Combined - all-runs'!$S:$S, 'Data Combined - all-runs'!$A:$A, A419,'Data Combined - all-runs'!$B:$B, B419,'Data Combined - all-runs'!$C:$C, C419, 'Data Combined - all-runs'!$D:$D, D419, 'Data Combined - all-runs'!$E:$E, E419)</f>
        <v>0</v>
      </c>
      <c r="T419" s="5">
        <f>AVERAGEIFS('Data Combined - all-runs'!$T:$T, 'Data Combined - all-runs'!$A:$A, A419,'Data Combined - all-runs'!$B:$B, B419,'Data Combined - all-runs'!$C:$C, C419, 'Data Combined - all-runs'!$D:$D, D419, 'Data Combined - all-runs'!$E:$E, E419)</f>
        <v>0</v>
      </c>
      <c r="U419" s="5" t="b">
        <f t="shared" si="1"/>
        <v>1</v>
      </c>
      <c r="V419" s="5" t="b">
        <f t="shared" si="2"/>
        <v>1</v>
      </c>
      <c r="W419" s="5" t="b">
        <f t="shared" si="3"/>
        <v>0</v>
      </c>
    </row>
    <row r="420">
      <c r="A420" s="2" t="s">
        <v>33</v>
      </c>
      <c r="B420" s="2" t="s">
        <v>114</v>
      </c>
      <c r="C420" s="2" t="s">
        <v>35</v>
      </c>
      <c r="D420" s="2" t="s">
        <v>64</v>
      </c>
      <c r="E420" s="2" t="s">
        <v>47</v>
      </c>
      <c r="H420" s="5">
        <f>AVERAGEIFS('Data Combined - all-runs'!$H:$H, 'Data Combined - all-runs'!$A:$A, A420,'Data Combined - all-runs'!$B:$B, B420,'Data Combined - all-runs'!$C:$C, C420, 'Data Combined - all-runs'!$D:$D, D420, 'Data Combined - all-runs'!$E:$E, E420)</f>
        <v>2454</v>
      </c>
      <c r="I420" s="5">
        <f>AVERAGEIFS('Data Combined - all-runs'!$I:$I, 'Data Combined - all-runs'!$A:$A, A420,'Data Combined - all-runs'!$B:$B, B420,'Data Combined - all-runs'!$C:$C, C420, 'Data Combined - all-runs'!$D:$D, D420, 'Data Combined - all-runs'!$E:$E, E420)</f>
        <v>0</v>
      </c>
      <c r="J420" s="5">
        <f>AVERAGEIFS('Data Combined - all-runs'!$J:$J, 'Data Combined - all-runs'!$A:$A, A420,'Data Combined - all-runs'!$B:$B, B420,'Data Combined - all-runs'!$C:$C, C420, 'Data Combined - all-runs'!$D:$D, D420, 'Data Combined - all-runs'!$E:$E, E420)</f>
        <v>0</v>
      </c>
      <c r="K420" s="5">
        <f>AVERAGEIFS('Data Combined - all-runs'!$K:$K, 'Data Combined - all-runs'!$A:$A, A420,'Data Combined - all-runs'!$B:$B, B420,'Data Combined - all-runs'!$C:$C, C420, 'Data Combined - all-runs'!$D:$D, D420, 'Data Combined - all-runs'!$E:$E, E420)</f>
        <v>0.1995</v>
      </c>
      <c r="L420" s="5">
        <f>AVERAGEIFS('Data Combined - all-runs'!$L:$L, 'Data Combined - all-runs'!$A:$A, A420,'Data Combined - all-runs'!$B:$B, B420,'Data Combined - all-runs'!$C:$C, C420, 'Data Combined - all-runs'!$D:$D, D420, 'Data Combined - all-runs'!$E:$E, E420)</f>
        <v>7934.175113</v>
      </c>
      <c r="M420" s="5" t="str">
        <f>AVERAGEIFS('Data Combined - all-runs'!$M:$M, 'Data Combined - all-runs'!$A:$A, A420,'Data Combined - all-runs'!$B:$B, B420,'Data Combined - all-runs'!$C:$C, C420, 'Data Combined - all-runs'!$D:$D, D420, 'Data Combined - all-runs'!$E:$E, E420)</f>
        <v>#DIV/0!</v>
      </c>
      <c r="N420" s="5">
        <f>AVERAGEIFS('Data Combined - all-runs'!$N:$N, 'Data Combined - all-runs'!$A:$A, A420,'Data Combined - all-runs'!$B:$B, B420,'Data Combined - all-runs'!$C:$C, C420, 'Data Combined - all-runs'!$D:$D, D420, 'Data Combined - all-runs'!$E:$E, E420)</f>
        <v>0</v>
      </c>
      <c r="O420" s="5">
        <f>AVERAGEIFS('Data Combined - all-runs'!$O:$O, 'Data Combined - all-runs'!$A:$A, A420,'Data Combined - all-runs'!$B:$B, B420,'Data Combined - all-runs'!$C:$C, C420, 'Data Combined - all-runs'!$D:$D, D420, 'Data Combined - all-runs'!$E:$E, E420)</f>
        <v>500</v>
      </c>
      <c r="P420" s="5">
        <f>AVERAGEIFS('Data Combined - all-runs'!$P:$P, 'Data Combined - all-runs'!$A:$A, A420,'Data Combined - all-runs'!$B:$B, B420,'Data Combined - all-runs'!$C:$C, C420, 'Data Combined - all-runs'!$D:$D, D420, 'Data Combined - all-runs'!$E:$E, E420)</f>
        <v>0</v>
      </c>
      <c r="Q420" s="5">
        <f>AVERAGEIFS('Data Combined - all-runs'!$Q:$Q, 'Data Combined - all-runs'!$A:$A, A420,'Data Combined - all-runs'!$B:$B, B420,'Data Combined - all-runs'!$C:$C, C420, 'Data Combined - all-runs'!$D:$D, D420, 'Data Combined - all-runs'!$E:$E, E420)</f>
        <v>4908</v>
      </c>
      <c r="R420" s="5" t="str">
        <f>AVERAGEIFS('Data Combined - all-runs'!$R:$R, 'Data Combined - all-runs'!$A:$A, A420,'Data Combined - all-runs'!$B:$B, B420,'Data Combined - all-runs'!$C:$C, C420, 'Data Combined - all-runs'!$D:$D, D420, 'Data Combined - all-runs'!$E:$E, E420)</f>
        <v>#DIV/0!</v>
      </c>
      <c r="S420" s="5">
        <f>AVERAGEIFS('Data Combined - all-runs'!$S:$S, 'Data Combined - all-runs'!$A:$A, A420,'Data Combined - all-runs'!$B:$B, B420,'Data Combined - all-runs'!$C:$C, C420, 'Data Combined - all-runs'!$D:$D, D420, 'Data Combined - all-runs'!$E:$E, E420)</f>
        <v>0</v>
      </c>
      <c r="T420" s="5">
        <f>AVERAGEIFS('Data Combined - all-runs'!$T:$T, 'Data Combined - all-runs'!$A:$A, A420,'Data Combined - all-runs'!$B:$B, B420,'Data Combined - all-runs'!$C:$C, C420, 'Data Combined - all-runs'!$D:$D, D420, 'Data Combined - all-runs'!$E:$E, E420)</f>
        <v>0</v>
      </c>
      <c r="U420" s="5" t="b">
        <f t="shared" si="1"/>
        <v>1</v>
      </c>
      <c r="V420" s="5" t="b">
        <f t="shared" si="2"/>
        <v>1</v>
      </c>
      <c r="W420" s="5" t="b">
        <f t="shared" si="3"/>
        <v>0</v>
      </c>
    </row>
    <row r="421">
      <c r="A421" s="2" t="s">
        <v>33</v>
      </c>
      <c r="B421" s="2" t="s">
        <v>114</v>
      </c>
      <c r="C421" s="2" t="s">
        <v>35</v>
      </c>
      <c r="D421" s="2" t="s">
        <v>64</v>
      </c>
      <c r="E421" s="2" t="s">
        <v>51</v>
      </c>
      <c r="H421" s="5">
        <f>AVERAGEIFS('Data Combined - all-runs'!$H:$H, 'Data Combined - all-runs'!$A:$A, A421,'Data Combined - all-runs'!$B:$B, B421,'Data Combined - all-runs'!$C:$C, C421, 'Data Combined - all-runs'!$D:$D, D421, 'Data Combined - all-runs'!$E:$E, E421)</f>
        <v>7974</v>
      </c>
      <c r="I421" s="5">
        <f>AVERAGEIFS('Data Combined - all-runs'!$I:$I, 'Data Combined - all-runs'!$A:$A, A421,'Data Combined - all-runs'!$B:$B, B421,'Data Combined - all-runs'!$C:$C, C421, 'Data Combined - all-runs'!$D:$D, D421, 'Data Combined - all-runs'!$E:$E, E421)</f>
        <v>0</v>
      </c>
      <c r="J421" s="5">
        <f>AVERAGEIFS('Data Combined - all-runs'!$J:$J, 'Data Combined - all-runs'!$A:$A, A421,'Data Combined - all-runs'!$B:$B, B421,'Data Combined - all-runs'!$C:$C, C421, 'Data Combined - all-runs'!$D:$D, D421, 'Data Combined - all-runs'!$E:$E, E421)</f>
        <v>1</v>
      </c>
      <c r="K421" s="5">
        <f>AVERAGEIFS('Data Combined - all-runs'!$K:$K, 'Data Combined - all-runs'!$A:$A, A421,'Data Combined - all-runs'!$B:$B, B421,'Data Combined - all-runs'!$C:$C, C421, 'Data Combined - all-runs'!$D:$D, D421, 'Data Combined - all-runs'!$E:$E, E421)</f>
        <v>0.1565639072</v>
      </c>
      <c r="L421" s="5">
        <f>AVERAGEIFS('Data Combined - all-runs'!$L:$L, 'Data Combined - all-runs'!$A:$A, A421,'Data Combined - all-runs'!$B:$B, B421,'Data Combined - all-runs'!$C:$C, C421, 'Data Combined - all-runs'!$D:$D, D421, 'Data Combined - all-runs'!$E:$E, E421)</f>
        <v>28404.278</v>
      </c>
      <c r="M421" s="5">
        <f>AVERAGEIFS('Data Combined - all-runs'!$M:$M, 'Data Combined - all-runs'!$A:$A, A421,'Data Combined - all-runs'!$B:$B, B421,'Data Combined - all-runs'!$C:$C, C421, 'Data Combined - all-runs'!$D:$D, D421, 'Data Combined - all-runs'!$E:$E, E421)</f>
        <v>125</v>
      </c>
      <c r="N421" s="5">
        <f>AVERAGEIFS('Data Combined - all-runs'!$N:$N, 'Data Combined - all-runs'!$A:$A, A421,'Data Combined - all-runs'!$B:$B, B421,'Data Combined - all-runs'!$C:$C, C421, 'Data Combined - all-runs'!$D:$D, D421, 'Data Combined - all-runs'!$E:$E, E421)</f>
        <v>9</v>
      </c>
      <c r="O421" s="5">
        <f>AVERAGEIFS('Data Combined - all-runs'!$O:$O, 'Data Combined - all-runs'!$A:$A, A421,'Data Combined - all-runs'!$B:$B, B421,'Data Combined - all-runs'!$C:$C, C421, 'Data Combined - all-runs'!$D:$D, D421, 'Data Combined - all-runs'!$E:$E, E421)</f>
        <v>2887</v>
      </c>
      <c r="P421" s="5">
        <f>AVERAGEIFS('Data Combined - all-runs'!$P:$P, 'Data Combined - all-runs'!$A:$A, A421,'Data Combined - all-runs'!$B:$B, B421,'Data Combined - all-runs'!$C:$C, C421, 'Data Combined - all-runs'!$D:$D, D421, 'Data Combined - all-runs'!$E:$E, E421)</f>
        <v>3.11742293</v>
      </c>
      <c r="Q421" s="5">
        <f>AVERAGEIFS('Data Combined - all-runs'!$Q:$Q, 'Data Combined - all-runs'!$A:$A, A421,'Data Combined - all-runs'!$B:$B, B421,'Data Combined - all-runs'!$C:$C, C421, 'Data Combined - all-runs'!$D:$D, D421, 'Data Combined - all-runs'!$E:$E, E421)</f>
        <v>2762.036716</v>
      </c>
      <c r="R421" s="5">
        <f>AVERAGEIFS('Data Combined - all-runs'!$R:$R, 'Data Combined - all-runs'!$A:$A, A421,'Data Combined - all-runs'!$B:$B, B421,'Data Combined - all-runs'!$C:$C, C421, 'Data Combined - all-runs'!$D:$D, D421, 'Data Combined - all-runs'!$E:$E, E421)</f>
        <v>886</v>
      </c>
      <c r="S421" s="5">
        <f>AVERAGEIFS('Data Combined - all-runs'!$S:$S, 'Data Combined - all-runs'!$A:$A, A421,'Data Combined - all-runs'!$B:$B, B421,'Data Combined - all-runs'!$C:$C, C421, 'Data Combined - all-runs'!$D:$D, D421, 'Data Combined - all-runs'!$E:$E, E421)</f>
        <v>0.0001254075746</v>
      </c>
      <c r="T421" s="5">
        <f>AVERAGEIFS('Data Combined - all-runs'!$T:$T, 'Data Combined - all-runs'!$A:$A, A421,'Data Combined - all-runs'!$B:$B, B421,'Data Combined - all-runs'!$C:$C, C421, 'Data Combined - all-runs'!$D:$D, D421, 'Data Combined - all-runs'!$E:$E, E421)</f>
        <v>0</v>
      </c>
      <c r="U421" s="5" t="b">
        <f t="shared" si="1"/>
        <v>1</v>
      </c>
      <c r="V421" s="5" t="b">
        <f t="shared" si="2"/>
        <v>1</v>
      </c>
      <c r="W421" s="5" t="b">
        <f t="shared" si="3"/>
        <v>0</v>
      </c>
    </row>
    <row r="422">
      <c r="A422" s="2" t="s">
        <v>33</v>
      </c>
      <c r="B422" s="2" t="s">
        <v>114</v>
      </c>
      <c r="C422" s="2" t="s">
        <v>35</v>
      </c>
      <c r="D422" s="2" t="s">
        <v>102</v>
      </c>
      <c r="E422" s="2" t="s">
        <v>25</v>
      </c>
      <c r="H422" s="5">
        <f>AVERAGEIFS('Data Combined - all-runs'!$H:$H, 'Data Combined - all-runs'!$A:$A, A422,'Data Combined - all-runs'!$B:$B, B422,'Data Combined - all-runs'!$C:$C, C422, 'Data Combined - all-runs'!$D:$D, D422, 'Data Combined - all-runs'!$E:$E, E422)</f>
        <v>182</v>
      </c>
      <c r="I422" s="5">
        <f>AVERAGEIFS('Data Combined - all-runs'!$I:$I, 'Data Combined - all-runs'!$A:$A, A422,'Data Combined - all-runs'!$B:$B, B422,'Data Combined - all-runs'!$C:$C, C422, 'Data Combined - all-runs'!$D:$D, D422, 'Data Combined - all-runs'!$E:$E, E422)</f>
        <v>0</v>
      </c>
      <c r="J422" s="5">
        <f>AVERAGEIFS('Data Combined - all-runs'!$J:$J, 'Data Combined - all-runs'!$A:$A, A422,'Data Combined - all-runs'!$B:$B, B422,'Data Combined - all-runs'!$C:$C, C422, 'Data Combined - all-runs'!$D:$D, D422, 'Data Combined - all-runs'!$E:$E, E422)</f>
        <v>0</v>
      </c>
      <c r="K422" s="5">
        <f>AVERAGEIFS('Data Combined - all-runs'!$K:$K, 'Data Combined - all-runs'!$A:$A, A422,'Data Combined - all-runs'!$B:$B, B422,'Data Combined - all-runs'!$C:$C, C422, 'Data Combined - all-runs'!$D:$D, D422, 'Data Combined - all-runs'!$E:$E, E422)</f>
        <v>0.09252336449</v>
      </c>
      <c r="L422" s="5">
        <f>AVERAGEIFS('Data Combined - all-runs'!$L:$L, 'Data Combined - all-runs'!$A:$A, A422,'Data Combined - all-runs'!$B:$B, B422,'Data Combined - all-runs'!$C:$C, C422, 'Data Combined - all-runs'!$D:$D, D422, 'Data Combined - all-runs'!$E:$E, E422)</f>
        <v>701.3938735</v>
      </c>
      <c r="M422" s="5">
        <f>AVERAGEIFS('Data Combined - all-runs'!$M:$M, 'Data Combined - all-runs'!$A:$A, A422,'Data Combined - all-runs'!$B:$B, B422,'Data Combined - all-runs'!$C:$C, C422, 'Data Combined - all-runs'!$D:$D, D422, 'Data Combined - all-runs'!$E:$E, E422)</f>
        <v>35</v>
      </c>
      <c r="N422" s="5">
        <f>AVERAGEIFS('Data Combined - all-runs'!$N:$N, 'Data Combined - all-runs'!$A:$A, A422,'Data Combined - all-runs'!$B:$B, B422,'Data Combined - all-runs'!$C:$C, C422, 'Data Combined - all-runs'!$D:$D, D422, 'Data Combined - all-runs'!$E:$E, E422)</f>
        <v>1</v>
      </c>
      <c r="O422" s="5">
        <f>AVERAGEIFS('Data Combined - all-runs'!$O:$O, 'Data Combined - all-runs'!$A:$A, A422,'Data Combined - all-runs'!$B:$B, B422,'Data Combined - all-runs'!$C:$C, C422, 'Data Combined - all-runs'!$D:$D, D422, 'Data Combined - all-runs'!$E:$E, E422)</f>
        <v>535</v>
      </c>
      <c r="P422" s="5">
        <f>AVERAGEIFS('Data Combined - all-runs'!$P:$P, 'Data Combined - all-runs'!$A:$A, A422,'Data Combined - all-runs'!$B:$B, B422,'Data Combined - all-runs'!$C:$C, C422, 'Data Combined - all-runs'!$D:$D, D422, 'Data Combined - all-runs'!$E:$E, E422)</f>
        <v>1.869158879</v>
      </c>
      <c r="Q422" s="5">
        <f>AVERAGEIFS('Data Combined - all-runs'!$Q:$Q, 'Data Combined - all-runs'!$A:$A, A422,'Data Combined - all-runs'!$B:$B, B422,'Data Combined - all-runs'!$C:$C, C422, 'Data Combined - all-runs'!$D:$D, D422, 'Data Combined - all-runs'!$E:$E, E422)</f>
        <v>340.1869159</v>
      </c>
      <c r="R422" s="5">
        <f>AVERAGEIFS('Data Combined - all-runs'!$R:$R, 'Data Combined - all-runs'!$A:$A, A422,'Data Combined - all-runs'!$B:$B, B422,'Data Combined - all-runs'!$C:$C, C422, 'Data Combined - all-runs'!$D:$D, D422, 'Data Combined - all-runs'!$E:$E, E422)</f>
        <v>182</v>
      </c>
      <c r="S422" s="5">
        <f>AVERAGEIFS('Data Combined - all-runs'!$S:$S, 'Data Combined - all-runs'!$A:$A, A422,'Data Combined - all-runs'!$B:$B, B422,'Data Combined - all-runs'!$C:$C, C422, 'Data Combined - all-runs'!$D:$D, D422, 'Data Combined - all-runs'!$E:$E, E422)</f>
        <v>0</v>
      </c>
      <c r="T422" s="5">
        <f>AVERAGEIFS('Data Combined - all-runs'!$T:$T, 'Data Combined - all-runs'!$A:$A, A422,'Data Combined - all-runs'!$B:$B, B422,'Data Combined - all-runs'!$C:$C, C422, 'Data Combined - all-runs'!$D:$D, D422, 'Data Combined - all-runs'!$E:$E, E422)</f>
        <v>0</v>
      </c>
      <c r="U422" s="5" t="b">
        <f t="shared" si="1"/>
        <v>1</v>
      </c>
      <c r="V422" s="5" t="b">
        <f t="shared" si="2"/>
        <v>1</v>
      </c>
      <c r="W422" s="5" t="b">
        <f t="shared" si="3"/>
        <v>0</v>
      </c>
    </row>
    <row r="423">
      <c r="A423" s="2" t="s">
        <v>33</v>
      </c>
      <c r="B423" s="2" t="s">
        <v>114</v>
      </c>
      <c r="C423" s="2" t="s">
        <v>35</v>
      </c>
      <c r="D423" s="2" t="s">
        <v>102</v>
      </c>
      <c r="E423" s="2" t="s">
        <v>39</v>
      </c>
      <c r="H423" s="5">
        <f>AVERAGEIFS('Data Combined - all-runs'!$H:$H, 'Data Combined - all-runs'!$A:$A, A423,'Data Combined - all-runs'!$B:$B, B423,'Data Combined - all-runs'!$C:$C, C423, 'Data Combined - all-runs'!$D:$D, D423, 'Data Combined - all-runs'!$E:$E, E423)</f>
        <v>148</v>
      </c>
      <c r="I423" s="5">
        <f>AVERAGEIFS('Data Combined - all-runs'!$I:$I, 'Data Combined - all-runs'!$A:$A, A423,'Data Combined - all-runs'!$B:$B, B423,'Data Combined - all-runs'!$C:$C, C423, 'Data Combined - all-runs'!$D:$D, D423, 'Data Combined - all-runs'!$E:$E, E423)</f>
        <v>0</v>
      </c>
      <c r="J423" s="5">
        <f>AVERAGEIFS('Data Combined - all-runs'!$J:$J, 'Data Combined - all-runs'!$A:$A, A423,'Data Combined - all-runs'!$B:$B, B423,'Data Combined - all-runs'!$C:$C, C423, 'Data Combined - all-runs'!$D:$D, D423, 'Data Combined - all-runs'!$E:$E, E423)</f>
        <v>0</v>
      </c>
      <c r="K423" s="5">
        <f>AVERAGEIFS('Data Combined - all-runs'!$K:$K, 'Data Combined - all-runs'!$A:$A, A423,'Data Combined - all-runs'!$B:$B, B423,'Data Combined - all-runs'!$C:$C, C423, 'Data Combined - all-runs'!$D:$D, D423, 'Data Combined - all-runs'!$E:$E, E423)</f>
        <v>0.116</v>
      </c>
      <c r="L423" s="5">
        <f>AVERAGEIFS('Data Combined - all-runs'!$L:$L, 'Data Combined - all-runs'!$A:$A, A423,'Data Combined - all-runs'!$B:$B, B423,'Data Combined - all-runs'!$C:$C, C423, 'Data Combined - all-runs'!$D:$D, D423, 'Data Combined - all-runs'!$E:$E, E423)</f>
        <v>705.9923203</v>
      </c>
      <c r="M423" s="5" t="str">
        <f>AVERAGEIFS('Data Combined - all-runs'!$M:$M, 'Data Combined - all-runs'!$A:$A, A423,'Data Combined - all-runs'!$B:$B, B423,'Data Combined - all-runs'!$C:$C, C423, 'Data Combined - all-runs'!$D:$D, D423, 'Data Combined - all-runs'!$E:$E, E423)</f>
        <v>#DIV/0!</v>
      </c>
      <c r="N423" s="5">
        <f>AVERAGEIFS('Data Combined - all-runs'!$N:$N, 'Data Combined - all-runs'!$A:$A, A423,'Data Combined - all-runs'!$B:$B, B423,'Data Combined - all-runs'!$C:$C, C423, 'Data Combined - all-runs'!$D:$D, D423, 'Data Combined - all-runs'!$E:$E, E423)</f>
        <v>0</v>
      </c>
      <c r="O423" s="5">
        <f>AVERAGEIFS('Data Combined - all-runs'!$O:$O, 'Data Combined - all-runs'!$A:$A, A423,'Data Combined - all-runs'!$B:$B, B423,'Data Combined - all-runs'!$C:$C, C423, 'Data Combined - all-runs'!$D:$D, D423, 'Data Combined - all-runs'!$E:$E, E423)</f>
        <v>500</v>
      </c>
      <c r="P423" s="5">
        <f>AVERAGEIFS('Data Combined - all-runs'!$P:$P, 'Data Combined - all-runs'!$A:$A, A423,'Data Combined - all-runs'!$B:$B, B423,'Data Combined - all-runs'!$C:$C, C423, 'Data Combined - all-runs'!$D:$D, D423, 'Data Combined - all-runs'!$E:$E, E423)</f>
        <v>0</v>
      </c>
      <c r="Q423" s="5">
        <f>AVERAGEIFS('Data Combined - all-runs'!$Q:$Q, 'Data Combined - all-runs'!$A:$A, A423,'Data Combined - all-runs'!$B:$B, B423,'Data Combined - all-runs'!$C:$C, C423, 'Data Combined - all-runs'!$D:$D, D423, 'Data Combined - all-runs'!$E:$E, E423)</f>
        <v>296</v>
      </c>
      <c r="R423" s="5" t="str">
        <f>AVERAGEIFS('Data Combined - all-runs'!$R:$R, 'Data Combined - all-runs'!$A:$A, A423,'Data Combined - all-runs'!$B:$B, B423,'Data Combined - all-runs'!$C:$C, C423, 'Data Combined - all-runs'!$D:$D, D423, 'Data Combined - all-runs'!$E:$E, E423)</f>
        <v>#DIV/0!</v>
      </c>
      <c r="S423" s="5">
        <f>AVERAGEIFS('Data Combined - all-runs'!$S:$S, 'Data Combined - all-runs'!$A:$A, A423,'Data Combined - all-runs'!$B:$B, B423,'Data Combined - all-runs'!$C:$C, C423, 'Data Combined - all-runs'!$D:$D, D423, 'Data Combined - all-runs'!$E:$E, E423)</f>
        <v>0</v>
      </c>
      <c r="T423" s="5">
        <f>AVERAGEIFS('Data Combined - all-runs'!$T:$T, 'Data Combined - all-runs'!$A:$A, A423,'Data Combined - all-runs'!$B:$B, B423,'Data Combined - all-runs'!$C:$C, C423, 'Data Combined - all-runs'!$D:$D, D423, 'Data Combined - all-runs'!$E:$E, E423)</f>
        <v>0</v>
      </c>
      <c r="U423" s="5" t="b">
        <f t="shared" si="1"/>
        <v>1</v>
      </c>
      <c r="V423" s="5" t="b">
        <f t="shared" si="2"/>
        <v>1</v>
      </c>
      <c r="W423" s="5" t="b">
        <f t="shared" si="3"/>
        <v>0</v>
      </c>
    </row>
    <row r="424">
      <c r="A424" s="2" t="s">
        <v>33</v>
      </c>
      <c r="B424" s="2" t="s">
        <v>114</v>
      </c>
      <c r="C424" s="2" t="s">
        <v>35</v>
      </c>
      <c r="D424" s="2" t="s">
        <v>102</v>
      </c>
      <c r="E424" s="2" t="s">
        <v>43</v>
      </c>
      <c r="H424" s="5">
        <f>AVERAGEIFS('Data Combined - all-runs'!$H:$H, 'Data Combined - all-runs'!$A:$A, A424,'Data Combined - all-runs'!$B:$B, B424,'Data Combined - all-runs'!$C:$C, C424, 'Data Combined - all-runs'!$D:$D, D424, 'Data Combined - all-runs'!$E:$E, E424)</f>
        <v>1007</v>
      </c>
      <c r="I424" s="5">
        <f>AVERAGEIFS('Data Combined - all-runs'!$I:$I, 'Data Combined - all-runs'!$A:$A, A424,'Data Combined - all-runs'!$B:$B, B424,'Data Combined - all-runs'!$C:$C, C424, 'Data Combined - all-runs'!$D:$D, D424, 'Data Combined - all-runs'!$E:$E, E424)</f>
        <v>0</v>
      </c>
      <c r="J424" s="5">
        <f>AVERAGEIFS('Data Combined - all-runs'!$J:$J, 'Data Combined - all-runs'!$A:$A, A424,'Data Combined - all-runs'!$B:$B, B424,'Data Combined - all-runs'!$C:$C, C424, 'Data Combined - all-runs'!$D:$D, D424, 'Data Combined - all-runs'!$E:$E, E424)</f>
        <v>0</v>
      </c>
      <c r="K424" s="5">
        <f>AVERAGEIFS('Data Combined - all-runs'!$K:$K, 'Data Combined - all-runs'!$A:$A, A424,'Data Combined - all-runs'!$B:$B, B424,'Data Combined - all-runs'!$C:$C, C424, 'Data Combined - all-runs'!$D:$D, D424, 'Data Combined - all-runs'!$E:$E, E424)</f>
        <v>0.08612975392</v>
      </c>
      <c r="L424" s="5">
        <f>AVERAGEIFS('Data Combined - all-runs'!$L:$L, 'Data Combined - all-runs'!$A:$A, A424,'Data Combined - all-runs'!$B:$B, B424,'Data Combined - all-runs'!$C:$C, C424, 'Data Combined - all-runs'!$D:$D, D424, 'Data Combined - all-runs'!$E:$E, E424)</f>
        <v>5443.630611</v>
      </c>
      <c r="M424" s="5">
        <f>AVERAGEIFS('Data Combined - all-runs'!$M:$M, 'Data Combined - all-runs'!$A:$A, A424,'Data Combined - all-runs'!$B:$B, B424,'Data Combined - all-runs'!$C:$C, C424, 'Data Combined - all-runs'!$D:$D, D424, 'Data Combined - all-runs'!$E:$E, E424)</f>
        <v>41</v>
      </c>
      <c r="N424" s="5">
        <f>AVERAGEIFS('Data Combined - all-runs'!$N:$N, 'Data Combined - all-runs'!$A:$A, A424,'Data Combined - all-runs'!$B:$B, B424,'Data Combined - all-runs'!$C:$C, C424, 'Data Combined - all-runs'!$D:$D, D424, 'Data Combined - all-runs'!$E:$E, E424)</f>
        <v>10</v>
      </c>
      <c r="O424" s="5">
        <f>AVERAGEIFS('Data Combined - all-runs'!$O:$O, 'Data Combined - all-runs'!$A:$A, A424,'Data Combined - all-runs'!$B:$B, B424,'Data Combined - all-runs'!$C:$C, C424, 'Data Combined - all-runs'!$D:$D, D424, 'Data Combined - all-runs'!$E:$E, E424)</f>
        <v>1192</v>
      </c>
      <c r="P424" s="5">
        <f>AVERAGEIFS('Data Combined - all-runs'!$P:$P, 'Data Combined - all-runs'!$A:$A, A424,'Data Combined - all-runs'!$B:$B, B424,'Data Combined - all-runs'!$C:$C, C424, 'Data Combined - all-runs'!$D:$D, D424, 'Data Combined - all-runs'!$E:$E, E424)</f>
        <v>8.389261745</v>
      </c>
      <c r="Q424" s="5">
        <f>AVERAGEIFS('Data Combined - all-runs'!$Q:$Q, 'Data Combined - all-runs'!$A:$A, A424,'Data Combined - all-runs'!$B:$B, B424,'Data Combined - all-runs'!$C:$C, C424, 'Data Combined - all-runs'!$D:$D, D424, 'Data Combined - all-runs'!$E:$E, E424)</f>
        <v>844.7986577</v>
      </c>
      <c r="R424" s="5">
        <f>AVERAGEIFS('Data Combined - all-runs'!$R:$R, 'Data Combined - all-runs'!$A:$A, A424,'Data Combined - all-runs'!$B:$B, B424,'Data Combined - all-runs'!$C:$C, C424, 'Data Combined - all-runs'!$D:$D, D424, 'Data Combined - all-runs'!$E:$E, E424)</f>
        <v>100.7</v>
      </c>
      <c r="S424" s="5">
        <f>AVERAGEIFS('Data Combined - all-runs'!$S:$S, 'Data Combined - all-runs'!$A:$A, A424,'Data Combined - all-runs'!$B:$B, B424,'Data Combined - all-runs'!$C:$C, C424, 'Data Combined - all-runs'!$D:$D, D424, 'Data Combined - all-runs'!$E:$E, E424)</f>
        <v>0</v>
      </c>
      <c r="T424" s="5">
        <f>AVERAGEIFS('Data Combined - all-runs'!$T:$T, 'Data Combined - all-runs'!$A:$A, A424,'Data Combined - all-runs'!$B:$B, B424,'Data Combined - all-runs'!$C:$C, C424, 'Data Combined - all-runs'!$D:$D, D424, 'Data Combined - all-runs'!$E:$E, E424)</f>
        <v>0</v>
      </c>
      <c r="U424" s="5" t="b">
        <f t="shared" si="1"/>
        <v>1</v>
      </c>
      <c r="V424" s="5" t="b">
        <f t="shared" si="2"/>
        <v>1</v>
      </c>
      <c r="W424" s="5" t="b">
        <f t="shared" si="3"/>
        <v>0</v>
      </c>
    </row>
    <row r="425">
      <c r="A425" s="2" t="s">
        <v>33</v>
      </c>
      <c r="B425" s="2" t="s">
        <v>114</v>
      </c>
      <c r="C425" s="2" t="s">
        <v>35</v>
      </c>
      <c r="D425" s="2" t="s">
        <v>102</v>
      </c>
      <c r="E425" s="2" t="s">
        <v>34</v>
      </c>
      <c r="H425" s="5">
        <f>AVERAGEIFS('Data Combined - all-runs'!$H:$H, 'Data Combined - all-runs'!$A:$A, A425,'Data Combined - all-runs'!$B:$B, B425,'Data Combined - all-runs'!$C:$C, C425, 'Data Combined - all-runs'!$D:$D, D425, 'Data Combined - all-runs'!$E:$E, E425)</f>
        <v>1047</v>
      </c>
      <c r="I425" s="5">
        <f>AVERAGEIFS('Data Combined - all-runs'!$I:$I, 'Data Combined - all-runs'!$A:$A, A425,'Data Combined - all-runs'!$B:$B, B425,'Data Combined - all-runs'!$C:$C, C425, 'Data Combined - all-runs'!$D:$D, D425, 'Data Combined - all-runs'!$E:$E, E425)</f>
        <v>0</v>
      </c>
      <c r="J425" s="5">
        <f>AVERAGEIFS('Data Combined - all-runs'!$J:$J, 'Data Combined - all-runs'!$A:$A, A425,'Data Combined - all-runs'!$B:$B, B425,'Data Combined - all-runs'!$C:$C, C425, 'Data Combined - all-runs'!$D:$D, D425, 'Data Combined - all-runs'!$E:$E, E425)</f>
        <v>0</v>
      </c>
      <c r="K425" s="5">
        <f>AVERAGEIFS('Data Combined - all-runs'!$K:$K, 'Data Combined - all-runs'!$A:$A, A425,'Data Combined - all-runs'!$B:$B, B425,'Data Combined - all-runs'!$C:$C, C425, 'Data Combined - all-runs'!$D:$D, D425, 'Data Combined - all-runs'!$E:$E, E425)</f>
        <v>0.1456681351</v>
      </c>
      <c r="L425" s="5">
        <f>AVERAGEIFS('Data Combined - all-runs'!$L:$L, 'Data Combined - all-runs'!$A:$A, A425,'Data Combined - all-runs'!$B:$B, B425,'Data Combined - all-runs'!$C:$C, C425, 'Data Combined - all-runs'!$D:$D, D425, 'Data Combined - all-runs'!$E:$E, E425)</f>
        <v>5241.848231</v>
      </c>
      <c r="M425" s="5">
        <f>AVERAGEIFS('Data Combined - all-runs'!$M:$M, 'Data Combined - all-runs'!$A:$A, A425,'Data Combined - all-runs'!$B:$B, B425,'Data Combined - all-runs'!$C:$C, C425, 'Data Combined - all-runs'!$D:$D, D425, 'Data Combined - all-runs'!$E:$E, E425)</f>
        <v>24</v>
      </c>
      <c r="N425" s="5">
        <f>AVERAGEIFS('Data Combined - all-runs'!$N:$N, 'Data Combined - all-runs'!$A:$A, A425,'Data Combined - all-runs'!$B:$B, B425,'Data Combined - all-runs'!$C:$C, C425, 'Data Combined - all-runs'!$D:$D, D425, 'Data Combined - all-runs'!$E:$E, E425)</f>
        <v>5</v>
      </c>
      <c r="O425" s="5">
        <f>AVERAGEIFS('Data Combined - all-runs'!$O:$O, 'Data Combined - all-runs'!$A:$A, A425,'Data Combined - all-runs'!$B:$B, B425,'Data Combined - all-runs'!$C:$C, C425, 'Data Combined - all-runs'!$D:$D, D425, 'Data Combined - all-runs'!$E:$E, E425)</f>
        <v>1135</v>
      </c>
      <c r="P425" s="5">
        <f>AVERAGEIFS('Data Combined - all-runs'!$P:$P, 'Data Combined - all-runs'!$A:$A, A425,'Data Combined - all-runs'!$B:$B, B425,'Data Combined - all-runs'!$C:$C, C425, 'Data Combined - all-runs'!$D:$D, D425, 'Data Combined - all-runs'!$E:$E, E425)</f>
        <v>4.405286344</v>
      </c>
      <c r="Q425" s="5">
        <f>AVERAGEIFS('Data Combined - all-runs'!$Q:$Q, 'Data Combined - all-runs'!$A:$A, A425,'Data Combined - all-runs'!$B:$B, B425,'Data Combined - all-runs'!$C:$C, C425, 'Data Combined - all-runs'!$D:$D, D425, 'Data Combined - all-runs'!$E:$E, E425)</f>
        <v>922.4669604</v>
      </c>
      <c r="R425" s="5">
        <f>AVERAGEIFS('Data Combined - all-runs'!$R:$R, 'Data Combined - all-runs'!$A:$A, A425,'Data Combined - all-runs'!$B:$B, B425,'Data Combined - all-runs'!$C:$C, C425, 'Data Combined - all-runs'!$D:$D, D425, 'Data Combined - all-runs'!$E:$E, E425)</f>
        <v>209.4</v>
      </c>
      <c r="S425" s="5">
        <f>AVERAGEIFS('Data Combined - all-runs'!$S:$S, 'Data Combined - all-runs'!$A:$A, A425,'Data Combined - all-runs'!$B:$B, B425,'Data Combined - all-runs'!$C:$C, C425, 'Data Combined - all-runs'!$D:$D, D425, 'Data Combined - all-runs'!$E:$E, E425)</f>
        <v>0</v>
      </c>
      <c r="T425" s="5">
        <f>AVERAGEIFS('Data Combined - all-runs'!$T:$T, 'Data Combined - all-runs'!$A:$A, A425,'Data Combined - all-runs'!$B:$B, B425,'Data Combined - all-runs'!$C:$C, C425, 'Data Combined - all-runs'!$D:$D, D425, 'Data Combined - all-runs'!$E:$E, E425)</f>
        <v>0</v>
      </c>
      <c r="U425" s="5" t="b">
        <f t="shared" si="1"/>
        <v>1</v>
      </c>
      <c r="V425" s="5" t="b">
        <f t="shared" si="2"/>
        <v>1</v>
      </c>
      <c r="W425" s="5" t="b">
        <f t="shared" si="3"/>
        <v>0</v>
      </c>
    </row>
    <row r="426">
      <c r="A426" s="2" t="s">
        <v>33</v>
      </c>
      <c r="B426" s="2" t="s">
        <v>114</v>
      </c>
      <c r="C426" s="2" t="s">
        <v>35</v>
      </c>
      <c r="D426" s="2" t="s">
        <v>102</v>
      </c>
      <c r="E426" s="2" t="s">
        <v>47</v>
      </c>
      <c r="H426" s="5">
        <f>AVERAGEIFS('Data Combined - all-runs'!$H:$H, 'Data Combined - all-runs'!$A:$A, A426,'Data Combined - all-runs'!$B:$B, B426,'Data Combined - all-runs'!$C:$C, C426, 'Data Combined - all-runs'!$D:$D, D426, 'Data Combined - all-runs'!$E:$E, E426)</f>
        <v>1349</v>
      </c>
      <c r="I426" s="5">
        <f>AVERAGEIFS('Data Combined - all-runs'!$I:$I, 'Data Combined - all-runs'!$A:$A, A426,'Data Combined - all-runs'!$B:$B, B426,'Data Combined - all-runs'!$C:$C, C426, 'Data Combined - all-runs'!$D:$D, D426, 'Data Combined - all-runs'!$E:$E, E426)</f>
        <v>0</v>
      </c>
      <c r="J426" s="5">
        <f>AVERAGEIFS('Data Combined - all-runs'!$J:$J, 'Data Combined - all-runs'!$A:$A, A426,'Data Combined - all-runs'!$B:$B, B426,'Data Combined - all-runs'!$C:$C, C426, 'Data Combined - all-runs'!$D:$D, D426, 'Data Combined - all-runs'!$E:$E, E426)</f>
        <v>0</v>
      </c>
      <c r="K426" s="5">
        <f>AVERAGEIFS('Data Combined - all-runs'!$K:$K, 'Data Combined - all-runs'!$A:$A, A426,'Data Combined - all-runs'!$B:$B, B426,'Data Combined - all-runs'!$C:$C, C426, 'Data Combined - all-runs'!$D:$D, D426, 'Data Combined - all-runs'!$E:$E, E426)</f>
        <v>0.1107580038</v>
      </c>
      <c r="L426" s="5">
        <f>AVERAGEIFS('Data Combined - all-runs'!$L:$L, 'Data Combined - all-runs'!$A:$A, A426,'Data Combined - all-runs'!$B:$B, B426,'Data Combined - all-runs'!$C:$C, C426, 'Data Combined - all-runs'!$D:$D, D426, 'Data Combined - all-runs'!$E:$E, E426)</f>
        <v>8333.657583</v>
      </c>
      <c r="M426" s="5">
        <f>AVERAGEIFS('Data Combined - all-runs'!$M:$M, 'Data Combined - all-runs'!$A:$A, A426,'Data Combined - all-runs'!$B:$B, B426,'Data Combined - all-runs'!$C:$C, C426, 'Data Combined - all-runs'!$D:$D, D426, 'Data Combined - all-runs'!$E:$E, E426)</f>
        <v>131</v>
      </c>
      <c r="N426" s="5">
        <f>AVERAGEIFS('Data Combined - all-runs'!$N:$N, 'Data Combined - all-runs'!$A:$A, A426,'Data Combined - all-runs'!$B:$B, B426,'Data Combined - all-runs'!$C:$C, C426, 'Data Combined - all-runs'!$D:$D, D426, 'Data Combined - all-runs'!$E:$E, E426)</f>
        <v>5</v>
      </c>
      <c r="O426" s="5">
        <f>AVERAGEIFS('Data Combined - all-runs'!$O:$O, 'Data Combined - all-runs'!$A:$A, A426,'Data Combined - all-runs'!$B:$B, B426,'Data Combined - all-runs'!$C:$C, C426, 'Data Combined - all-runs'!$D:$D, D426, 'Data Combined - all-runs'!$E:$E, E426)</f>
        <v>1062</v>
      </c>
      <c r="P426" s="5">
        <f>AVERAGEIFS('Data Combined - all-runs'!$P:$P, 'Data Combined - all-runs'!$A:$A, A426,'Data Combined - all-runs'!$B:$B, B426,'Data Combined - all-runs'!$C:$C, C426, 'Data Combined - all-runs'!$D:$D, D426, 'Data Combined - all-runs'!$E:$E, E426)</f>
        <v>4.708097928</v>
      </c>
      <c r="Q426" s="5">
        <f>AVERAGEIFS('Data Combined - all-runs'!$Q:$Q, 'Data Combined - all-runs'!$A:$A, A426,'Data Combined - all-runs'!$B:$B, B426,'Data Combined - all-runs'!$C:$C, C426, 'Data Combined - all-runs'!$D:$D, D426, 'Data Combined - all-runs'!$E:$E, E426)</f>
        <v>1270.244821</v>
      </c>
      <c r="R426" s="5">
        <f>AVERAGEIFS('Data Combined - all-runs'!$R:$R, 'Data Combined - all-runs'!$A:$A, A426,'Data Combined - all-runs'!$B:$B, B426,'Data Combined - all-runs'!$C:$C, C426, 'Data Combined - all-runs'!$D:$D, D426, 'Data Combined - all-runs'!$E:$E, E426)</f>
        <v>269.8</v>
      </c>
      <c r="S426" s="5">
        <f>AVERAGEIFS('Data Combined - all-runs'!$S:$S, 'Data Combined - all-runs'!$A:$A, A426,'Data Combined - all-runs'!$B:$B, B426,'Data Combined - all-runs'!$C:$C, C426, 'Data Combined - all-runs'!$D:$D, D426, 'Data Combined - all-runs'!$E:$E, E426)</f>
        <v>0</v>
      </c>
      <c r="T426" s="5">
        <f>AVERAGEIFS('Data Combined - all-runs'!$T:$T, 'Data Combined - all-runs'!$A:$A, A426,'Data Combined - all-runs'!$B:$B, B426,'Data Combined - all-runs'!$C:$C, C426, 'Data Combined - all-runs'!$D:$D, D426, 'Data Combined - all-runs'!$E:$E, E426)</f>
        <v>0</v>
      </c>
      <c r="U426" s="5" t="b">
        <f t="shared" si="1"/>
        <v>1</v>
      </c>
      <c r="V426" s="5" t="b">
        <f t="shared" si="2"/>
        <v>1</v>
      </c>
      <c r="W426" s="5" t="b">
        <f t="shared" si="3"/>
        <v>0</v>
      </c>
    </row>
    <row r="427">
      <c r="A427" s="2" t="s">
        <v>33</v>
      </c>
      <c r="B427" s="2" t="s">
        <v>114</v>
      </c>
      <c r="C427" s="2" t="s">
        <v>35</v>
      </c>
      <c r="D427" s="2" t="s">
        <v>102</v>
      </c>
      <c r="E427" s="2" t="s">
        <v>51</v>
      </c>
      <c r="H427" s="5">
        <f>AVERAGEIFS('Data Combined - all-runs'!$H:$H, 'Data Combined - all-runs'!$A:$A, A427,'Data Combined - all-runs'!$B:$B, B427,'Data Combined - all-runs'!$C:$C, C427, 'Data Combined - all-runs'!$D:$D, D427, 'Data Combined - all-runs'!$E:$E, E427)</f>
        <v>682</v>
      </c>
      <c r="I427" s="5">
        <f>AVERAGEIFS('Data Combined - all-runs'!$I:$I, 'Data Combined - all-runs'!$A:$A, A427,'Data Combined - all-runs'!$B:$B, B427,'Data Combined - all-runs'!$C:$C, C427, 'Data Combined - all-runs'!$D:$D, D427, 'Data Combined - all-runs'!$E:$E, E427)</f>
        <v>0</v>
      </c>
      <c r="J427" s="5">
        <f>AVERAGEIFS('Data Combined - all-runs'!$J:$J, 'Data Combined - all-runs'!$A:$A, A427,'Data Combined - all-runs'!$B:$B, B427,'Data Combined - all-runs'!$C:$C, C427, 'Data Combined - all-runs'!$D:$D, D427, 'Data Combined - all-runs'!$E:$E, E427)</f>
        <v>0</v>
      </c>
      <c r="K427" s="5">
        <f>AVERAGEIFS('Data Combined - all-runs'!$K:$K, 'Data Combined - all-runs'!$A:$A, A427,'Data Combined - all-runs'!$B:$B, B427,'Data Combined - all-runs'!$C:$C, C427, 'Data Combined - all-runs'!$D:$D, D427, 'Data Combined - all-runs'!$E:$E, E427)</f>
        <v>0.0656175772</v>
      </c>
      <c r="L427" s="5">
        <f>AVERAGEIFS('Data Combined - all-runs'!$L:$L, 'Data Combined - all-runs'!$A:$A, A427,'Data Combined - all-runs'!$B:$B, B427,'Data Combined - all-runs'!$C:$C, C427, 'Data Combined - all-runs'!$D:$D, D427, 'Data Combined - all-runs'!$E:$E, E427)</f>
        <v>4327.655486</v>
      </c>
      <c r="M427" s="5">
        <f>AVERAGEIFS('Data Combined - all-runs'!$M:$M, 'Data Combined - all-runs'!$A:$A, A427,'Data Combined - all-runs'!$B:$B, B427,'Data Combined - all-runs'!$C:$C, C427, 'Data Combined - all-runs'!$D:$D, D427, 'Data Combined - all-runs'!$E:$E, E427)</f>
        <v>28</v>
      </c>
      <c r="N427" s="5">
        <f>AVERAGEIFS('Data Combined - all-runs'!$N:$N, 'Data Combined - all-runs'!$A:$A, A427,'Data Combined - all-runs'!$B:$B, B427,'Data Combined - all-runs'!$C:$C, C427, 'Data Combined - all-runs'!$D:$D, D427, 'Data Combined - all-runs'!$E:$E, E427)</f>
        <v>4</v>
      </c>
      <c r="O427" s="5">
        <f>AVERAGEIFS('Data Combined - all-runs'!$O:$O, 'Data Combined - all-runs'!$A:$A, A427,'Data Combined - all-runs'!$B:$B, B427,'Data Combined - all-runs'!$C:$C, C427, 'Data Combined - all-runs'!$D:$D, D427, 'Data Combined - all-runs'!$E:$E, E427)</f>
        <v>842</v>
      </c>
      <c r="P427" s="5">
        <f>AVERAGEIFS('Data Combined - all-runs'!$P:$P, 'Data Combined - all-runs'!$A:$A, A427,'Data Combined - all-runs'!$B:$B, B427,'Data Combined - all-runs'!$C:$C, C427, 'Data Combined - all-runs'!$D:$D, D427, 'Data Combined - all-runs'!$E:$E, E427)</f>
        <v>4.750593824</v>
      </c>
      <c r="Q427" s="5">
        <f>AVERAGEIFS('Data Combined - all-runs'!$Q:$Q, 'Data Combined - all-runs'!$A:$A, A427,'Data Combined - all-runs'!$B:$B, B427,'Data Combined - all-runs'!$C:$C, C427, 'Data Combined - all-runs'!$D:$D, D427, 'Data Combined - all-runs'!$E:$E, E427)</f>
        <v>809.976247</v>
      </c>
      <c r="R427" s="5">
        <f>AVERAGEIFS('Data Combined - all-runs'!$R:$R, 'Data Combined - all-runs'!$A:$A, A427,'Data Combined - all-runs'!$B:$B, B427,'Data Combined - all-runs'!$C:$C, C427, 'Data Combined - all-runs'!$D:$D, D427, 'Data Combined - all-runs'!$E:$E, E427)</f>
        <v>170.5</v>
      </c>
      <c r="S427" s="5">
        <f>AVERAGEIFS('Data Combined - all-runs'!$S:$S, 'Data Combined - all-runs'!$A:$A, A427,'Data Combined - all-runs'!$B:$B, B427,'Data Combined - all-runs'!$C:$C, C427, 'Data Combined - all-runs'!$D:$D, D427, 'Data Combined - all-runs'!$E:$E, E427)</f>
        <v>0</v>
      </c>
      <c r="T427" s="5">
        <f>AVERAGEIFS('Data Combined - all-runs'!$T:$T, 'Data Combined - all-runs'!$A:$A, A427,'Data Combined - all-runs'!$B:$B, B427,'Data Combined - all-runs'!$C:$C, C427, 'Data Combined - all-runs'!$D:$D, D427, 'Data Combined - all-runs'!$E:$E, E427)</f>
        <v>0</v>
      </c>
      <c r="U427" s="5" t="b">
        <f t="shared" si="1"/>
        <v>1</v>
      </c>
      <c r="V427" s="5" t="b">
        <f t="shared" si="2"/>
        <v>1</v>
      </c>
      <c r="W427" s="5" t="b">
        <f t="shared" si="3"/>
        <v>0</v>
      </c>
    </row>
    <row r="428">
      <c r="A428" s="2" t="s">
        <v>33</v>
      </c>
      <c r="B428" s="2" t="s">
        <v>114</v>
      </c>
      <c r="C428" s="2" t="s">
        <v>35</v>
      </c>
      <c r="D428" s="2" t="s">
        <v>118</v>
      </c>
      <c r="E428" s="2" t="s">
        <v>25</v>
      </c>
      <c r="H428" s="5">
        <f>AVERAGEIFS('Data Combined - all-runs'!$H:$H, 'Data Combined - all-runs'!$A:$A, A428,'Data Combined - all-runs'!$B:$B, B428,'Data Combined - all-runs'!$C:$C, C428, 'Data Combined - all-runs'!$D:$D, D428, 'Data Combined - all-runs'!$E:$E, E428)</f>
        <v>686</v>
      </c>
      <c r="I428" s="5">
        <f>AVERAGEIFS('Data Combined - all-runs'!$I:$I, 'Data Combined - all-runs'!$A:$A, A428,'Data Combined - all-runs'!$B:$B, B428,'Data Combined - all-runs'!$C:$C, C428, 'Data Combined - all-runs'!$D:$D, D428, 'Data Combined - all-runs'!$E:$E, E428)</f>
        <v>0</v>
      </c>
      <c r="J428" s="5">
        <f>AVERAGEIFS('Data Combined - all-runs'!$J:$J, 'Data Combined - all-runs'!$A:$A, A428,'Data Combined - all-runs'!$B:$B, B428,'Data Combined - all-runs'!$C:$C, C428, 'Data Combined - all-runs'!$D:$D, D428, 'Data Combined - all-runs'!$E:$E, E428)</f>
        <v>0</v>
      </c>
      <c r="K428" s="5">
        <f>AVERAGEIFS('Data Combined - all-runs'!$K:$K, 'Data Combined - all-runs'!$A:$A, A428,'Data Combined - all-runs'!$B:$B, B428,'Data Combined - all-runs'!$C:$C, C428, 'Data Combined - all-runs'!$D:$D, D428, 'Data Combined - all-runs'!$E:$E, E428)</f>
        <v>0.4604051565</v>
      </c>
      <c r="L428" s="5">
        <f>AVERAGEIFS('Data Combined - all-runs'!$L:$L, 'Data Combined - all-runs'!$A:$A, A428,'Data Combined - all-runs'!$B:$B, B428,'Data Combined - all-runs'!$C:$C, C428, 'Data Combined - all-runs'!$D:$D, D428, 'Data Combined - all-runs'!$E:$E, E428)</f>
        <v>1709.951887</v>
      </c>
      <c r="M428" s="5">
        <f>AVERAGEIFS('Data Combined - all-runs'!$M:$M, 'Data Combined - all-runs'!$A:$A, A428,'Data Combined - all-runs'!$B:$B, B428,'Data Combined - all-runs'!$C:$C, C428, 'Data Combined - all-runs'!$D:$D, D428, 'Data Combined - all-runs'!$E:$E, E428)</f>
        <v>43</v>
      </c>
      <c r="N428" s="5">
        <f>AVERAGEIFS('Data Combined - all-runs'!$N:$N, 'Data Combined - all-runs'!$A:$A, A428,'Data Combined - all-runs'!$B:$B, B428,'Data Combined - all-runs'!$C:$C, C428, 'Data Combined - all-runs'!$D:$D, D428, 'Data Combined - all-runs'!$E:$E, E428)</f>
        <v>1</v>
      </c>
      <c r="O428" s="5">
        <f>AVERAGEIFS('Data Combined - all-runs'!$O:$O, 'Data Combined - all-runs'!$A:$A, A428,'Data Combined - all-runs'!$B:$B, B428,'Data Combined - all-runs'!$C:$C, C428, 'Data Combined - all-runs'!$D:$D, D428, 'Data Combined - all-runs'!$E:$E, E428)</f>
        <v>543</v>
      </c>
      <c r="P428" s="5">
        <f>AVERAGEIFS('Data Combined - all-runs'!$P:$P, 'Data Combined - all-runs'!$A:$A, A428,'Data Combined - all-runs'!$B:$B, B428,'Data Combined - all-runs'!$C:$C, C428, 'Data Combined - all-runs'!$D:$D, D428, 'Data Combined - all-runs'!$E:$E, E428)</f>
        <v>1.841620626</v>
      </c>
      <c r="Q428" s="5">
        <f>AVERAGEIFS('Data Combined - all-runs'!$Q:$Q, 'Data Combined - all-runs'!$A:$A, A428,'Data Combined - all-runs'!$B:$B, B428,'Data Combined - all-runs'!$C:$C, C428, 'Data Combined - all-runs'!$D:$D, D428, 'Data Combined - all-runs'!$E:$E, E428)</f>
        <v>1263.35175</v>
      </c>
      <c r="R428" s="5">
        <f>AVERAGEIFS('Data Combined - all-runs'!$R:$R, 'Data Combined - all-runs'!$A:$A, A428,'Data Combined - all-runs'!$B:$B, B428,'Data Combined - all-runs'!$C:$C, C428, 'Data Combined - all-runs'!$D:$D, D428, 'Data Combined - all-runs'!$E:$E, E428)</f>
        <v>686</v>
      </c>
      <c r="S428" s="5">
        <f>AVERAGEIFS('Data Combined - all-runs'!$S:$S, 'Data Combined - all-runs'!$A:$A, A428,'Data Combined - all-runs'!$B:$B, B428,'Data Combined - all-runs'!$C:$C, C428, 'Data Combined - all-runs'!$D:$D, D428, 'Data Combined - all-runs'!$E:$E, E428)</f>
        <v>0</v>
      </c>
      <c r="T428" s="5">
        <f>AVERAGEIFS('Data Combined - all-runs'!$T:$T, 'Data Combined - all-runs'!$A:$A, A428,'Data Combined - all-runs'!$B:$B, B428,'Data Combined - all-runs'!$C:$C, C428, 'Data Combined - all-runs'!$D:$D, D428, 'Data Combined - all-runs'!$E:$E, E428)</f>
        <v>0</v>
      </c>
      <c r="U428" s="5" t="b">
        <f t="shared" si="1"/>
        <v>1</v>
      </c>
      <c r="V428" s="5" t="b">
        <f t="shared" si="2"/>
        <v>1</v>
      </c>
      <c r="W428" s="5" t="b">
        <f t="shared" si="3"/>
        <v>0</v>
      </c>
    </row>
    <row r="429">
      <c r="A429" s="2" t="s">
        <v>33</v>
      </c>
      <c r="B429" s="2" t="s">
        <v>114</v>
      </c>
      <c r="C429" s="2" t="s">
        <v>35</v>
      </c>
      <c r="D429" s="2" t="s">
        <v>118</v>
      </c>
      <c r="E429" s="2" t="s">
        <v>39</v>
      </c>
      <c r="H429" s="5">
        <f>AVERAGEIFS('Data Combined - all-runs'!$H:$H, 'Data Combined - all-runs'!$A:$A, A429,'Data Combined - all-runs'!$B:$B, B429,'Data Combined - all-runs'!$C:$C, C429, 'Data Combined - all-runs'!$D:$D, D429, 'Data Combined - all-runs'!$E:$E, E429)</f>
        <v>1069</v>
      </c>
      <c r="I429" s="5">
        <f>AVERAGEIFS('Data Combined - all-runs'!$I:$I, 'Data Combined - all-runs'!$A:$A, A429,'Data Combined - all-runs'!$B:$B, B429,'Data Combined - all-runs'!$C:$C, C429, 'Data Combined - all-runs'!$D:$D, D429, 'Data Combined - all-runs'!$E:$E, E429)</f>
        <v>0</v>
      </c>
      <c r="J429" s="5">
        <f>AVERAGEIFS('Data Combined - all-runs'!$J:$J, 'Data Combined - all-runs'!$A:$A, A429,'Data Combined - all-runs'!$B:$B, B429,'Data Combined - all-runs'!$C:$C, C429, 'Data Combined - all-runs'!$D:$D, D429, 'Data Combined - all-runs'!$E:$E, E429)</f>
        <v>0</v>
      </c>
      <c r="K429" s="5">
        <f>AVERAGEIFS('Data Combined - all-runs'!$K:$K, 'Data Combined - all-runs'!$A:$A, A429,'Data Combined - all-runs'!$B:$B, B429,'Data Combined - all-runs'!$C:$C, C429, 'Data Combined - all-runs'!$D:$D, D429, 'Data Combined - all-runs'!$E:$E, E429)</f>
        <v>0.4755</v>
      </c>
      <c r="L429" s="5">
        <f>AVERAGEIFS('Data Combined - all-runs'!$L:$L, 'Data Combined - all-runs'!$A:$A, A429,'Data Combined - all-runs'!$B:$B, B429,'Data Combined - all-runs'!$C:$C, C429, 'Data Combined - all-runs'!$D:$D, D429, 'Data Combined - all-runs'!$E:$E, E429)</f>
        <v>2996.737452</v>
      </c>
      <c r="M429" s="5" t="str">
        <f>AVERAGEIFS('Data Combined - all-runs'!$M:$M, 'Data Combined - all-runs'!$A:$A, A429,'Data Combined - all-runs'!$B:$B, B429,'Data Combined - all-runs'!$C:$C, C429, 'Data Combined - all-runs'!$D:$D, D429, 'Data Combined - all-runs'!$E:$E, E429)</f>
        <v>#DIV/0!</v>
      </c>
      <c r="N429" s="5">
        <f>AVERAGEIFS('Data Combined - all-runs'!$N:$N, 'Data Combined - all-runs'!$A:$A, A429,'Data Combined - all-runs'!$B:$B, B429,'Data Combined - all-runs'!$C:$C, C429, 'Data Combined - all-runs'!$D:$D, D429, 'Data Combined - all-runs'!$E:$E, E429)</f>
        <v>0</v>
      </c>
      <c r="O429" s="5">
        <f>AVERAGEIFS('Data Combined - all-runs'!$O:$O, 'Data Combined - all-runs'!$A:$A, A429,'Data Combined - all-runs'!$B:$B, B429,'Data Combined - all-runs'!$C:$C, C429, 'Data Combined - all-runs'!$D:$D, D429, 'Data Combined - all-runs'!$E:$E, E429)</f>
        <v>500</v>
      </c>
      <c r="P429" s="5">
        <f>AVERAGEIFS('Data Combined - all-runs'!$P:$P, 'Data Combined - all-runs'!$A:$A, A429,'Data Combined - all-runs'!$B:$B, B429,'Data Combined - all-runs'!$C:$C, C429, 'Data Combined - all-runs'!$D:$D, D429, 'Data Combined - all-runs'!$E:$E, E429)</f>
        <v>0</v>
      </c>
      <c r="Q429" s="5">
        <f>AVERAGEIFS('Data Combined - all-runs'!$Q:$Q, 'Data Combined - all-runs'!$A:$A, A429,'Data Combined - all-runs'!$B:$B, B429,'Data Combined - all-runs'!$C:$C, C429, 'Data Combined - all-runs'!$D:$D, D429, 'Data Combined - all-runs'!$E:$E, E429)</f>
        <v>2138</v>
      </c>
      <c r="R429" s="5" t="str">
        <f>AVERAGEIFS('Data Combined - all-runs'!$R:$R, 'Data Combined - all-runs'!$A:$A, A429,'Data Combined - all-runs'!$B:$B, B429,'Data Combined - all-runs'!$C:$C, C429, 'Data Combined - all-runs'!$D:$D, D429, 'Data Combined - all-runs'!$E:$E, E429)</f>
        <v>#DIV/0!</v>
      </c>
      <c r="S429" s="5">
        <f>AVERAGEIFS('Data Combined - all-runs'!$S:$S, 'Data Combined - all-runs'!$A:$A, A429,'Data Combined - all-runs'!$B:$B, B429,'Data Combined - all-runs'!$C:$C, C429, 'Data Combined - all-runs'!$D:$D, D429, 'Data Combined - all-runs'!$E:$E, E429)</f>
        <v>0</v>
      </c>
      <c r="T429" s="5">
        <f>AVERAGEIFS('Data Combined - all-runs'!$T:$T, 'Data Combined - all-runs'!$A:$A, A429,'Data Combined - all-runs'!$B:$B, B429,'Data Combined - all-runs'!$C:$C, C429, 'Data Combined - all-runs'!$D:$D, D429, 'Data Combined - all-runs'!$E:$E, E429)</f>
        <v>0</v>
      </c>
      <c r="U429" s="5" t="b">
        <f t="shared" si="1"/>
        <v>1</v>
      </c>
      <c r="V429" s="5" t="b">
        <f t="shared" si="2"/>
        <v>1</v>
      </c>
      <c r="W429" s="5" t="b">
        <f t="shared" si="3"/>
        <v>0</v>
      </c>
    </row>
    <row r="430">
      <c r="A430" s="2" t="s">
        <v>33</v>
      </c>
      <c r="B430" s="2" t="s">
        <v>114</v>
      </c>
      <c r="C430" s="2" t="s">
        <v>35</v>
      </c>
      <c r="D430" s="2" t="s">
        <v>118</v>
      </c>
      <c r="E430" s="2" t="s">
        <v>43</v>
      </c>
      <c r="H430" s="5">
        <f>AVERAGEIFS('Data Combined - all-runs'!$H:$H, 'Data Combined - all-runs'!$A:$A, A430,'Data Combined - all-runs'!$B:$B, B430,'Data Combined - all-runs'!$C:$C, C430, 'Data Combined - all-runs'!$D:$D, D430, 'Data Combined - all-runs'!$E:$E, E430)</f>
        <v>1972</v>
      </c>
      <c r="I430" s="5">
        <f>AVERAGEIFS('Data Combined - all-runs'!$I:$I, 'Data Combined - all-runs'!$A:$A, A430,'Data Combined - all-runs'!$B:$B, B430,'Data Combined - all-runs'!$C:$C, C430, 'Data Combined - all-runs'!$D:$D, D430, 'Data Combined - all-runs'!$E:$E, E430)</f>
        <v>0</v>
      </c>
      <c r="J430" s="5">
        <f>AVERAGEIFS('Data Combined - all-runs'!$J:$J, 'Data Combined - all-runs'!$A:$A, A430,'Data Combined - all-runs'!$B:$B, B430,'Data Combined - all-runs'!$C:$C, C430, 'Data Combined - all-runs'!$D:$D, D430, 'Data Combined - all-runs'!$E:$E, E430)</f>
        <v>2</v>
      </c>
      <c r="K430" s="5">
        <f>AVERAGEIFS('Data Combined - all-runs'!$K:$K, 'Data Combined - all-runs'!$A:$A, A430,'Data Combined - all-runs'!$B:$B, B430,'Data Combined - all-runs'!$C:$C, C430, 'Data Combined - all-runs'!$D:$D, D430, 'Data Combined - all-runs'!$E:$E, E430)</f>
        <v>0.1083333333</v>
      </c>
      <c r="L430" s="5">
        <f>AVERAGEIFS('Data Combined - all-runs'!$L:$L, 'Data Combined - all-runs'!$A:$A, A430,'Data Combined - all-runs'!$B:$B, B430,'Data Combined - all-runs'!$C:$C, C430, 'Data Combined - all-runs'!$D:$D, D430, 'Data Combined - all-runs'!$E:$E, E430)</f>
        <v>7083.68574</v>
      </c>
      <c r="M430" s="5" t="str">
        <f>AVERAGEIFS('Data Combined - all-runs'!$M:$M, 'Data Combined - all-runs'!$A:$A, A430,'Data Combined - all-runs'!$B:$B, B430,'Data Combined - all-runs'!$C:$C, C430, 'Data Combined - all-runs'!$D:$D, D430, 'Data Combined - all-runs'!$E:$E, E430)</f>
        <v>#DIV/0!</v>
      </c>
      <c r="N430" s="5">
        <f>AVERAGEIFS('Data Combined - all-runs'!$N:$N, 'Data Combined - all-runs'!$A:$A, A430,'Data Combined - all-runs'!$B:$B, B430,'Data Combined - all-runs'!$C:$C, C430, 'Data Combined - all-runs'!$D:$D, D430, 'Data Combined - all-runs'!$E:$E, E430)</f>
        <v>0</v>
      </c>
      <c r="O430" s="5">
        <f>AVERAGEIFS('Data Combined - all-runs'!$O:$O, 'Data Combined - all-runs'!$A:$A, A430,'Data Combined - all-runs'!$B:$B, B430,'Data Combined - all-runs'!$C:$C, C430, 'Data Combined - all-runs'!$D:$D, D430, 'Data Combined - all-runs'!$E:$E, E430)</f>
        <v>500</v>
      </c>
      <c r="P430" s="5">
        <f>AVERAGEIFS('Data Combined - all-runs'!$P:$P, 'Data Combined - all-runs'!$A:$A, A430,'Data Combined - all-runs'!$B:$B, B430,'Data Combined - all-runs'!$C:$C, C430, 'Data Combined - all-runs'!$D:$D, D430, 'Data Combined - all-runs'!$E:$E, E430)</f>
        <v>0</v>
      </c>
      <c r="Q430" s="5">
        <f>AVERAGEIFS('Data Combined - all-runs'!$Q:$Q, 'Data Combined - all-runs'!$A:$A, A430,'Data Combined - all-runs'!$B:$B, B430,'Data Combined - all-runs'!$C:$C, C430, 'Data Combined - all-runs'!$D:$D, D430, 'Data Combined - all-runs'!$E:$E, E430)</f>
        <v>3944</v>
      </c>
      <c r="R430" s="5" t="str">
        <f>AVERAGEIFS('Data Combined - all-runs'!$R:$R, 'Data Combined - all-runs'!$A:$A, A430,'Data Combined - all-runs'!$B:$B, B430,'Data Combined - all-runs'!$C:$C, C430, 'Data Combined - all-runs'!$D:$D, D430, 'Data Combined - all-runs'!$E:$E, E430)</f>
        <v>#DIV/0!</v>
      </c>
      <c r="S430" s="5">
        <f>AVERAGEIFS('Data Combined - all-runs'!$S:$S, 'Data Combined - all-runs'!$A:$A, A430,'Data Combined - all-runs'!$B:$B, B430,'Data Combined - all-runs'!$C:$C, C430, 'Data Combined - all-runs'!$D:$D, D430, 'Data Combined - all-runs'!$E:$E, E430)</f>
        <v>0.001014198783</v>
      </c>
      <c r="T430" s="5">
        <f>AVERAGEIFS('Data Combined - all-runs'!$T:$T, 'Data Combined - all-runs'!$A:$A, A430,'Data Combined - all-runs'!$B:$B, B430,'Data Combined - all-runs'!$C:$C, C430, 'Data Combined - all-runs'!$D:$D, D430, 'Data Combined - all-runs'!$E:$E, E430)</f>
        <v>0</v>
      </c>
      <c r="U430" s="5" t="b">
        <f t="shared" si="1"/>
        <v>1</v>
      </c>
      <c r="V430" s="5" t="b">
        <f t="shared" si="2"/>
        <v>1</v>
      </c>
      <c r="W430" s="5" t="b">
        <f t="shared" si="3"/>
        <v>0</v>
      </c>
    </row>
    <row r="431">
      <c r="A431" s="2" t="s">
        <v>33</v>
      </c>
      <c r="B431" s="2" t="s">
        <v>114</v>
      </c>
      <c r="C431" s="2" t="s">
        <v>35</v>
      </c>
      <c r="D431" s="2" t="s">
        <v>118</v>
      </c>
      <c r="E431" s="2" t="s">
        <v>34</v>
      </c>
      <c r="H431" s="5">
        <f>AVERAGEIFS('Data Combined - all-runs'!$H:$H, 'Data Combined - all-runs'!$A:$A, A431,'Data Combined - all-runs'!$B:$B, B431,'Data Combined - all-runs'!$C:$C, C431, 'Data Combined - all-runs'!$D:$D, D431, 'Data Combined - all-runs'!$E:$E, E431)</f>
        <v>2299</v>
      </c>
      <c r="I431" s="5">
        <f>AVERAGEIFS('Data Combined - all-runs'!$I:$I, 'Data Combined - all-runs'!$A:$A, A431,'Data Combined - all-runs'!$B:$B, B431,'Data Combined - all-runs'!$C:$C, C431, 'Data Combined - all-runs'!$D:$D, D431, 'Data Combined - all-runs'!$E:$E, E431)</f>
        <v>0</v>
      </c>
      <c r="J431" s="5">
        <f>AVERAGEIFS('Data Combined - all-runs'!$J:$J, 'Data Combined - all-runs'!$A:$A, A431,'Data Combined - all-runs'!$B:$B, B431,'Data Combined - all-runs'!$C:$C, C431, 'Data Combined - all-runs'!$D:$D, D431, 'Data Combined - all-runs'!$E:$E, E431)</f>
        <v>0</v>
      </c>
      <c r="K431" s="5">
        <f>AVERAGEIFS('Data Combined - all-runs'!$K:$K, 'Data Combined - all-runs'!$A:$A, A431,'Data Combined - all-runs'!$B:$B, B431,'Data Combined - all-runs'!$C:$C, C431, 'Data Combined - all-runs'!$D:$D, D431, 'Data Combined - all-runs'!$E:$E, E431)</f>
        <v>0.342</v>
      </c>
      <c r="L431" s="5">
        <f>AVERAGEIFS('Data Combined - all-runs'!$L:$L, 'Data Combined - all-runs'!$A:$A, A431,'Data Combined - all-runs'!$B:$B, B431,'Data Combined - all-runs'!$C:$C, C431, 'Data Combined - all-runs'!$D:$D, D431, 'Data Combined - all-runs'!$E:$E, E431)</f>
        <v>6884.721368</v>
      </c>
      <c r="M431" s="5" t="str">
        <f>AVERAGEIFS('Data Combined - all-runs'!$M:$M, 'Data Combined - all-runs'!$A:$A, A431,'Data Combined - all-runs'!$B:$B, B431,'Data Combined - all-runs'!$C:$C, C431, 'Data Combined - all-runs'!$D:$D, D431, 'Data Combined - all-runs'!$E:$E, E431)</f>
        <v>#DIV/0!</v>
      </c>
      <c r="N431" s="5">
        <f>AVERAGEIFS('Data Combined - all-runs'!$N:$N, 'Data Combined - all-runs'!$A:$A, A431,'Data Combined - all-runs'!$B:$B, B431,'Data Combined - all-runs'!$C:$C, C431, 'Data Combined - all-runs'!$D:$D, D431, 'Data Combined - all-runs'!$E:$E, E431)</f>
        <v>0</v>
      </c>
      <c r="O431" s="5">
        <f>AVERAGEIFS('Data Combined - all-runs'!$O:$O, 'Data Combined - all-runs'!$A:$A, A431,'Data Combined - all-runs'!$B:$B, B431,'Data Combined - all-runs'!$C:$C, C431, 'Data Combined - all-runs'!$D:$D, D431, 'Data Combined - all-runs'!$E:$E, E431)</f>
        <v>500</v>
      </c>
      <c r="P431" s="5">
        <f>AVERAGEIFS('Data Combined - all-runs'!$P:$P, 'Data Combined - all-runs'!$A:$A, A431,'Data Combined - all-runs'!$B:$B, B431,'Data Combined - all-runs'!$C:$C, C431, 'Data Combined - all-runs'!$D:$D, D431, 'Data Combined - all-runs'!$E:$E, E431)</f>
        <v>0</v>
      </c>
      <c r="Q431" s="5">
        <f>AVERAGEIFS('Data Combined - all-runs'!$Q:$Q, 'Data Combined - all-runs'!$A:$A, A431,'Data Combined - all-runs'!$B:$B, B431,'Data Combined - all-runs'!$C:$C, C431, 'Data Combined - all-runs'!$D:$D, D431, 'Data Combined - all-runs'!$E:$E, E431)</f>
        <v>4598</v>
      </c>
      <c r="R431" s="5" t="str">
        <f>AVERAGEIFS('Data Combined - all-runs'!$R:$R, 'Data Combined - all-runs'!$A:$A, A431,'Data Combined - all-runs'!$B:$B, B431,'Data Combined - all-runs'!$C:$C, C431, 'Data Combined - all-runs'!$D:$D, D431, 'Data Combined - all-runs'!$E:$E, E431)</f>
        <v>#DIV/0!</v>
      </c>
      <c r="S431" s="5">
        <f>AVERAGEIFS('Data Combined - all-runs'!$S:$S, 'Data Combined - all-runs'!$A:$A, A431,'Data Combined - all-runs'!$B:$B, B431,'Data Combined - all-runs'!$C:$C, C431, 'Data Combined - all-runs'!$D:$D, D431, 'Data Combined - all-runs'!$E:$E, E431)</f>
        <v>0</v>
      </c>
      <c r="T431" s="5">
        <f>AVERAGEIFS('Data Combined - all-runs'!$T:$T, 'Data Combined - all-runs'!$A:$A, A431,'Data Combined - all-runs'!$B:$B, B431,'Data Combined - all-runs'!$C:$C, C431, 'Data Combined - all-runs'!$D:$D, D431, 'Data Combined - all-runs'!$E:$E, E431)</f>
        <v>0</v>
      </c>
      <c r="U431" s="5" t="b">
        <f t="shared" si="1"/>
        <v>1</v>
      </c>
      <c r="V431" s="5" t="b">
        <f t="shared" si="2"/>
        <v>1</v>
      </c>
      <c r="W431" s="5" t="b">
        <f t="shared" si="3"/>
        <v>0</v>
      </c>
    </row>
    <row r="432">
      <c r="A432" s="2" t="s">
        <v>33</v>
      </c>
      <c r="B432" s="2" t="s">
        <v>114</v>
      </c>
      <c r="C432" s="2" t="s">
        <v>35</v>
      </c>
      <c r="D432" s="2" t="s">
        <v>118</v>
      </c>
      <c r="E432" s="2" t="s">
        <v>47</v>
      </c>
      <c r="H432" s="5">
        <f>AVERAGEIFS('Data Combined - all-runs'!$H:$H, 'Data Combined - all-runs'!$A:$A, A432,'Data Combined - all-runs'!$B:$B, B432,'Data Combined - all-runs'!$C:$C, C432, 'Data Combined - all-runs'!$D:$D, D432, 'Data Combined - all-runs'!$E:$E, E432)</f>
        <v>2797</v>
      </c>
      <c r="I432" s="5">
        <f>AVERAGEIFS('Data Combined - all-runs'!$I:$I, 'Data Combined - all-runs'!$A:$A, A432,'Data Combined - all-runs'!$B:$B, B432,'Data Combined - all-runs'!$C:$C, C432, 'Data Combined - all-runs'!$D:$D, D432, 'Data Combined - all-runs'!$E:$E, E432)</f>
        <v>0</v>
      </c>
      <c r="J432" s="5">
        <f>AVERAGEIFS('Data Combined - all-runs'!$J:$J, 'Data Combined - all-runs'!$A:$A, A432,'Data Combined - all-runs'!$B:$B, B432,'Data Combined - all-runs'!$C:$C, C432, 'Data Combined - all-runs'!$D:$D, D432, 'Data Combined - all-runs'!$E:$E, E432)</f>
        <v>0</v>
      </c>
      <c r="K432" s="5">
        <f>AVERAGEIFS('Data Combined - all-runs'!$K:$K, 'Data Combined - all-runs'!$A:$A, A432,'Data Combined - all-runs'!$B:$B, B432,'Data Combined - all-runs'!$C:$C, C432, 'Data Combined - all-runs'!$D:$D, D432, 'Data Combined - all-runs'!$E:$E, E432)</f>
        <v>0.187</v>
      </c>
      <c r="L432" s="5">
        <f>AVERAGEIFS('Data Combined - all-runs'!$L:$L, 'Data Combined - all-runs'!$A:$A, A432,'Data Combined - all-runs'!$B:$B, B432,'Data Combined - all-runs'!$C:$C, C432, 'Data Combined - all-runs'!$D:$D, D432, 'Data Combined - all-runs'!$E:$E, E432)</f>
        <v>9508.597633</v>
      </c>
      <c r="M432" s="5" t="str">
        <f>AVERAGEIFS('Data Combined - all-runs'!$M:$M, 'Data Combined - all-runs'!$A:$A, A432,'Data Combined - all-runs'!$B:$B, B432,'Data Combined - all-runs'!$C:$C, C432, 'Data Combined - all-runs'!$D:$D, D432, 'Data Combined - all-runs'!$E:$E, E432)</f>
        <v>#DIV/0!</v>
      </c>
      <c r="N432" s="5">
        <f>AVERAGEIFS('Data Combined - all-runs'!$N:$N, 'Data Combined - all-runs'!$A:$A, A432,'Data Combined - all-runs'!$B:$B, B432,'Data Combined - all-runs'!$C:$C, C432, 'Data Combined - all-runs'!$D:$D, D432, 'Data Combined - all-runs'!$E:$E, E432)</f>
        <v>0</v>
      </c>
      <c r="O432" s="5">
        <f>AVERAGEIFS('Data Combined - all-runs'!$O:$O, 'Data Combined - all-runs'!$A:$A, A432,'Data Combined - all-runs'!$B:$B, B432,'Data Combined - all-runs'!$C:$C, C432, 'Data Combined - all-runs'!$D:$D, D432, 'Data Combined - all-runs'!$E:$E, E432)</f>
        <v>500</v>
      </c>
      <c r="P432" s="5">
        <f>AVERAGEIFS('Data Combined - all-runs'!$P:$P, 'Data Combined - all-runs'!$A:$A, A432,'Data Combined - all-runs'!$B:$B, B432,'Data Combined - all-runs'!$C:$C, C432, 'Data Combined - all-runs'!$D:$D, D432, 'Data Combined - all-runs'!$E:$E, E432)</f>
        <v>0</v>
      </c>
      <c r="Q432" s="5">
        <f>AVERAGEIFS('Data Combined - all-runs'!$Q:$Q, 'Data Combined - all-runs'!$A:$A, A432,'Data Combined - all-runs'!$B:$B, B432,'Data Combined - all-runs'!$C:$C, C432, 'Data Combined - all-runs'!$D:$D, D432, 'Data Combined - all-runs'!$E:$E, E432)</f>
        <v>5594</v>
      </c>
      <c r="R432" s="5" t="str">
        <f>AVERAGEIFS('Data Combined - all-runs'!$R:$R, 'Data Combined - all-runs'!$A:$A, A432,'Data Combined - all-runs'!$B:$B, B432,'Data Combined - all-runs'!$C:$C, C432, 'Data Combined - all-runs'!$D:$D, D432, 'Data Combined - all-runs'!$E:$E, E432)</f>
        <v>#DIV/0!</v>
      </c>
      <c r="S432" s="5">
        <f>AVERAGEIFS('Data Combined - all-runs'!$S:$S, 'Data Combined - all-runs'!$A:$A, A432,'Data Combined - all-runs'!$B:$B, B432,'Data Combined - all-runs'!$C:$C, C432, 'Data Combined - all-runs'!$D:$D, D432, 'Data Combined - all-runs'!$E:$E, E432)</f>
        <v>0</v>
      </c>
      <c r="T432" s="5">
        <f>AVERAGEIFS('Data Combined - all-runs'!$T:$T, 'Data Combined - all-runs'!$A:$A, A432,'Data Combined - all-runs'!$B:$B, B432,'Data Combined - all-runs'!$C:$C, C432, 'Data Combined - all-runs'!$D:$D, D432, 'Data Combined - all-runs'!$E:$E, E432)</f>
        <v>0</v>
      </c>
      <c r="U432" s="5" t="b">
        <f t="shared" si="1"/>
        <v>1</v>
      </c>
      <c r="V432" s="5" t="b">
        <f t="shared" si="2"/>
        <v>1</v>
      </c>
      <c r="W432" s="5" t="b">
        <f t="shared" si="3"/>
        <v>0</v>
      </c>
    </row>
    <row r="433">
      <c r="A433" s="2" t="s">
        <v>33</v>
      </c>
      <c r="B433" s="2" t="s">
        <v>114</v>
      </c>
      <c r="C433" s="2" t="s">
        <v>35</v>
      </c>
      <c r="D433" s="2" t="s">
        <v>118</v>
      </c>
      <c r="E433" s="2" t="s">
        <v>51</v>
      </c>
      <c r="H433" s="5">
        <f>AVERAGEIFS('Data Combined - all-runs'!$H:$H, 'Data Combined - all-runs'!$A:$A, A433,'Data Combined - all-runs'!$B:$B, B433,'Data Combined - all-runs'!$C:$C, C433, 'Data Combined - all-runs'!$D:$D, D433, 'Data Combined - all-runs'!$E:$E, E433)</f>
        <v>2153</v>
      </c>
      <c r="I433" s="5">
        <f>AVERAGEIFS('Data Combined - all-runs'!$I:$I, 'Data Combined - all-runs'!$A:$A, A433,'Data Combined - all-runs'!$B:$B, B433,'Data Combined - all-runs'!$C:$C, C433, 'Data Combined - all-runs'!$D:$D, D433, 'Data Combined - all-runs'!$E:$E, E433)</f>
        <v>0</v>
      </c>
      <c r="J433" s="5">
        <f>AVERAGEIFS('Data Combined - all-runs'!$J:$J, 'Data Combined - all-runs'!$A:$A, A433,'Data Combined - all-runs'!$B:$B, B433,'Data Combined - all-runs'!$C:$C, C433, 'Data Combined - all-runs'!$D:$D, D433, 'Data Combined - all-runs'!$E:$E, E433)</f>
        <v>2</v>
      </c>
      <c r="K433" s="5">
        <f>AVERAGEIFS('Data Combined - all-runs'!$K:$K, 'Data Combined - all-runs'!$A:$A, A433,'Data Combined - all-runs'!$B:$B, B433,'Data Combined - all-runs'!$C:$C, C433, 'Data Combined - all-runs'!$D:$D, D433, 'Data Combined - all-runs'!$E:$E, E433)</f>
        <v>0.22</v>
      </c>
      <c r="L433" s="5">
        <f>AVERAGEIFS('Data Combined - all-runs'!$L:$L, 'Data Combined - all-runs'!$A:$A, A433,'Data Combined - all-runs'!$B:$B, B433,'Data Combined - all-runs'!$C:$C, C433, 'Data Combined - all-runs'!$D:$D, D433, 'Data Combined - all-runs'!$E:$E, E433)</f>
        <v>8127.0559</v>
      </c>
      <c r="M433" s="5" t="str">
        <f>AVERAGEIFS('Data Combined - all-runs'!$M:$M, 'Data Combined - all-runs'!$A:$A, A433,'Data Combined - all-runs'!$B:$B, B433,'Data Combined - all-runs'!$C:$C, C433, 'Data Combined - all-runs'!$D:$D, D433, 'Data Combined - all-runs'!$E:$E, E433)</f>
        <v>#DIV/0!</v>
      </c>
      <c r="N433" s="5">
        <f>AVERAGEIFS('Data Combined - all-runs'!$N:$N, 'Data Combined - all-runs'!$A:$A, A433,'Data Combined - all-runs'!$B:$B, B433,'Data Combined - all-runs'!$C:$C, C433, 'Data Combined - all-runs'!$D:$D, D433, 'Data Combined - all-runs'!$E:$E, E433)</f>
        <v>0</v>
      </c>
      <c r="O433" s="5">
        <f>AVERAGEIFS('Data Combined - all-runs'!$O:$O, 'Data Combined - all-runs'!$A:$A, A433,'Data Combined - all-runs'!$B:$B, B433,'Data Combined - all-runs'!$C:$C, C433, 'Data Combined - all-runs'!$D:$D, D433, 'Data Combined - all-runs'!$E:$E, E433)</f>
        <v>500</v>
      </c>
      <c r="P433" s="5">
        <f>AVERAGEIFS('Data Combined - all-runs'!$P:$P, 'Data Combined - all-runs'!$A:$A, A433,'Data Combined - all-runs'!$B:$B, B433,'Data Combined - all-runs'!$C:$C, C433, 'Data Combined - all-runs'!$D:$D, D433, 'Data Combined - all-runs'!$E:$E, E433)</f>
        <v>0</v>
      </c>
      <c r="Q433" s="5">
        <f>AVERAGEIFS('Data Combined - all-runs'!$Q:$Q, 'Data Combined - all-runs'!$A:$A, A433,'Data Combined - all-runs'!$B:$B, B433,'Data Combined - all-runs'!$C:$C, C433, 'Data Combined - all-runs'!$D:$D, D433, 'Data Combined - all-runs'!$E:$E, E433)</f>
        <v>4306</v>
      </c>
      <c r="R433" s="5" t="str">
        <f>AVERAGEIFS('Data Combined - all-runs'!$R:$R, 'Data Combined - all-runs'!$A:$A, A433,'Data Combined - all-runs'!$B:$B, B433,'Data Combined - all-runs'!$C:$C, C433, 'Data Combined - all-runs'!$D:$D, D433, 'Data Combined - all-runs'!$E:$E, E433)</f>
        <v>#DIV/0!</v>
      </c>
      <c r="S433" s="5">
        <f>AVERAGEIFS('Data Combined - all-runs'!$S:$S, 'Data Combined - all-runs'!$A:$A, A433,'Data Combined - all-runs'!$B:$B, B433,'Data Combined - all-runs'!$C:$C, C433, 'Data Combined - all-runs'!$D:$D, D433, 'Data Combined - all-runs'!$E:$E, E433)</f>
        <v>0.0009289363679</v>
      </c>
      <c r="T433" s="5">
        <f>AVERAGEIFS('Data Combined - all-runs'!$T:$T, 'Data Combined - all-runs'!$A:$A, A433,'Data Combined - all-runs'!$B:$B, B433,'Data Combined - all-runs'!$C:$C, C433, 'Data Combined - all-runs'!$D:$D, D433, 'Data Combined - all-runs'!$E:$E, E433)</f>
        <v>0</v>
      </c>
      <c r="U433" s="5" t="b">
        <f t="shared" si="1"/>
        <v>1</v>
      </c>
      <c r="V433" s="5" t="b">
        <f t="shared" si="2"/>
        <v>1</v>
      </c>
      <c r="W433" s="5" t="b">
        <f t="shared" si="3"/>
        <v>0</v>
      </c>
    </row>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Z$1000">
    <filterColumn colId="0">
      <filters>
        <filter val="Battery"/>
        <filter val="Calls"/>
        <filter val="Battery + Shelf"/>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38"/>
    <col customWidth="1" min="7" max="7" width="45.75"/>
    <col customWidth="1" min="9" max="9" width="25.13"/>
    <col customWidth="1" min="10" max="10" width="28.88"/>
    <col customWidth="1" min="11" max="11" width="34.63"/>
    <col customWidth="1" min="12" max="12" width="16.5"/>
    <col customWidth="1" min="13" max="13" width="16.13"/>
    <col customWidth="1" min="16" max="16" width="22.75"/>
    <col customWidth="1" min="17" max="17" width="31.13"/>
    <col customWidth="1" min="18" max="18" width="33.13"/>
    <col customWidth="1" min="19" max="19" width="35.88"/>
    <col customWidth="1" min="20" max="20" width="25.5"/>
    <col customWidth="1" min="21" max="21" width="127.0"/>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c r="A2" s="3" t="s">
        <v>33</v>
      </c>
      <c r="B2" s="3" t="s">
        <v>22</v>
      </c>
      <c r="C2" s="3" t="s">
        <v>35</v>
      </c>
      <c r="D2" s="3" t="s">
        <v>24</v>
      </c>
      <c r="E2" s="3" t="s">
        <v>25</v>
      </c>
      <c r="F2" s="3">
        <v>0.0</v>
      </c>
      <c r="G2" s="3" t="s">
        <v>36</v>
      </c>
      <c r="H2" s="3">
        <v>478.0</v>
      </c>
      <c r="I2" s="3">
        <v>1.0</v>
      </c>
      <c r="J2" s="3">
        <v>2.0</v>
      </c>
      <c r="K2" s="3">
        <v>0.0</v>
      </c>
      <c r="L2" s="3">
        <v>3012.43036747</v>
      </c>
      <c r="N2" s="3">
        <v>0.0</v>
      </c>
      <c r="O2" s="3">
        <v>500.0</v>
      </c>
      <c r="P2" s="3">
        <v>0.0</v>
      </c>
      <c r="Q2" s="3">
        <v>956.0</v>
      </c>
      <c r="S2" s="3">
        <v>0.00418410041841</v>
      </c>
      <c r="T2" s="3">
        <v>0.00209205020921</v>
      </c>
      <c r="U2" s="3" t="s">
        <v>38</v>
      </c>
    </row>
    <row r="3">
      <c r="A3" s="3" t="s">
        <v>33</v>
      </c>
      <c r="B3" s="3" t="s">
        <v>22</v>
      </c>
      <c r="C3" s="3" t="s">
        <v>35</v>
      </c>
      <c r="D3" s="3" t="s">
        <v>24</v>
      </c>
      <c r="E3" s="3" t="s">
        <v>39</v>
      </c>
      <c r="F3" s="3">
        <v>0.0</v>
      </c>
      <c r="G3" s="3" t="s">
        <v>40</v>
      </c>
      <c r="H3" s="3">
        <v>491.0</v>
      </c>
      <c r="I3" s="3">
        <v>0.0</v>
      </c>
      <c r="J3" s="3">
        <v>344.0</v>
      </c>
      <c r="K3" s="3">
        <v>0.0</v>
      </c>
      <c r="L3" s="3">
        <v>2221.95954347</v>
      </c>
      <c r="N3" s="3">
        <v>0.0</v>
      </c>
      <c r="O3" s="3">
        <v>500.0</v>
      </c>
      <c r="P3" s="3">
        <v>0.0</v>
      </c>
      <c r="Q3" s="3">
        <v>982.0</v>
      </c>
      <c r="S3" s="3">
        <v>0.700610997963</v>
      </c>
      <c r="T3" s="3">
        <v>0.0</v>
      </c>
      <c r="U3" s="3" t="s">
        <v>42</v>
      </c>
    </row>
    <row r="4">
      <c r="A4" s="3" t="s">
        <v>33</v>
      </c>
      <c r="B4" s="3" t="s">
        <v>22</v>
      </c>
      <c r="C4" s="3" t="s">
        <v>35</v>
      </c>
      <c r="D4" s="3" t="s">
        <v>24</v>
      </c>
      <c r="E4" s="3" t="s">
        <v>39</v>
      </c>
      <c r="F4" s="3">
        <v>0.0</v>
      </c>
      <c r="G4" s="3" t="s">
        <v>44</v>
      </c>
      <c r="H4" s="3">
        <v>491.0</v>
      </c>
      <c r="I4" s="3">
        <v>0.0</v>
      </c>
      <c r="J4" s="3">
        <v>0.0</v>
      </c>
      <c r="K4" s="3">
        <v>0.0</v>
      </c>
      <c r="L4" s="3">
        <v>2611.15336275</v>
      </c>
      <c r="N4" s="3">
        <v>0.0</v>
      </c>
      <c r="O4" s="3">
        <v>500.0</v>
      </c>
      <c r="P4" s="3">
        <v>0.0</v>
      </c>
      <c r="Q4" s="3">
        <v>982.0</v>
      </c>
      <c r="S4" s="3">
        <v>0.0</v>
      </c>
      <c r="T4" s="3">
        <v>0.0</v>
      </c>
      <c r="U4" s="3" t="s">
        <v>45</v>
      </c>
    </row>
    <row r="5">
      <c r="A5" s="3" t="s">
        <v>33</v>
      </c>
      <c r="B5" s="3" t="s">
        <v>22</v>
      </c>
      <c r="C5" s="3" t="s">
        <v>35</v>
      </c>
      <c r="D5" s="3" t="s">
        <v>24</v>
      </c>
      <c r="E5" s="3" t="s">
        <v>39</v>
      </c>
      <c r="F5" s="3">
        <v>0.0</v>
      </c>
      <c r="G5" s="3" t="s">
        <v>36</v>
      </c>
      <c r="H5" s="3">
        <v>491.0</v>
      </c>
      <c r="I5" s="3">
        <v>0.0</v>
      </c>
      <c r="J5" s="3">
        <v>0.0</v>
      </c>
      <c r="K5" s="3">
        <v>0.0</v>
      </c>
      <c r="L5" s="3">
        <v>2611.15336275</v>
      </c>
      <c r="N5" s="3">
        <v>0.0</v>
      </c>
      <c r="O5" s="3">
        <v>500.0</v>
      </c>
      <c r="P5" s="3">
        <v>0.0</v>
      </c>
      <c r="Q5" s="3">
        <v>982.0</v>
      </c>
      <c r="S5" s="3">
        <v>0.0</v>
      </c>
      <c r="T5" s="3">
        <v>0.0</v>
      </c>
      <c r="U5" s="3" t="s">
        <v>48</v>
      </c>
    </row>
    <row r="6">
      <c r="A6" s="3" t="s">
        <v>33</v>
      </c>
      <c r="B6" s="3" t="s">
        <v>22</v>
      </c>
      <c r="C6" s="3" t="s">
        <v>35</v>
      </c>
      <c r="D6" s="3" t="s">
        <v>24</v>
      </c>
      <c r="E6" s="3" t="s">
        <v>43</v>
      </c>
      <c r="F6" s="3">
        <v>0.0</v>
      </c>
      <c r="G6" s="3" t="s">
        <v>49</v>
      </c>
      <c r="H6" s="3">
        <v>492.0</v>
      </c>
      <c r="I6" s="3">
        <v>0.0</v>
      </c>
      <c r="J6" s="3">
        <v>5.0</v>
      </c>
      <c r="K6" s="3">
        <v>0.0</v>
      </c>
      <c r="L6" s="3">
        <v>2684.81530523</v>
      </c>
      <c r="N6" s="3">
        <v>0.0</v>
      </c>
      <c r="O6" s="3">
        <v>500.0</v>
      </c>
      <c r="P6" s="3">
        <v>0.0</v>
      </c>
      <c r="Q6" s="3">
        <v>984.0</v>
      </c>
      <c r="S6" s="3">
        <v>0.010162601626</v>
      </c>
      <c r="T6" s="3">
        <v>0.0</v>
      </c>
      <c r="U6" s="3" t="s">
        <v>52</v>
      </c>
    </row>
    <row r="7">
      <c r="A7" s="3" t="s">
        <v>33</v>
      </c>
      <c r="B7" s="3" t="s">
        <v>22</v>
      </c>
      <c r="C7" s="3" t="s">
        <v>35</v>
      </c>
      <c r="D7" s="3" t="s">
        <v>24</v>
      </c>
      <c r="E7" s="3" t="s">
        <v>43</v>
      </c>
      <c r="F7" s="3">
        <v>0.0</v>
      </c>
      <c r="G7" s="3" t="s">
        <v>40</v>
      </c>
      <c r="H7" s="3">
        <v>146.0</v>
      </c>
      <c r="I7" s="3">
        <v>0.0</v>
      </c>
      <c r="J7" s="3">
        <v>234.0</v>
      </c>
      <c r="K7" s="3">
        <v>0.0</v>
      </c>
      <c r="L7" s="3">
        <v>6942.65383267</v>
      </c>
      <c r="N7" s="3">
        <v>0.0</v>
      </c>
      <c r="O7" s="3">
        <v>500.0</v>
      </c>
      <c r="P7" s="3">
        <v>0.0</v>
      </c>
      <c r="Q7" s="3">
        <v>292.0</v>
      </c>
      <c r="S7" s="3">
        <v>1.60273972603</v>
      </c>
      <c r="T7" s="3">
        <v>0.0</v>
      </c>
      <c r="U7" s="3" t="s">
        <v>55</v>
      </c>
    </row>
    <row r="8">
      <c r="A8" s="3" t="s">
        <v>33</v>
      </c>
      <c r="B8" s="3" t="s">
        <v>22</v>
      </c>
      <c r="C8" s="3" t="s">
        <v>35</v>
      </c>
      <c r="D8" s="3" t="s">
        <v>24</v>
      </c>
      <c r="E8" s="3" t="s">
        <v>43</v>
      </c>
      <c r="F8" s="3">
        <v>0.0</v>
      </c>
      <c r="G8" s="3" t="s">
        <v>36</v>
      </c>
      <c r="H8" s="3">
        <v>203.0</v>
      </c>
      <c r="I8" s="3">
        <v>0.0</v>
      </c>
      <c r="J8" s="3">
        <v>192.0</v>
      </c>
      <c r="K8" s="3">
        <v>0.0</v>
      </c>
      <c r="L8" s="3">
        <v>8901.39995742</v>
      </c>
      <c r="N8" s="3">
        <v>0.0</v>
      </c>
      <c r="O8" s="3">
        <v>500.0</v>
      </c>
      <c r="P8" s="3">
        <v>0.0</v>
      </c>
      <c r="Q8" s="3">
        <v>406.0</v>
      </c>
      <c r="S8" s="3">
        <v>0.945812807882</v>
      </c>
      <c r="T8" s="3">
        <v>0.0</v>
      </c>
      <c r="U8" s="3" t="s">
        <v>56</v>
      </c>
    </row>
    <row r="9">
      <c r="A9" s="3" t="s">
        <v>33</v>
      </c>
      <c r="B9" s="3" t="s">
        <v>22</v>
      </c>
      <c r="C9" s="3" t="s">
        <v>35</v>
      </c>
      <c r="D9" s="3" t="s">
        <v>24</v>
      </c>
      <c r="E9" s="3" t="s">
        <v>43</v>
      </c>
      <c r="F9" s="3">
        <v>0.0</v>
      </c>
      <c r="G9" s="3" t="s">
        <v>58</v>
      </c>
      <c r="H9" s="3">
        <v>432.0</v>
      </c>
      <c r="I9" s="3">
        <v>47.0</v>
      </c>
      <c r="J9" s="3">
        <v>132.0</v>
      </c>
      <c r="K9" s="3">
        <v>0.0</v>
      </c>
      <c r="L9" s="3">
        <v>5463.45343399</v>
      </c>
      <c r="N9" s="3">
        <v>0.0</v>
      </c>
      <c r="O9" s="3">
        <v>500.0</v>
      </c>
      <c r="P9" s="3">
        <v>0.0</v>
      </c>
      <c r="Q9" s="3">
        <v>864.0</v>
      </c>
      <c r="S9" s="3">
        <v>0.305555555556</v>
      </c>
      <c r="T9" s="3">
        <v>0.108796296296</v>
      </c>
      <c r="U9" s="3" t="s">
        <v>59</v>
      </c>
    </row>
    <row r="10">
      <c r="A10" s="3" t="s">
        <v>33</v>
      </c>
      <c r="B10" s="3" t="s">
        <v>22</v>
      </c>
      <c r="C10" s="3" t="s">
        <v>35</v>
      </c>
      <c r="D10" s="3" t="s">
        <v>24</v>
      </c>
      <c r="E10" s="3" t="s">
        <v>47</v>
      </c>
      <c r="F10" s="3">
        <v>0.0</v>
      </c>
      <c r="G10" s="3" t="s">
        <v>49</v>
      </c>
      <c r="H10" s="3">
        <v>491.0</v>
      </c>
      <c r="I10" s="3">
        <v>0.0</v>
      </c>
      <c r="J10" s="3">
        <v>1.0</v>
      </c>
      <c r="K10" s="3">
        <v>0.00125</v>
      </c>
      <c r="L10" s="3">
        <v>4354.24140263</v>
      </c>
      <c r="N10" s="3">
        <v>0.0</v>
      </c>
      <c r="O10" s="3">
        <v>500.0</v>
      </c>
      <c r="P10" s="3">
        <v>0.0</v>
      </c>
      <c r="Q10" s="3">
        <v>982.0</v>
      </c>
      <c r="S10" s="3">
        <v>0.0020366598778</v>
      </c>
      <c r="T10" s="3">
        <v>0.0</v>
      </c>
      <c r="U10" s="3" t="s">
        <v>61</v>
      </c>
    </row>
    <row r="11">
      <c r="A11" s="3" t="s">
        <v>33</v>
      </c>
      <c r="B11" s="3" t="s">
        <v>22</v>
      </c>
      <c r="C11" s="3" t="s">
        <v>35</v>
      </c>
      <c r="D11" s="3" t="s">
        <v>24</v>
      </c>
      <c r="E11" s="3" t="s">
        <v>51</v>
      </c>
      <c r="F11" s="3">
        <v>0.0</v>
      </c>
      <c r="G11" s="3" t="s">
        <v>36</v>
      </c>
      <c r="H11" s="3">
        <v>342.0</v>
      </c>
      <c r="I11" s="3">
        <v>0.0</v>
      </c>
      <c r="J11" s="3">
        <v>167.0</v>
      </c>
      <c r="K11" s="3">
        <v>0.003</v>
      </c>
      <c r="L11" s="3">
        <v>1360.29159045</v>
      </c>
      <c r="N11" s="3">
        <v>0.0</v>
      </c>
      <c r="O11" s="3">
        <v>500.0</v>
      </c>
      <c r="P11" s="3">
        <v>0.0</v>
      </c>
      <c r="Q11" s="3">
        <v>684.0</v>
      </c>
      <c r="S11" s="3">
        <v>0.488304093567</v>
      </c>
      <c r="T11" s="3">
        <v>0.0</v>
      </c>
      <c r="U11" s="3" t="s">
        <v>63</v>
      </c>
    </row>
    <row r="12">
      <c r="A12" s="3" t="s">
        <v>33</v>
      </c>
      <c r="B12" s="3" t="s">
        <v>22</v>
      </c>
      <c r="C12" s="3" t="s">
        <v>35</v>
      </c>
      <c r="D12" s="3" t="s">
        <v>64</v>
      </c>
      <c r="E12" s="3" t="s">
        <v>25</v>
      </c>
      <c r="F12" s="3">
        <v>0.0</v>
      </c>
      <c r="G12" s="3" t="s">
        <v>65</v>
      </c>
      <c r="H12" s="3">
        <v>802.0</v>
      </c>
      <c r="I12" s="3">
        <v>0.0</v>
      </c>
      <c r="J12" s="3">
        <v>0.0</v>
      </c>
      <c r="K12" s="3">
        <v>0.177267002519</v>
      </c>
      <c r="L12" s="3">
        <v>12874.5812809</v>
      </c>
      <c r="M12" s="3">
        <v>48.0</v>
      </c>
      <c r="N12" s="3">
        <v>9.0</v>
      </c>
      <c r="O12" s="3">
        <v>1588.0</v>
      </c>
      <c r="P12" s="3">
        <v>5.66750629723</v>
      </c>
      <c r="Q12" s="3">
        <v>505.037783375</v>
      </c>
      <c r="R12" s="3">
        <v>89.1111111111</v>
      </c>
      <c r="S12" s="3">
        <v>0.0</v>
      </c>
      <c r="T12" s="3">
        <v>0.0</v>
      </c>
      <c r="U12" s="3" t="s">
        <v>67</v>
      </c>
    </row>
    <row r="13">
      <c r="A13" s="3" t="s">
        <v>33</v>
      </c>
      <c r="B13" s="3" t="s">
        <v>22</v>
      </c>
      <c r="C13" s="3" t="s">
        <v>35</v>
      </c>
      <c r="D13" s="3" t="s">
        <v>64</v>
      </c>
      <c r="E13" s="3" t="s">
        <v>34</v>
      </c>
      <c r="F13" s="3">
        <v>0.0</v>
      </c>
      <c r="G13" s="3" t="s">
        <v>65</v>
      </c>
      <c r="H13" s="3">
        <v>945.0</v>
      </c>
      <c r="I13" s="3">
        <v>3.0</v>
      </c>
      <c r="J13" s="3">
        <v>45.0</v>
      </c>
      <c r="K13" s="3">
        <v>0.187240970989</v>
      </c>
      <c r="L13" s="3">
        <v>27042.8690436</v>
      </c>
      <c r="M13" s="3">
        <v>99.0</v>
      </c>
      <c r="N13" s="3">
        <v>3.0</v>
      </c>
      <c r="O13" s="3">
        <v>1126.0</v>
      </c>
      <c r="P13" s="3">
        <v>2.66429840142</v>
      </c>
      <c r="Q13" s="3">
        <v>839.253996448</v>
      </c>
      <c r="R13" s="3">
        <v>315.0</v>
      </c>
      <c r="S13" s="3">
        <v>0.047619047619</v>
      </c>
      <c r="T13" s="3">
        <v>0.0031746031746</v>
      </c>
      <c r="U13" s="3" t="s">
        <v>69</v>
      </c>
    </row>
    <row r="14">
      <c r="A14" s="3" t="s">
        <v>33</v>
      </c>
      <c r="B14" s="3" t="s">
        <v>22</v>
      </c>
      <c r="C14" s="3" t="s">
        <v>35</v>
      </c>
      <c r="D14" s="3" t="s">
        <v>64</v>
      </c>
      <c r="E14" s="3" t="s">
        <v>39</v>
      </c>
      <c r="F14" s="3">
        <v>0.0</v>
      </c>
      <c r="G14" s="3" t="s">
        <v>65</v>
      </c>
      <c r="H14" s="3">
        <v>143.0</v>
      </c>
      <c r="I14" s="3">
        <v>0.0</v>
      </c>
      <c r="J14" s="3">
        <v>0.0</v>
      </c>
      <c r="K14" s="3">
        <v>0.0995</v>
      </c>
      <c r="L14" s="3">
        <v>2732.91641235</v>
      </c>
      <c r="N14" s="3">
        <v>0.0</v>
      </c>
      <c r="O14" s="3">
        <v>500.0</v>
      </c>
      <c r="P14" s="3">
        <v>0.0</v>
      </c>
      <c r="Q14" s="3">
        <v>286.0</v>
      </c>
      <c r="S14" s="3">
        <v>0.0</v>
      </c>
      <c r="T14" s="3">
        <v>0.0</v>
      </c>
      <c r="U14" s="3" t="s">
        <v>71</v>
      </c>
    </row>
    <row r="15">
      <c r="A15" s="3" t="s">
        <v>33</v>
      </c>
      <c r="B15" s="3" t="s">
        <v>22</v>
      </c>
      <c r="C15" s="3" t="s">
        <v>35</v>
      </c>
      <c r="D15" s="3" t="s">
        <v>64</v>
      </c>
      <c r="E15" s="3" t="s">
        <v>43</v>
      </c>
      <c r="F15" s="3">
        <v>0.0</v>
      </c>
      <c r="G15" s="3" t="s">
        <v>65</v>
      </c>
      <c r="H15" s="3">
        <v>634.0</v>
      </c>
      <c r="I15" s="3">
        <v>0.0</v>
      </c>
      <c r="J15" s="3">
        <v>6.0</v>
      </c>
      <c r="K15" s="3">
        <v>0.097975708502</v>
      </c>
      <c r="L15" s="3">
        <v>14183.5999446</v>
      </c>
      <c r="M15" s="3">
        <v>45.0</v>
      </c>
      <c r="N15" s="3">
        <v>8.0</v>
      </c>
      <c r="O15" s="3">
        <v>1235.0</v>
      </c>
      <c r="P15" s="3">
        <v>6.47773279352</v>
      </c>
      <c r="Q15" s="3">
        <v>513.360323887</v>
      </c>
      <c r="R15" s="3">
        <v>79.25</v>
      </c>
      <c r="S15" s="3">
        <v>0.00946372239748</v>
      </c>
      <c r="T15" s="3">
        <v>0.0</v>
      </c>
      <c r="U15" s="3" t="s">
        <v>74</v>
      </c>
    </row>
    <row r="16">
      <c r="A16" s="3" t="s">
        <v>33</v>
      </c>
      <c r="B16" s="3" t="s">
        <v>22</v>
      </c>
      <c r="C16" s="3" t="s">
        <v>35</v>
      </c>
      <c r="D16" s="3" t="s">
        <v>64</v>
      </c>
      <c r="E16" s="3" t="s">
        <v>47</v>
      </c>
      <c r="F16" s="3">
        <v>0.0</v>
      </c>
      <c r="G16" s="3" t="s">
        <v>65</v>
      </c>
      <c r="H16" s="3">
        <v>1327.0</v>
      </c>
      <c r="I16" s="3">
        <v>1.0</v>
      </c>
      <c r="J16" s="3">
        <v>67.0</v>
      </c>
      <c r="K16" s="3">
        <v>0.134952004517</v>
      </c>
      <c r="L16" s="3">
        <v>43527.3778443</v>
      </c>
      <c r="M16" s="3">
        <v>209.0</v>
      </c>
      <c r="N16" s="3">
        <v>8.0</v>
      </c>
      <c r="O16" s="3">
        <v>1771.0</v>
      </c>
      <c r="P16" s="3">
        <v>4.51722190853</v>
      </c>
      <c r="Q16" s="3">
        <v>749.294184077</v>
      </c>
      <c r="R16" s="3">
        <v>165.875</v>
      </c>
      <c r="S16" s="3">
        <v>0.0504898266767</v>
      </c>
      <c r="T16" s="3">
        <v>7.53579502638E-4</v>
      </c>
      <c r="U16" s="3" t="s">
        <v>76</v>
      </c>
    </row>
    <row r="17">
      <c r="A17" s="3" t="s">
        <v>33</v>
      </c>
      <c r="B17" s="3" t="s">
        <v>22</v>
      </c>
      <c r="C17" s="3" t="s">
        <v>35</v>
      </c>
      <c r="D17" s="3" t="s">
        <v>64</v>
      </c>
      <c r="E17" s="3" t="s">
        <v>51</v>
      </c>
      <c r="F17" s="3">
        <v>0.0</v>
      </c>
      <c r="G17" s="3" t="s">
        <v>65</v>
      </c>
      <c r="H17" s="3">
        <v>1035.0</v>
      </c>
      <c r="I17" s="3">
        <v>1.0</v>
      </c>
      <c r="J17" s="3">
        <v>45.0</v>
      </c>
      <c r="K17" s="3">
        <v>0.135957446809</v>
      </c>
      <c r="L17" s="3">
        <v>26016.9079466</v>
      </c>
      <c r="M17" s="3">
        <v>190.0</v>
      </c>
      <c r="N17" s="3">
        <v>3.0</v>
      </c>
      <c r="O17" s="3">
        <v>1175.0</v>
      </c>
      <c r="P17" s="3">
        <v>2.55319148936</v>
      </c>
      <c r="Q17" s="3">
        <v>880.85106383</v>
      </c>
      <c r="R17" s="3">
        <v>345.0</v>
      </c>
      <c r="S17" s="3">
        <v>0.0434782608696</v>
      </c>
      <c r="T17" s="3">
        <v>9.66183574879E-4</v>
      </c>
      <c r="U17" s="3" t="s">
        <v>77</v>
      </c>
    </row>
    <row r="18">
      <c r="A18" s="3" t="s">
        <v>33</v>
      </c>
      <c r="B18" s="3" t="s">
        <v>22</v>
      </c>
      <c r="C18" s="3" t="s">
        <v>23</v>
      </c>
      <c r="D18" s="3" t="s">
        <v>24</v>
      </c>
      <c r="E18" s="3" t="s">
        <v>25</v>
      </c>
      <c r="F18" s="3">
        <v>0.0</v>
      </c>
      <c r="G18" s="3" t="s">
        <v>79</v>
      </c>
      <c r="H18" s="3">
        <v>345.0</v>
      </c>
      <c r="I18" s="3" t="s">
        <v>27</v>
      </c>
      <c r="J18" s="3">
        <v>6.0</v>
      </c>
      <c r="K18" s="3">
        <v>0.0</v>
      </c>
      <c r="L18" s="3">
        <v>1428.01573396</v>
      </c>
      <c r="N18" s="3">
        <v>0.0</v>
      </c>
      <c r="O18" s="3">
        <v>500.0</v>
      </c>
      <c r="P18" s="3">
        <v>0.0</v>
      </c>
      <c r="Q18" s="3">
        <v>690.0</v>
      </c>
      <c r="S18" s="3">
        <v>0.0173913043478</v>
      </c>
      <c r="T18" s="3" t="s">
        <v>27</v>
      </c>
      <c r="U18" s="3" t="s">
        <v>80</v>
      </c>
    </row>
    <row r="19">
      <c r="A19" s="3" t="s">
        <v>33</v>
      </c>
      <c r="B19" s="3" t="s">
        <v>22</v>
      </c>
      <c r="C19" s="3" t="s">
        <v>23</v>
      </c>
      <c r="D19" s="3" t="s">
        <v>24</v>
      </c>
      <c r="E19" s="3" t="s">
        <v>25</v>
      </c>
      <c r="F19" s="3">
        <v>0.0</v>
      </c>
      <c r="G19" s="3" t="s">
        <v>81</v>
      </c>
      <c r="H19" s="3">
        <v>193.0</v>
      </c>
      <c r="I19" s="3" t="s">
        <v>27</v>
      </c>
      <c r="J19" s="3">
        <v>0.0</v>
      </c>
      <c r="K19" s="3">
        <v>0.057</v>
      </c>
      <c r="L19" s="3">
        <v>2161.73289919</v>
      </c>
      <c r="N19" s="3">
        <v>0.0</v>
      </c>
      <c r="O19" s="3">
        <v>500.0</v>
      </c>
      <c r="P19" s="3">
        <v>0.0</v>
      </c>
      <c r="Q19" s="3">
        <v>386.0</v>
      </c>
      <c r="S19" s="3">
        <v>0.0</v>
      </c>
      <c r="T19" s="3" t="s">
        <v>27</v>
      </c>
      <c r="U19" s="3" t="s">
        <v>83</v>
      </c>
    </row>
    <row r="20">
      <c r="A20" s="3" t="s">
        <v>33</v>
      </c>
      <c r="B20" s="3" t="s">
        <v>22</v>
      </c>
      <c r="C20" s="3" t="s">
        <v>23</v>
      </c>
      <c r="D20" s="3" t="s">
        <v>24</v>
      </c>
      <c r="E20" s="3" t="s">
        <v>34</v>
      </c>
      <c r="F20" s="3">
        <v>0.0</v>
      </c>
      <c r="G20" s="3" t="s">
        <v>81</v>
      </c>
      <c r="H20" s="3">
        <v>443.0</v>
      </c>
      <c r="I20" s="3" t="s">
        <v>27</v>
      </c>
      <c r="J20" s="3">
        <v>161.0</v>
      </c>
      <c r="K20" s="3">
        <v>0.124333333333</v>
      </c>
      <c r="L20" s="3">
        <v>5438.21912503</v>
      </c>
      <c r="N20" s="3">
        <v>0.0</v>
      </c>
      <c r="O20" s="3">
        <v>500.0</v>
      </c>
      <c r="P20" s="3">
        <v>0.0</v>
      </c>
      <c r="Q20" s="3">
        <v>886.0</v>
      </c>
      <c r="S20" s="3">
        <v>0.363431151242</v>
      </c>
      <c r="T20" s="3" t="s">
        <v>27</v>
      </c>
      <c r="U20" s="3" t="s">
        <v>85</v>
      </c>
    </row>
    <row r="21">
      <c r="A21" s="3" t="s">
        <v>33</v>
      </c>
      <c r="B21" s="3" t="s">
        <v>22</v>
      </c>
      <c r="C21" s="3" t="s">
        <v>23</v>
      </c>
      <c r="D21" s="3" t="s">
        <v>24</v>
      </c>
      <c r="E21" s="3" t="s">
        <v>39</v>
      </c>
      <c r="F21" s="3">
        <v>0.0</v>
      </c>
      <c r="G21" s="3" t="s">
        <v>79</v>
      </c>
      <c r="H21" s="3">
        <v>322.0</v>
      </c>
      <c r="I21" s="3" t="s">
        <v>27</v>
      </c>
      <c r="J21" s="3">
        <v>163.0</v>
      </c>
      <c r="K21" s="3">
        <v>0.081</v>
      </c>
      <c r="L21" s="3">
        <v>3193.52960777</v>
      </c>
      <c r="N21" s="3">
        <v>0.0</v>
      </c>
      <c r="O21" s="3">
        <v>500.0</v>
      </c>
      <c r="P21" s="3">
        <v>0.0</v>
      </c>
      <c r="Q21" s="3">
        <v>644.0</v>
      </c>
      <c r="S21" s="3">
        <v>0.506211180124</v>
      </c>
      <c r="T21" s="3" t="s">
        <v>27</v>
      </c>
      <c r="U21" s="3" t="s">
        <v>87</v>
      </c>
    </row>
    <row r="22">
      <c r="A22" s="3" t="s">
        <v>33</v>
      </c>
      <c r="B22" s="3" t="s">
        <v>22</v>
      </c>
      <c r="C22" s="3" t="s">
        <v>23</v>
      </c>
      <c r="D22" s="3" t="s">
        <v>24</v>
      </c>
      <c r="E22" s="3" t="s">
        <v>39</v>
      </c>
      <c r="F22" s="3">
        <v>0.0</v>
      </c>
      <c r="G22" s="3" t="s">
        <v>81</v>
      </c>
      <c r="H22" s="3">
        <v>425.0</v>
      </c>
      <c r="I22" s="3" t="s">
        <v>27</v>
      </c>
      <c r="J22" s="3">
        <v>138.0</v>
      </c>
      <c r="K22" s="3">
        <v>0.1855</v>
      </c>
      <c r="L22" s="3">
        <v>4883.98770428</v>
      </c>
      <c r="N22" s="3">
        <v>0.0</v>
      </c>
      <c r="O22" s="3">
        <v>500.0</v>
      </c>
      <c r="P22" s="3">
        <v>0.0</v>
      </c>
      <c r="Q22" s="3">
        <v>850.0</v>
      </c>
      <c r="S22" s="3">
        <v>0.324705882353</v>
      </c>
      <c r="T22" s="3" t="s">
        <v>27</v>
      </c>
      <c r="U22" s="3" t="s">
        <v>88</v>
      </c>
    </row>
    <row r="23">
      <c r="A23" s="3" t="s">
        <v>33</v>
      </c>
      <c r="B23" s="3" t="s">
        <v>22</v>
      </c>
      <c r="C23" s="3" t="s">
        <v>23</v>
      </c>
      <c r="D23" s="3" t="s">
        <v>24</v>
      </c>
      <c r="E23" s="3" t="s">
        <v>43</v>
      </c>
      <c r="F23" s="3">
        <v>0.0</v>
      </c>
      <c r="G23" s="3" t="s">
        <v>79</v>
      </c>
      <c r="H23" s="3">
        <v>351.0</v>
      </c>
      <c r="I23" s="3" t="s">
        <v>27</v>
      </c>
      <c r="J23" s="3">
        <v>230.0</v>
      </c>
      <c r="K23" s="3">
        <v>0.138333333333</v>
      </c>
      <c r="L23" s="3">
        <v>4407.68746781</v>
      </c>
      <c r="N23" s="3">
        <v>0.0</v>
      </c>
      <c r="O23" s="3">
        <v>500.0</v>
      </c>
      <c r="P23" s="3">
        <v>0.0</v>
      </c>
      <c r="Q23" s="3">
        <v>702.0</v>
      </c>
      <c r="S23" s="3">
        <v>0.655270655271</v>
      </c>
      <c r="T23" s="3" t="s">
        <v>27</v>
      </c>
      <c r="U23" s="3" t="s">
        <v>90</v>
      </c>
    </row>
    <row r="24">
      <c r="A24" s="3" t="s">
        <v>33</v>
      </c>
      <c r="B24" s="3" t="s">
        <v>22</v>
      </c>
      <c r="C24" s="3" t="s">
        <v>23</v>
      </c>
      <c r="D24" s="3" t="s">
        <v>24</v>
      </c>
      <c r="E24" s="3" t="s">
        <v>43</v>
      </c>
      <c r="F24" s="3">
        <v>0.0</v>
      </c>
      <c r="G24" s="3" t="s">
        <v>81</v>
      </c>
      <c r="H24" s="3">
        <v>435.0</v>
      </c>
      <c r="I24" s="3" t="s">
        <v>27</v>
      </c>
      <c r="J24" s="3">
        <v>234.0</v>
      </c>
      <c r="K24" s="3">
        <v>0.061</v>
      </c>
      <c r="L24" s="3">
        <v>5263.38366461</v>
      </c>
      <c r="N24" s="3">
        <v>0.0</v>
      </c>
      <c r="O24" s="3">
        <v>500.0</v>
      </c>
      <c r="P24" s="3">
        <v>0.0</v>
      </c>
      <c r="Q24" s="3">
        <v>870.0</v>
      </c>
      <c r="S24" s="3">
        <v>0.537931034483</v>
      </c>
      <c r="T24" s="3" t="s">
        <v>27</v>
      </c>
      <c r="U24" s="3" t="s">
        <v>92</v>
      </c>
    </row>
    <row r="25">
      <c r="A25" s="3" t="s">
        <v>33</v>
      </c>
      <c r="B25" s="3" t="s">
        <v>22</v>
      </c>
      <c r="C25" s="3" t="s">
        <v>23</v>
      </c>
      <c r="D25" s="3" t="s">
        <v>24</v>
      </c>
      <c r="E25" s="3" t="s">
        <v>47</v>
      </c>
      <c r="F25" s="3">
        <v>0.0</v>
      </c>
      <c r="G25" s="3" t="s">
        <v>79</v>
      </c>
      <c r="H25" s="3">
        <v>569.0</v>
      </c>
      <c r="I25" s="3" t="s">
        <v>27</v>
      </c>
      <c r="J25" s="3">
        <v>632.0</v>
      </c>
      <c r="K25" s="3">
        <v>0.122108843537</v>
      </c>
      <c r="L25" s="3">
        <v>11386.0203173</v>
      </c>
      <c r="M25" s="3">
        <v>235.0</v>
      </c>
      <c r="N25" s="3">
        <v>1.0</v>
      </c>
      <c r="O25" s="3">
        <v>735.0</v>
      </c>
      <c r="P25" s="3">
        <v>1.36054421769</v>
      </c>
      <c r="Q25" s="3">
        <v>774.149659864</v>
      </c>
      <c r="R25" s="3">
        <v>569.0</v>
      </c>
      <c r="S25" s="3">
        <v>1.11072056239</v>
      </c>
      <c r="T25" s="3" t="s">
        <v>27</v>
      </c>
      <c r="U25" s="3" t="s">
        <v>94</v>
      </c>
    </row>
    <row r="26">
      <c r="A26" s="3" t="s">
        <v>33</v>
      </c>
      <c r="B26" s="3" t="s">
        <v>22</v>
      </c>
      <c r="C26" s="3" t="s">
        <v>23</v>
      </c>
      <c r="D26" s="3" t="s">
        <v>24</v>
      </c>
      <c r="E26" s="3" t="s">
        <v>47</v>
      </c>
      <c r="F26" s="3">
        <v>0.0</v>
      </c>
      <c r="G26" s="3" t="s">
        <v>81</v>
      </c>
      <c r="H26" s="3">
        <v>680.0</v>
      </c>
      <c r="I26" s="3" t="s">
        <v>27</v>
      </c>
      <c r="J26" s="3">
        <v>474.0</v>
      </c>
      <c r="K26" s="3">
        <v>0.124830852503</v>
      </c>
      <c r="L26" s="3">
        <v>9811.22831321</v>
      </c>
      <c r="M26" s="3">
        <v>239.0</v>
      </c>
      <c r="N26" s="3">
        <v>1.0</v>
      </c>
      <c r="O26" s="3">
        <v>739.0</v>
      </c>
      <c r="P26" s="3">
        <v>1.35317997294</v>
      </c>
      <c r="Q26" s="3">
        <v>920.162381597</v>
      </c>
      <c r="R26" s="3">
        <v>680.0</v>
      </c>
      <c r="S26" s="3">
        <v>0.697058823529</v>
      </c>
      <c r="T26" s="3" t="s">
        <v>27</v>
      </c>
      <c r="U26" s="3" t="s">
        <v>95</v>
      </c>
    </row>
    <row r="27">
      <c r="A27" s="3" t="s">
        <v>33</v>
      </c>
      <c r="B27" s="3" t="s">
        <v>22</v>
      </c>
      <c r="C27" s="3" t="s">
        <v>23</v>
      </c>
      <c r="D27" s="3" t="s">
        <v>24</v>
      </c>
      <c r="E27" s="3" t="s">
        <v>51</v>
      </c>
      <c r="F27" s="3">
        <v>0.0</v>
      </c>
      <c r="G27" s="3" t="s">
        <v>81</v>
      </c>
      <c r="H27" s="3">
        <v>438.0</v>
      </c>
      <c r="I27" s="3" t="s">
        <v>27</v>
      </c>
      <c r="J27" s="3">
        <v>346.0</v>
      </c>
      <c r="K27" s="3">
        <v>0.06125</v>
      </c>
      <c r="L27" s="3">
        <v>5798.71483159</v>
      </c>
      <c r="N27" s="3">
        <v>0.0</v>
      </c>
      <c r="O27" s="3">
        <v>500.0</v>
      </c>
      <c r="P27" s="3">
        <v>0.0</v>
      </c>
      <c r="Q27" s="3">
        <v>876.0</v>
      </c>
      <c r="S27" s="3">
        <v>0.7899543379</v>
      </c>
      <c r="T27" s="3" t="s">
        <v>27</v>
      </c>
      <c r="U27" s="3" t="s">
        <v>97</v>
      </c>
    </row>
    <row r="28">
      <c r="A28" s="3" t="s">
        <v>33</v>
      </c>
      <c r="B28" s="3" t="s">
        <v>22</v>
      </c>
      <c r="C28" s="3" t="s">
        <v>23</v>
      </c>
      <c r="D28" s="3" t="s">
        <v>54</v>
      </c>
      <c r="E28" s="3" t="s">
        <v>25</v>
      </c>
      <c r="F28" s="3">
        <v>0.0</v>
      </c>
      <c r="G28" s="3" t="s">
        <v>81</v>
      </c>
      <c r="H28" s="3">
        <v>491.0</v>
      </c>
      <c r="I28" s="3" t="s">
        <v>27</v>
      </c>
      <c r="J28" s="3">
        <v>45.0</v>
      </c>
      <c r="K28" s="3">
        <v>0.121274409044</v>
      </c>
      <c r="L28" s="3">
        <v>5081.87369585</v>
      </c>
      <c r="M28" s="3">
        <v>473.0</v>
      </c>
      <c r="N28" s="3">
        <v>1.0</v>
      </c>
      <c r="O28" s="3">
        <v>973.0</v>
      </c>
      <c r="P28" s="3">
        <v>1.02774922919</v>
      </c>
      <c r="Q28" s="3">
        <v>504.624871531</v>
      </c>
      <c r="R28" s="3">
        <v>491.0</v>
      </c>
      <c r="S28" s="3">
        <v>0.091649694501</v>
      </c>
      <c r="T28" s="3" t="s">
        <v>27</v>
      </c>
      <c r="U28" s="3" t="s">
        <v>99</v>
      </c>
    </row>
    <row r="29">
      <c r="A29" s="3" t="s">
        <v>33</v>
      </c>
      <c r="B29" s="3" t="s">
        <v>22</v>
      </c>
      <c r="C29" s="3" t="s">
        <v>23</v>
      </c>
      <c r="D29" s="3" t="s">
        <v>54</v>
      </c>
      <c r="E29" s="3" t="s">
        <v>34</v>
      </c>
      <c r="F29" s="3">
        <v>0.0</v>
      </c>
      <c r="G29" s="3" t="s">
        <v>81</v>
      </c>
      <c r="H29" s="3">
        <v>1358.0</v>
      </c>
      <c r="I29" s="3" t="s">
        <v>27</v>
      </c>
      <c r="J29" s="3">
        <v>651.0</v>
      </c>
      <c r="K29" s="3">
        <v>0.235244161359</v>
      </c>
      <c r="L29" s="3">
        <v>19751.9443719</v>
      </c>
      <c r="M29" s="3">
        <v>67.0</v>
      </c>
      <c r="N29" s="3">
        <v>4.0</v>
      </c>
      <c r="O29" s="3">
        <v>1570.0</v>
      </c>
      <c r="P29" s="3">
        <v>2.54777070064</v>
      </c>
      <c r="Q29" s="3">
        <v>864.968152866</v>
      </c>
      <c r="R29" s="3">
        <v>339.5</v>
      </c>
      <c r="S29" s="3">
        <v>0.479381443299</v>
      </c>
      <c r="T29" s="3" t="s">
        <v>27</v>
      </c>
      <c r="U29" s="3" t="s">
        <v>100</v>
      </c>
    </row>
    <row r="30">
      <c r="A30" s="3" t="s">
        <v>33</v>
      </c>
      <c r="B30" s="3" t="s">
        <v>22</v>
      </c>
      <c r="C30" s="3" t="s">
        <v>23</v>
      </c>
      <c r="D30" s="3" t="s">
        <v>54</v>
      </c>
      <c r="E30" s="3" t="s">
        <v>39</v>
      </c>
      <c r="F30" s="3">
        <v>0.0</v>
      </c>
      <c r="G30" s="3" t="s">
        <v>81</v>
      </c>
      <c r="H30" s="3">
        <v>574.0</v>
      </c>
      <c r="I30" s="3" t="s">
        <v>27</v>
      </c>
      <c r="J30" s="3">
        <v>387.0</v>
      </c>
      <c r="K30" s="3">
        <v>0.165322580645</v>
      </c>
      <c r="L30" s="3">
        <v>5611.67533207</v>
      </c>
      <c r="M30" s="3">
        <v>306.0</v>
      </c>
      <c r="N30" s="3">
        <v>1.0</v>
      </c>
      <c r="O30" s="3">
        <v>806.0</v>
      </c>
      <c r="P30" s="3">
        <v>1.24069478908</v>
      </c>
      <c r="Q30" s="3">
        <v>712.158808933</v>
      </c>
      <c r="R30" s="3">
        <v>574.0</v>
      </c>
      <c r="S30" s="3">
        <v>0.674216027875</v>
      </c>
      <c r="T30" s="3" t="s">
        <v>27</v>
      </c>
      <c r="U30" s="3" t="s">
        <v>103</v>
      </c>
    </row>
    <row r="31">
      <c r="A31" s="3" t="s">
        <v>33</v>
      </c>
      <c r="B31" s="3" t="s">
        <v>22</v>
      </c>
      <c r="C31" s="3" t="s">
        <v>23</v>
      </c>
      <c r="D31" s="3" t="s">
        <v>54</v>
      </c>
      <c r="E31" s="3" t="s">
        <v>43</v>
      </c>
      <c r="F31" s="3">
        <v>0.0</v>
      </c>
      <c r="G31" s="3" t="s">
        <v>81</v>
      </c>
      <c r="H31" s="3">
        <v>2457.0</v>
      </c>
      <c r="I31" s="3" t="s">
        <v>27</v>
      </c>
      <c r="J31" s="3">
        <v>580.0</v>
      </c>
      <c r="K31" s="3">
        <v>0.157044242234</v>
      </c>
      <c r="L31" s="3">
        <v>27384.2953832</v>
      </c>
      <c r="M31" s="3">
        <v>411.0</v>
      </c>
      <c r="N31" s="3">
        <v>18.0</v>
      </c>
      <c r="O31" s="3">
        <v>3187.0</v>
      </c>
      <c r="P31" s="3">
        <v>5.64794477565</v>
      </c>
      <c r="Q31" s="3">
        <v>770.944461876</v>
      </c>
      <c r="R31" s="3">
        <v>136.5</v>
      </c>
      <c r="S31" s="3">
        <v>0.23606023606</v>
      </c>
      <c r="T31" s="3" t="s">
        <v>27</v>
      </c>
      <c r="U31" s="3" t="s">
        <v>105</v>
      </c>
    </row>
    <row r="32">
      <c r="A32" s="3" t="s">
        <v>33</v>
      </c>
      <c r="B32" s="3" t="s">
        <v>22</v>
      </c>
      <c r="C32" s="3" t="s">
        <v>23</v>
      </c>
      <c r="D32" s="3" t="s">
        <v>54</v>
      </c>
      <c r="E32" s="3" t="s">
        <v>47</v>
      </c>
      <c r="F32" s="3">
        <v>0.0</v>
      </c>
      <c r="G32" s="3" t="s">
        <v>81</v>
      </c>
      <c r="H32" s="3">
        <v>3292.0</v>
      </c>
      <c r="I32" s="3" t="s">
        <v>27</v>
      </c>
      <c r="J32" s="3">
        <v>1193.0</v>
      </c>
      <c r="K32" s="3">
        <v>0.180948098664</v>
      </c>
      <c r="L32" s="3">
        <v>49822.2280526</v>
      </c>
      <c r="M32" s="3">
        <v>261.0</v>
      </c>
      <c r="N32" s="3">
        <v>16.0</v>
      </c>
      <c r="O32" s="3">
        <v>3892.0</v>
      </c>
      <c r="P32" s="3">
        <v>4.11099691675</v>
      </c>
      <c r="Q32" s="3">
        <v>845.837615622</v>
      </c>
      <c r="R32" s="3">
        <v>205.75</v>
      </c>
      <c r="S32" s="3">
        <v>0.362393681652</v>
      </c>
      <c r="T32" s="3" t="s">
        <v>27</v>
      </c>
      <c r="U32" s="3" t="s">
        <v>107</v>
      </c>
    </row>
    <row r="33">
      <c r="A33" s="3" t="s">
        <v>33</v>
      </c>
      <c r="B33" s="3" t="s">
        <v>22</v>
      </c>
      <c r="C33" s="3" t="s">
        <v>23</v>
      </c>
      <c r="D33" s="3" t="s">
        <v>54</v>
      </c>
      <c r="E33" s="3" t="s">
        <v>51</v>
      </c>
      <c r="F33" s="3">
        <v>0.0</v>
      </c>
      <c r="G33" s="3" t="s">
        <v>81</v>
      </c>
      <c r="H33" s="3">
        <v>2221.0</v>
      </c>
      <c r="I33" s="3" t="s">
        <v>27</v>
      </c>
      <c r="J33" s="3">
        <v>554.0</v>
      </c>
      <c r="K33" s="3">
        <v>0.15615981241</v>
      </c>
      <c r="L33" s="3">
        <v>28856.3513865</v>
      </c>
      <c r="M33" s="3">
        <v>50.0</v>
      </c>
      <c r="N33" s="3">
        <v>19.0</v>
      </c>
      <c r="O33" s="3">
        <v>2772.0</v>
      </c>
      <c r="P33" s="3">
        <v>6.85425685426</v>
      </c>
      <c r="Q33" s="3">
        <v>801.226551227</v>
      </c>
      <c r="R33" s="3">
        <v>116.894736842</v>
      </c>
      <c r="S33" s="3">
        <v>0.249437190455</v>
      </c>
      <c r="T33" s="3" t="s">
        <v>27</v>
      </c>
      <c r="U33" s="3" t="s">
        <v>109</v>
      </c>
    </row>
    <row r="34">
      <c r="A34" s="3" t="s">
        <v>33</v>
      </c>
      <c r="B34" s="3" t="s">
        <v>22</v>
      </c>
      <c r="C34" s="3" t="s">
        <v>23</v>
      </c>
      <c r="D34" s="3" t="s">
        <v>72</v>
      </c>
      <c r="E34" s="3" t="s">
        <v>25</v>
      </c>
      <c r="F34" s="3">
        <v>0.0</v>
      </c>
      <c r="G34" s="3" t="s">
        <v>81</v>
      </c>
      <c r="H34" s="3">
        <v>1220.0</v>
      </c>
      <c r="I34" s="3" t="s">
        <v>27</v>
      </c>
      <c r="J34" s="3">
        <v>803.0</v>
      </c>
      <c r="K34" s="3">
        <v>0.236063984489</v>
      </c>
      <c r="L34" s="3">
        <v>38112.2118821</v>
      </c>
      <c r="M34" s="3">
        <v>375.0</v>
      </c>
      <c r="N34" s="3">
        <v>5.0</v>
      </c>
      <c r="O34" s="3">
        <v>2063.0</v>
      </c>
      <c r="P34" s="3">
        <v>2.42365487155</v>
      </c>
      <c r="Q34" s="3">
        <v>591.371788657</v>
      </c>
      <c r="R34" s="3">
        <v>244.0</v>
      </c>
      <c r="S34" s="3">
        <v>0.658196721311</v>
      </c>
      <c r="T34" s="3" t="s">
        <v>27</v>
      </c>
      <c r="U34" s="3" t="s">
        <v>111</v>
      </c>
    </row>
    <row r="35">
      <c r="A35" s="3" t="s">
        <v>33</v>
      </c>
      <c r="B35" s="3" t="s">
        <v>22</v>
      </c>
      <c r="C35" s="3" t="s">
        <v>23</v>
      </c>
      <c r="D35" s="3" t="s">
        <v>72</v>
      </c>
      <c r="E35" s="3" t="s">
        <v>39</v>
      </c>
      <c r="F35" s="3">
        <v>0.0</v>
      </c>
      <c r="G35" s="3" t="s">
        <v>81</v>
      </c>
      <c r="H35" s="3">
        <v>1157.0</v>
      </c>
      <c r="I35" s="3" t="s">
        <v>27</v>
      </c>
      <c r="J35" s="3">
        <v>1045.0</v>
      </c>
      <c r="K35" s="3">
        <v>0.1978926097</v>
      </c>
      <c r="L35" s="3">
        <v>33440.6471047</v>
      </c>
      <c r="M35" s="3">
        <v>74.0</v>
      </c>
      <c r="N35" s="3">
        <v>6.0</v>
      </c>
      <c r="O35" s="3">
        <v>1732.0</v>
      </c>
      <c r="P35" s="3">
        <v>3.46420323326</v>
      </c>
      <c r="Q35" s="3">
        <v>668.013856813</v>
      </c>
      <c r="R35" s="3">
        <v>192.833333333</v>
      </c>
      <c r="S35" s="3">
        <v>0.90319792567</v>
      </c>
      <c r="T35" s="3" t="s">
        <v>27</v>
      </c>
      <c r="U35" s="3" t="s">
        <v>113</v>
      </c>
    </row>
    <row r="36">
      <c r="A36" s="3" t="s">
        <v>33</v>
      </c>
      <c r="B36" s="3" t="s">
        <v>114</v>
      </c>
      <c r="C36" s="3" t="s">
        <v>35</v>
      </c>
      <c r="D36" s="3" t="s">
        <v>24</v>
      </c>
      <c r="E36" s="3" t="s">
        <v>25</v>
      </c>
      <c r="F36" s="3">
        <v>0.0</v>
      </c>
      <c r="G36" s="3" t="s">
        <v>115</v>
      </c>
      <c r="H36" s="3">
        <v>533.0</v>
      </c>
      <c r="I36" s="3">
        <v>0.0</v>
      </c>
      <c r="J36" s="3">
        <v>0.0</v>
      </c>
      <c r="K36" s="3">
        <v>0.063</v>
      </c>
      <c r="L36" s="3">
        <v>485.410184383</v>
      </c>
      <c r="N36" s="3">
        <v>0.0</v>
      </c>
      <c r="O36" s="3">
        <v>500.0</v>
      </c>
      <c r="P36" s="3">
        <v>0.0</v>
      </c>
      <c r="Q36" s="3">
        <v>1066.0</v>
      </c>
      <c r="S36" s="3">
        <v>0.0</v>
      </c>
      <c r="T36" s="3">
        <v>0.0</v>
      </c>
      <c r="U36" s="3" t="s">
        <v>116</v>
      </c>
    </row>
    <row r="37">
      <c r="A37" s="3" t="s">
        <v>33</v>
      </c>
      <c r="B37" s="3" t="s">
        <v>114</v>
      </c>
      <c r="C37" s="3" t="s">
        <v>35</v>
      </c>
      <c r="D37" s="3" t="s">
        <v>24</v>
      </c>
      <c r="E37" s="3" t="s">
        <v>25</v>
      </c>
      <c r="F37" s="3">
        <v>0.0</v>
      </c>
      <c r="G37" s="3" t="s">
        <v>119</v>
      </c>
      <c r="H37" s="3">
        <v>879.0</v>
      </c>
      <c r="I37" s="3">
        <v>0.0</v>
      </c>
      <c r="J37" s="3">
        <v>0.0</v>
      </c>
      <c r="K37" s="3">
        <v>0.0</v>
      </c>
      <c r="L37" s="3">
        <v>1079.47451305</v>
      </c>
      <c r="N37" s="3">
        <v>0.0</v>
      </c>
      <c r="O37" s="3">
        <v>500.0</v>
      </c>
      <c r="P37" s="3">
        <v>0.0</v>
      </c>
      <c r="Q37" s="3">
        <v>1758.0</v>
      </c>
      <c r="S37" s="3">
        <v>0.0</v>
      </c>
      <c r="T37" s="3">
        <v>0.0</v>
      </c>
      <c r="U37" s="3" t="s">
        <v>120</v>
      </c>
    </row>
    <row r="38">
      <c r="A38" s="3" t="s">
        <v>33</v>
      </c>
      <c r="B38" s="3" t="s">
        <v>114</v>
      </c>
      <c r="C38" s="3" t="s">
        <v>35</v>
      </c>
      <c r="D38" s="3" t="s">
        <v>24</v>
      </c>
      <c r="E38" s="3" t="s">
        <v>25</v>
      </c>
      <c r="F38" s="3">
        <v>0.0</v>
      </c>
      <c r="G38" s="3" t="s">
        <v>121</v>
      </c>
      <c r="H38" s="3">
        <v>883.0</v>
      </c>
      <c r="I38" s="3">
        <v>0.0</v>
      </c>
      <c r="J38" s="3">
        <v>0.0</v>
      </c>
      <c r="K38" s="3">
        <v>0.0</v>
      </c>
      <c r="L38" s="3">
        <v>888.066625834</v>
      </c>
      <c r="N38" s="3">
        <v>0.0</v>
      </c>
      <c r="O38" s="3">
        <v>500.0</v>
      </c>
      <c r="P38" s="3">
        <v>0.0</v>
      </c>
      <c r="Q38" s="3">
        <v>1766.0</v>
      </c>
      <c r="S38" s="3">
        <v>0.0</v>
      </c>
      <c r="T38" s="3">
        <v>0.0</v>
      </c>
      <c r="U38" s="3" t="s">
        <v>123</v>
      </c>
    </row>
    <row r="39">
      <c r="A39" s="3" t="s">
        <v>33</v>
      </c>
      <c r="B39" s="3" t="s">
        <v>114</v>
      </c>
      <c r="C39" s="3" t="s">
        <v>35</v>
      </c>
      <c r="D39" s="3" t="s">
        <v>24</v>
      </c>
      <c r="E39" s="3" t="s">
        <v>25</v>
      </c>
      <c r="F39" s="3">
        <v>0.0</v>
      </c>
      <c r="G39" s="3" t="s">
        <v>124</v>
      </c>
      <c r="H39" s="3">
        <v>856.0</v>
      </c>
      <c r="I39" s="3">
        <v>0.0</v>
      </c>
      <c r="J39" s="3">
        <v>0.0</v>
      </c>
      <c r="K39" s="3">
        <v>0.0</v>
      </c>
      <c r="L39" s="3">
        <v>855.490702868</v>
      </c>
      <c r="N39" s="3">
        <v>0.0</v>
      </c>
      <c r="O39" s="3">
        <v>500.0</v>
      </c>
      <c r="P39" s="3">
        <v>0.0</v>
      </c>
      <c r="Q39" s="3">
        <v>1712.0</v>
      </c>
      <c r="S39" s="3">
        <v>0.0</v>
      </c>
      <c r="T39" s="3">
        <v>0.0</v>
      </c>
      <c r="U39" s="3" t="s">
        <v>126</v>
      </c>
    </row>
    <row r="40">
      <c r="A40" s="3" t="s">
        <v>33</v>
      </c>
      <c r="B40" s="3" t="s">
        <v>114</v>
      </c>
      <c r="C40" s="3" t="s">
        <v>35</v>
      </c>
      <c r="D40" s="3" t="s">
        <v>24</v>
      </c>
      <c r="E40" s="3" t="s">
        <v>34</v>
      </c>
      <c r="F40" s="3">
        <v>0.0</v>
      </c>
      <c r="G40" s="3" t="s">
        <v>115</v>
      </c>
      <c r="H40" s="3">
        <v>1782.0</v>
      </c>
      <c r="I40" s="3">
        <v>0.0</v>
      </c>
      <c r="J40" s="3">
        <v>0.0</v>
      </c>
      <c r="K40" s="3">
        <v>0.426666666667</v>
      </c>
      <c r="L40" s="3">
        <v>1924.46535206</v>
      </c>
      <c r="N40" s="3">
        <v>0.0</v>
      </c>
      <c r="O40" s="3">
        <v>500.0</v>
      </c>
      <c r="P40" s="3">
        <v>0.0</v>
      </c>
      <c r="Q40" s="3">
        <v>3564.0</v>
      </c>
      <c r="S40" s="3">
        <v>0.0</v>
      </c>
      <c r="T40" s="3">
        <v>0.0</v>
      </c>
      <c r="U40" s="3" t="s">
        <v>127</v>
      </c>
    </row>
    <row r="41">
      <c r="A41" s="3" t="s">
        <v>33</v>
      </c>
      <c r="B41" s="3" t="s">
        <v>114</v>
      </c>
      <c r="C41" s="3" t="s">
        <v>35</v>
      </c>
      <c r="D41" s="3" t="s">
        <v>24</v>
      </c>
      <c r="E41" s="3" t="s">
        <v>34</v>
      </c>
      <c r="F41" s="3">
        <v>0.0</v>
      </c>
      <c r="G41" s="3" t="s">
        <v>124</v>
      </c>
      <c r="H41" s="3">
        <v>1673.0</v>
      </c>
      <c r="I41" s="3">
        <v>0.0</v>
      </c>
      <c r="J41" s="3">
        <v>0.0</v>
      </c>
      <c r="K41" s="3">
        <v>0.0213333333333</v>
      </c>
      <c r="L41" s="3">
        <v>1985.38535404</v>
      </c>
      <c r="N41" s="3">
        <v>0.0</v>
      </c>
      <c r="O41" s="3">
        <v>500.0</v>
      </c>
      <c r="P41" s="3">
        <v>0.0</v>
      </c>
      <c r="Q41" s="3">
        <v>3346.0</v>
      </c>
      <c r="S41" s="3">
        <v>0.0</v>
      </c>
      <c r="T41" s="3">
        <v>0.0</v>
      </c>
      <c r="U41" s="3" t="s">
        <v>129</v>
      </c>
    </row>
    <row r="42">
      <c r="A42" s="3" t="s">
        <v>33</v>
      </c>
      <c r="B42" s="3" t="s">
        <v>114</v>
      </c>
      <c r="C42" s="3" t="s">
        <v>35</v>
      </c>
      <c r="D42" s="3" t="s">
        <v>24</v>
      </c>
      <c r="E42" s="3" t="s">
        <v>39</v>
      </c>
      <c r="F42" s="3">
        <v>0.0</v>
      </c>
      <c r="G42" s="3" t="s">
        <v>115</v>
      </c>
      <c r="H42" s="3">
        <v>615.0</v>
      </c>
      <c r="I42" s="3">
        <v>0.0</v>
      </c>
      <c r="J42" s="3">
        <v>0.0</v>
      </c>
      <c r="K42" s="3">
        <v>0.2985</v>
      </c>
      <c r="L42" s="3">
        <v>610.511965036</v>
      </c>
      <c r="N42" s="3">
        <v>0.0</v>
      </c>
      <c r="O42" s="3">
        <v>500.0</v>
      </c>
      <c r="P42" s="3">
        <v>0.0</v>
      </c>
      <c r="Q42" s="3">
        <v>1230.0</v>
      </c>
      <c r="S42" s="3">
        <v>0.0</v>
      </c>
      <c r="T42" s="3">
        <v>0.0</v>
      </c>
      <c r="U42" s="3" t="s">
        <v>131</v>
      </c>
    </row>
    <row r="43">
      <c r="A43" s="3" t="s">
        <v>33</v>
      </c>
      <c r="B43" s="3" t="s">
        <v>114</v>
      </c>
      <c r="C43" s="3" t="s">
        <v>35</v>
      </c>
      <c r="D43" s="3" t="s">
        <v>24</v>
      </c>
      <c r="E43" s="3" t="s">
        <v>39</v>
      </c>
      <c r="F43" s="3">
        <v>0.0</v>
      </c>
      <c r="G43" s="3" t="s">
        <v>119</v>
      </c>
      <c r="H43" s="3">
        <v>999.0</v>
      </c>
      <c r="I43" s="3">
        <v>0.0</v>
      </c>
      <c r="J43" s="3">
        <v>0.0</v>
      </c>
      <c r="K43" s="3">
        <v>0.481</v>
      </c>
      <c r="L43" s="3">
        <v>1382.1614058</v>
      </c>
      <c r="N43" s="3">
        <v>0.0</v>
      </c>
      <c r="O43" s="3">
        <v>500.0</v>
      </c>
      <c r="P43" s="3">
        <v>0.0</v>
      </c>
      <c r="Q43" s="3">
        <v>1998.0</v>
      </c>
      <c r="S43" s="3">
        <v>0.0</v>
      </c>
      <c r="T43" s="3">
        <v>0.0</v>
      </c>
      <c r="U43" s="3" t="s">
        <v>133</v>
      </c>
    </row>
    <row r="44">
      <c r="A44" s="3" t="s">
        <v>33</v>
      </c>
      <c r="B44" s="3" t="s">
        <v>114</v>
      </c>
      <c r="C44" s="3" t="s">
        <v>35</v>
      </c>
      <c r="D44" s="3" t="s">
        <v>24</v>
      </c>
      <c r="E44" s="3" t="s">
        <v>39</v>
      </c>
      <c r="F44" s="3">
        <v>0.0</v>
      </c>
      <c r="G44" s="3" t="s">
        <v>121</v>
      </c>
      <c r="H44" s="3">
        <v>798.0</v>
      </c>
      <c r="I44" s="3">
        <v>0.0</v>
      </c>
      <c r="J44" s="3">
        <v>0.0</v>
      </c>
      <c r="K44" s="3">
        <v>0.098</v>
      </c>
      <c r="L44" s="3">
        <v>963.11272645</v>
      </c>
      <c r="N44" s="3">
        <v>0.0</v>
      </c>
      <c r="O44" s="3">
        <v>500.0</v>
      </c>
      <c r="P44" s="3">
        <v>0.0</v>
      </c>
      <c r="Q44" s="3">
        <v>1596.0</v>
      </c>
      <c r="S44" s="3">
        <v>0.0</v>
      </c>
      <c r="T44" s="3">
        <v>0.0</v>
      </c>
      <c r="U44" s="3" t="s">
        <v>135</v>
      </c>
    </row>
    <row r="45">
      <c r="A45" s="3" t="s">
        <v>33</v>
      </c>
      <c r="B45" s="3" t="s">
        <v>114</v>
      </c>
      <c r="C45" s="3" t="s">
        <v>35</v>
      </c>
      <c r="D45" s="3" t="s">
        <v>24</v>
      </c>
      <c r="E45" s="3" t="s">
        <v>39</v>
      </c>
      <c r="F45" s="3">
        <v>0.0</v>
      </c>
      <c r="G45" s="3" t="s">
        <v>124</v>
      </c>
      <c r="H45" s="3">
        <v>826.0</v>
      </c>
      <c r="I45" s="3">
        <v>0.0</v>
      </c>
      <c r="J45" s="3">
        <v>0.0</v>
      </c>
      <c r="K45" s="3">
        <v>0.187</v>
      </c>
      <c r="L45" s="3">
        <v>858.972461462</v>
      </c>
      <c r="N45" s="3">
        <v>0.0</v>
      </c>
      <c r="O45" s="3">
        <v>500.0</v>
      </c>
      <c r="P45" s="3">
        <v>0.0</v>
      </c>
      <c r="Q45" s="3">
        <v>1652.0</v>
      </c>
      <c r="S45" s="3">
        <v>0.0</v>
      </c>
      <c r="T45" s="3">
        <v>0.0</v>
      </c>
      <c r="U45" s="3" t="s">
        <v>137</v>
      </c>
    </row>
    <row r="46">
      <c r="A46" s="3" t="s">
        <v>33</v>
      </c>
      <c r="B46" s="3" t="s">
        <v>114</v>
      </c>
      <c r="C46" s="3" t="s">
        <v>35</v>
      </c>
      <c r="D46" s="3" t="s">
        <v>24</v>
      </c>
      <c r="E46" s="3" t="s">
        <v>43</v>
      </c>
      <c r="F46" s="3">
        <v>0.0</v>
      </c>
      <c r="G46" s="3" t="s">
        <v>115</v>
      </c>
      <c r="H46" s="3">
        <v>1401.0</v>
      </c>
      <c r="I46" s="3">
        <v>0.0</v>
      </c>
      <c r="J46" s="3">
        <v>0.0</v>
      </c>
      <c r="K46" s="3">
        <v>0.323333333333</v>
      </c>
      <c r="L46" s="3">
        <v>1690.37792826</v>
      </c>
      <c r="N46" s="3">
        <v>0.0</v>
      </c>
      <c r="O46" s="3">
        <v>500.0</v>
      </c>
      <c r="P46" s="3">
        <v>0.0</v>
      </c>
      <c r="Q46" s="3">
        <v>2802.0</v>
      </c>
      <c r="S46" s="3">
        <v>0.0</v>
      </c>
      <c r="T46" s="3">
        <v>0.0</v>
      </c>
      <c r="U46" s="3" t="s">
        <v>139</v>
      </c>
    </row>
    <row r="47">
      <c r="A47" s="3" t="s">
        <v>33</v>
      </c>
      <c r="B47" s="3" t="s">
        <v>114</v>
      </c>
      <c r="C47" s="3" t="s">
        <v>35</v>
      </c>
      <c r="D47" s="3" t="s">
        <v>24</v>
      </c>
      <c r="E47" s="3" t="s">
        <v>43</v>
      </c>
      <c r="F47" s="3">
        <v>0.0</v>
      </c>
      <c r="G47" s="3" t="s">
        <v>124</v>
      </c>
      <c r="H47" s="3">
        <v>1603.0</v>
      </c>
      <c r="I47" s="3">
        <v>0.0</v>
      </c>
      <c r="J47" s="3">
        <v>0.0</v>
      </c>
      <c r="K47" s="3">
        <v>0.0556666666667</v>
      </c>
      <c r="L47" s="3">
        <v>1743.20202899</v>
      </c>
      <c r="N47" s="3">
        <v>0.0</v>
      </c>
      <c r="O47" s="3">
        <v>500.0</v>
      </c>
      <c r="P47" s="3">
        <v>0.0</v>
      </c>
      <c r="Q47" s="3">
        <v>3206.0</v>
      </c>
      <c r="S47" s="3">
        <v>0.0</v>
      </c>
      <c r="T47" s="3">
        <v>0.0</v>
      </c>
      <c r="U47" s="3" t="s">
        <v>141</v>
      </c>
    </row>
    <row r="48">
      <c r="A48" s="3" t="s">
        <v>33</v>
      </c>
      <c r="B48" s="3" t="s">
        <v>114</v>
      </c>
      <c r="C48" s="3" t="s">
        <v>35</v>
      </c>
      <c r="D48" s="3" t="s">
        <v>24</v>
      </c>
      <c r="E48" s="3" t="s">
        <v>47</v>
      </c>
      <c r="F48" s="3">
        <v>0.0</v>
      </c>
      <c r="G48" s="3" t="s">
        <v>115</v>
      </c>
      <c r="H48" s="3">
        <v>1562.0</v>
      </c>
      <c r="I48" s="3">
        <v>0.0</v>
      </c>
      <c r="J48" s="3">
        <v>0.0</v>
      </c>
      <c r="K48" s="3">
        <v>0.2915</v>
      </c>
      <c r="L48" s="3">
        <v>1881.31941557</v>
      </c>
      <c r="N48" s="3">
        <v>0.0</v>
      </c>
      <c r="O48" s="3">
        <v>500.0</v>
      </c>
      <c r="P48" s="3">
        <v>0.0</v>
      </c>
      <c r="Q48" s="3">
        <v>3124.0</v>
      </c>
      <c r="S48" s="3">
        <v>0.0</v>
      </c>
      <c r="T48" s="3">
        <v>0.0</v>
      </c>
      <c r="U48" s="3" t="s">
        <v>143</v>
      </c>
    </row>
    <row r="49">
      <c r="A49" s="3" t="s">
        <v>33</v>
      </c>
      <c r="B49" s="3" t="s">
        <v>114</v>
      </c>
      <c r="C49" s="3" t="s">
        <v>35</v>
      </c>
      <c r="D49" s="3" t="s">
        <v>24</v>
      </c>
      <c r="E49" s="3" t="s">
        <v>47</v>
      </c>
      <c r="F49" s="3">
        <v>0.0</v>
      </c>
      <c r="G49" s="3" t="s">
        <v>121</v>
      </c>
      <c r="H49" s="3">
        <v>1817.0</v>
      </c>
      <c r="I49" s="3">
        <v>0.0</v>
      </c>
      <c r="J49" s="3">
        <v>0.0</v>
      </c>
      <c r="K49" s="3">
        <v>0.1805</v>
      </c>
      <c r="L49" s="3">
        <v>2638.370785</v>
      </c>
      <c r="N49" s="3">
        <v>0.0</v>
      </c>
      <c r="O49" s="3">
        <v>500.0</v>
      </c>
      <c r="P49" s="3">
        <v>0.0</v>
      </c>
      <c r="Q49" s="3">
        <v>3634.0</v>
      </c>
      <c r="S49" s="3">
        <v>0.0</v>
      </c>
      <c r="T49" s="3">
        <v>0.0</v>
      </c>
      <c r="U49" s="3" t="s">
        <v>145</v>
      </c>
    </row>
    <row r="50">
      <c r="A50" s="3" t="s">
        <v>33</v>
      </c>
      <c r="B50" s="3" t="s">
        <v>114</v>
      </c>
      <c r="C50" s="3" t="s">
        <v>35</v>
      </c>
      <c r="D50" s="3" t="s">
        <v>24</v>
      </c>
      <c r="E50" s="3" t="s">
        <v>47</v>
      </c>
      <c r="F50" s="3">
        <v>0.0</v>
      </c>
      <c r="G50" s="3" t="s">
        <v>124</v>
      </c>
      <c r="H50" s="3">
        <v>2207.0</v>
      </c>
      <c r="I50" s="3">
        <v>0.0</v>
      </c>
      <c r="J50" s="3">
        <v>0.0</v>
      </c>
      <c r="K50" s="3">
        <v>0.243</v>
      </c>
      <c r="L50" s="3">
        <v>3147.92402124</v>
      </c>
      <c r="N50" s="3">
        <v>0.0</v>
      </c>
      <c r="O50" s="3">
        <v>500.0</v>
      </c>
      <c r="P50" s="3">
        <v>0.0</v>
      </c>
      <c r="Q50" s="3">
        <v>4414.0</v>
      </c>
      <c r="S50" s="3">
        <v>0.0</v>
      </c>
      <c r="T50" s="3">
        <v>0.0</v>
      </c>
      <c r="U50" s="3" t="s">
        <v>146</v>
      </c>
    </row>
    <row r="51">
      <c r="A51" s="3" t="s">
        <v>33</v>
      </c>
      <c r="B51" s="3" t="s">
        <v>114</v>
      </c>
      <c r="C51" s="3" t="s">
        <v>35</v>
      </c>
      <c r="D51" s="3" t="s">
        <v>24</v>
      </c>
      <c r="E51" s="3" t="s">
        <v>51</v>
      </c>
      <c r="F51" s="3">
        <v>0.0</v>
      </c>
      <c r="G51" s="3" t="s">
        <v>115</v>
      </c>
      <c r="H51" s="3">
        <v>997.0</v>
      </c>
      <c r="I51" s="3">
        <v>0.0</v>
      </c>
      <c r="J51" s="3">
        <v>0.0</v>
      </c>
      <c r="K51" s="3">
        <v>0.2785</v>
      </c>
      <c r="L51" s="3">
        <v>1303.59752154</v>
      </c>
      <c r="N51" s="3">
        <v>0.0</v>
      </c>
      <c r="O51" s="3">
        <v>500.0</v>
      </c>
      <c r="P51" s="3">
        <v>0.0</v>
      </c>
      <c r="Q51" s="3">
        <v>1994.0</v>
      </c>
      <c r="S51" s="3">
        <v>0.0</v>
      </c>
      <c r="T51" s="3">
        <v>0.0</v>
      </c>
      <c r="U51" s="3" t="s">
        <v>148</v>
      </c>
    </row>
    <row r="52">
      <c r="A52" s="3" t="s">
        <v>33</v>
      </c>
      <c r="B52" s="3" t="s">
        <v>114</v>
      </c>
      <c r="C52" s="3" t="s">
        <v>35</v>
      </c>
      <c r="D52" s="3" t="s">
        <v>24</v>
      </c>
      <c r="E52" s="3" t="s">
        <v>51</v>
      </c>
      <c r="F52" s="3">
        <v>0.0</v>
      </c>
      <c r="G52" s="3" t="s">
        <v>124</v>
      </c>
      <c r="H52" s="3">
        <v>1662.0</v>
      </c>
      <c r="I52" s="3">
        <v>0.0</v>
      </c>
      <c r="J52" s="3">
        <v>0.0</v>
      </c>
      <c r="K52" s="3">
        <v>0.0935</v>
      </c>
      <c r="L52" s="3">
        <v>2765.95587444</v>
      </c>
      <c r="N52" s="3">
        <v>0.0</v>
      </c>
      <c r="O52" s="3">
        <v>500.0</v>
      </c>
      <c r="P52" s="3">
        <v>0.0</v>
      </c>
      <c r="Q52" s="3">
        <v>3324.0</v>
      </c>
      <c r="S52" s="3">
        <v>0.0</v>
      </c>
      <c r="T52" s="3">
        <v>0.0</v>
      </c>
      <c r="U52" s="3" t="s">
        <v>154</v>
      </c>
    </row>
    <row r="53">
      <c r="A53" s="3" t="s">
        <v>33</v>
      </c>
      <c r="B53" s="3" t="s">
        <v>114</v>
      </c>
      <c r="C53" s="3" t="s">
        <v>35</v>
      </c>
      <c r="D53" s="3" t="s">
        <v>54</v>
      </c>
      <c r="E53" s="3" t="s">
        <v>25</v>
      </c>
      <c r="F53" s="3">
        <v>0.0</v>
      </c>
      <c r="G53" s="3" t="s">
        <v>115</v>
      </c>
      <c r="H53" s="3">
        <v>883.0</v>
      </c>
      <c r="I53" s="3">
        <v>0.0</v>
      </c>
      <c r="J53" s="3">
        <v>0.0</v>
      </c>
      <c r="K53" s="3">
        <v>0.0</v>
      </c>
      <c r="L53" s="3">
        <v>1309.52344465</v>
      </c>
      <c r="N53" s="3">
        <v>0.0</v>
      </c>
      <c r="O53" s="3">
        <v>500.0</v>
      </c>
      <c r="P53" s="3">
        <v>0.0</v>
      </c>
      <c r="Q53" s="3">
        <v>1766.0</v>
      </c>
      <c r="S53" s="3">
        <v>0.0</v>
      </c>
      <c r="T53" s="3">
        <v>0.0</v>
      </c>
      <c r="U53" s="3" t="s">
        <v>159</v>
      </c>
    </row>
    <row r="54">
      <c r="A54" s="3" t="s">
        <v>33</v>
      </c>
      <c r="B54" s="3" t="s">
        <v>114</v>
      </c>
      <c r="C54" s="3" t="s">
        <v>35</v>
      </c>
      <c r="D54" s="3" t="s">
        <v>54</v>
      </c>
      <c r="E54" s="3" t="s">
        <v>25</v>
      </c>
      <c r="F54" s="3">
        <v>0.0</v>
      </c>
      <c r="G54" s="3" t="s">
        <v>124</v>
      </c>
      <c r="H54" s="3">
        <v>658.0</v>
      </c>
      <c r="I54" s="3">
        <v>0.0</v>
      </c>
      <c r="J54" s="3">
        <v>0.0</v>
      </c>
      <c r="K54" s="3">
        <v>0.0</v>
      </c>
      <c r="L54" s="3">
        <v>1028.2259438</v>
      </c>
      <c r="N54" s="3">
        <v>0.0</v>
      </c>
      <c r="O54" s="3">
        <v>500.0</v>
      </c>
      <c r="P54" s="3">
        <v>0.0</v>
      </c>
      <c r="Q54" s="3">
        <v>1316.0</v>
      </c>
      <c r="S54" s="3">
        <v>0.0</v>
      </c>
      <c r="T54" s="3">
        <v>0.0</v>
      </c>
      <c r="U54" s="3" t="s">
        <v>160</v>
      </c>
    </row>
    <row r="55">
      <c r="A55" s="3" t="s">
        <v>33</v>
      </c>
      <c r="B55" s="3" t="s">
        <v>114</v>
      </c>
      <c r="C55" s="3" t="s">
        <v>35</v>
      </c>
      <c r="D55" s="3" t="s">
        <v>54</v>
      </c>
      <c r="E55" s="3" t="s">
        <v>34</v>
      </c>
      <c r="F55" s="3">
        <v>0.0</v>
      </c>
      <c r="G55" s="3" t="s">
        <v>115</v>
      </c>
      <c r="H55" s="3">
        <v>2541.0</v>
      </c>
      <c r="I55" s="3">
        <v>0.0</v>
      </c>
      <c r="J55" s="3">
        <v>0.0</v>
      </c>
      <c r="K55" s="3">
        <v>0.00333333333333</v>
      </c>
      <c r="L55" s="3">
        <v>4466.9559083</v>
      </c>
      <c r="N55" s="3">
        <v>0.0</v>
      </c>
      <c r="O55" s="3">
        <v>500.0</v>
      </c>
      <c r="P55" s="3">
        <v>0.0</v>
      </c>
      <c r="Q55" s="3">
        <v>5082.0</v>
      </c>
      <c r="S55" s="3">
        <v>0.0</v>
      </c>
      <c r="T55" s="3">
        <v>0.0</v>
      </c>
      <c r="U55" s="3" t="s">
        <v>162</v>
      </c>
    </row>
    <row r="56">
      <c r="A56" s="3" t="s">
        <v>33</v>
      </c>
      <c r="B56" s="3" t="s">
        <v>114</v>
      </c>
      <c r="C56" s="3" t="s">
        <v>35</v>
      </c>
      <c r="D56" s="3" t="s">
        <v>54</v>
      </c>
      <c r="E56" s="3" t="s">
        <v>34</v>
      </c>
      <c r="F56" s="3">
        <v>0.0</v>
      </c>
      <c r="G56" s="3" t="s">
        <v>124</v>
      </c>
      <c r="H56" s="3">
        <v>1042.0</v>
      </c>
      <c r="I56" s="3">
        <v>0.0</v>
      </c>
      <c r="J56" s="3">
        <v>0.0</v>
      </c>
      <c r="K56" s="3">
        <v>0.133666666667</v>
      </c>
      <c r="L56" s="3">
        <v>1626.94286203</v>
      </c>
      <c r="N56" s="3">
        <v>0.0</v>
      </c>
      <c r="O56" s="3">
        <v>500.0</v>
      </c>
      <c r="P56" s="3">
        <v>0.0</v>
      </c>
      <c r="Q56" s="3">
        <v>2084.0</v>
      </c>
      <c r="S56" s="3">
        <v>0.0</v>
      </c>
      <c r="T56" s="3">
        <v>0.0</v>
      </c>
      <c r="U56" s="3" t="s">
        <v>164</v>
      </c>
    </row>
    <row r="57">
      <c r="A57" s="3" t="s">
        <v>33</v>
      </c>
      <c r="B57" s="3" t="s">
        <v>114</v>
      </c>
      <c r="C57" s="3" t="s">
        <v>35</v>
      </c>
      <c r="D57" s="3" t="s">
        <v>54</v>
      </c>
      <c r="E57" s="3" t="s">
        <v>39</v>
      </c>
      <c r="F57" s="3">
        <v>0.0</v>
      </c>
      <c r="G57" s="3" t="s">
        <v>115</v>
      </c>
      <c r="H57" s="3">
        <v>1566.0</v>
      </c>
      <c r="I57" s="3">
        <v>0.0</v>
      </c>
      <c r="J57" s="3">
        <v>0.0</v>
      </c>
      <c r="K57" s="3">
        <v>0.0</v>
      </c>
      <c r="L57" s="3">
        <v>2572.08512449</v>
      </c>
      <c r="N57" s="3">
        <v>0.0</v>
      </c>
      <c r="O57" s="3">
        <v>500.0</v>
      </c>
      <c r="P57" s="3">
        <v>0.0</v>
      </c>
      <c r="Q57" s="3">
        <v>3132.0</v>
      </c>
      <c r="S57" s="3">
        <v>0.0</v>
      </c>
      <c r="T57" s="3">
        <v>0.0</v>
      </c>
      <c r="U57" s="3" t="s">
        <v>166</v>
      </c>
    </row>
    <row r="58">
      <c r="A58" s="3" t="s">
        <v>33</v>
      </c>
      <c r="B58" s="3" t="s">
        <v>114</v>
      </c>
      <c r="C58" s="3" t="s">
        <v>35</v>
      </c>
      <c r="D58" s="3" t="s">
        <v>54</v>
      </c>
      <c r="E58" s="3" t="s">
        <v>39</v>
      </c>
      <c r="F58" s="3">
        <v>0.0</v>
      </c>
      <c r="G58" s="3" t="s">
        <v>124</v>
      </c>
      <c r="H58" s="3">
        <v>603.0</v>
      </c>
      <c r="I58" s="3">
        <v>0.0</v>
      </c>
      <c r="J58" s="3">
        <v>0.0</v>
      </c>
      <c r="K58" s="3">
        <v>0.1045</v>
      </c>
      <c r="L58" s="3">
        <v>934.647487164</v>
      </c>
      <c r="N58" s="3">
        <v>0.0</v>
      </c>
      <c r="O58" s="3">
        <v>500.0</v>
      </c>
      <c r="P58" s="3">
        <v>0.0</v>
      </c>
      <c r="Q58" s="3">
        <v>1206.0</v>
      </c>
      <c r="S58" s="3">
        <v>0.0</v>
      </c>
      <c r="T58" s="3">
        <v>0.0</v>
      </c>
      <c r="U58" s="3" t="s">
        <v>167</v>
      </c>
    </row>
    <row r="59">
      <c r="A59" s="3" t="s">
        <v>33</v>
      </c>
      <c r="B59" s="3" t="s">
        <v>114</v>
      </c>
      <c r="C59" s="3" t="s">
        <v>35</v>
      </c>
      <c r="D59" s="3" t="s">
        <v>54</v>
      </c>
      <c r="E59" s="3" t="s">
        <v>43</v>
      </c>
      <c r="F59" s="3">
        <v>0.0</v>
      </c>
      <c r="G59" s="3" t="s">
        <v>115</v>
      </c>
      <c r="H59" s="3">
        <v>1834.0</v>
      </c>
      <c r="I59" s="3">
        <v>0.0</v>
      </c>
      <c r="J59" s="3">
        <v>0.0</v>
      </c>
      <c r="K59" s="3">
        <v>0.0</v>
      </c>
      <c r="L59" s="3">
        <v>2940.05719781</v>
      </c>
      <c r="N59" s="3">
        <v>0.0</v>
      </c>
      <c r="O59" s="3">
        <v>500.0</v>
      </c>
      <c r="P59" s="3">
        <v>0.0</v>
      </c>
      <c r="Q59" s="3">
        <v>3668.0</v>
      </c>
      <c r="S59" s="3">
        <v>0.0</v>
      </c>
      <c r="T59" s="3">
        <v>0.0</v>
      </c>
      <c r="U59" s="3" t="s">
        <v>169</v>
      </c>
    </row>
    <row r="60">
      <c r="A60" s="3" t="s">
        <v>33</v>
      </c>
      <c r="B60" s="3" t="s">
        <v>114</v>
      </c>
      <c r="C60" s="3" t="s">
        <v>35</v>
      </c>
      <c r="D60" s="3" t="s">
        <v>54</v>
      </c>
      <c r="E60" s="3" t="s">
        <v>43</v>
      </c>
      <c r="F60" s="3">
        <v>0.0</v>
      </c>
      <c r="G60" s="3" t="s">
        <v>124</v>
      </c>
      <c r="H60" s="3">
        <v>1106.0</v>
      </c>
      <c r="I60" s="3">
        <v>0.0</v>
      </c>
      <c r="J60" s="3">
        <v>0.0</v>
      </c>
      <c r="K60" s="3">
        <v>0.122666666667</v>
      </c>
      <c r="L60" s="3">
        <v>1795.11854815</v>
      </c>
      <c r="N60" s="3">
        <v>0.0</v>
      </c>
      <c r="O60" s="3">
        <v>500.0</v>
      </c>
      <c r="P60" s="3">
        <v>0.0</v>
      </c>
      <c r="Q60" s="3">
        <v>2212.0</v>
      </c>
      <c r="S60" s="3">
        <v>0.0</v>
      </c>
      <c r="T60" s="3">
        <v>0.0</v>
      </c>
      <c r="U60" s="3" t="s">
        <v>171</v>
      </c>
    </row>
    <row r="61">
      <c r="A61" s="3" t="s">
        <v>33</v>
      </c>
      <c r="B61" s="3" t="s">
        <v>114</v>
      </c>
      <c r="C61" s="3" t="s">
        <v>35</v>
      </c>
      <c r="D61" s="3" t="s">
        <v>54</v>
      </c>
      <c r="E61" s="3" t="s">
        <v>47</v>
      </c>
      <c r="F61" s="3">
        <v>0.0</v>
      </c>
      <c r="G61" s="3" t="s">
        <v>115</v>
      </c>
      <c r="H61" s="3">
        <v>2697.0</v>
      </c>
      <c r="I61" s="3">
        <v>0.0</v>
      </c>
      <c r="J61" s="3">
        <v>0.0</v>
      </c>
      <c r="K61" s="3">
        <v>0.00775</v>
      </c>
      <c r="L61" s="3">
        <v>4395.71087027</v>
      </c>
      <c r="N61" s="3">
        <v>0.0</v>
      </c>
      <c r="O61" s="3">
        <v>500.0</v>
      </c>
      <c r="P61" s="3">
        <v>0.0</v>
      </c>
      <c r="Q61" s="3">
        <v>5394.0</v>
      </c>
      <c r="S61" s="3">
        <v>0.0</v>
      </c>
      <c r="T61" s="3">
        <v>0.0</v>
      </c>
      <c r="U61" s="3" t="s">
        <v>173</v>
      </c>
    </row>
    <row r="62">
      <c r="A62" s="3" t="s">
        <v>33</v>
      </c>
      <c r="B62" s="3" t="s">
        <v>114</v>
      </c>
      <c r="C62" s="3" t="s">
        <v>35</v>
      </c>
      <c r="D62" s="3" t="s">
        <v>54</v>
      </c>
      <c r="E62" s="3" t="s">
        <v>47</v>
      </c>
      <c r="F62" s="3">
        <v>0.0</v>
      </c>
      <c r="G62" s="3" t="s">
        <v>124</v>
      </c>
      <c r="H62" s="3">
        <v>1040.0</v>
      </c>
      <c r="I62" s="3">
        <v>0.0</v>
      </c>
      <c r="J62" s="3">
        <v>0.0</v>
      </c>
      <c r="K62" s="3">
        <v>0.173</v>
      </c>
      <c r="L62" s="3">
        <v>1811.78774691</v>
      </c>
      <c r="N62" s="3">
        <v>0.0</v>
      </c>
      <c r="O62" s="3">
        <v>500.0</v>
      </c>
      <c r="P62" s="3">
        <v>0.0</v>
      </c>
      <c r="Q62" s="3">
        <v>2080.0</v>
      </c>
      <c r="S62" s="3">
        <v>0.0</v>
      </c>
      <c r="T62" s="3">
        <v>0.0</v>
      </c>
      <c r="U62" s="3" t="s">
        <v>174</v>
      </c>
    </row>
    <row r="63">
      <c r="A63" s="3" t="s">
        <v>33</v>
      </c>
      <c r="B63" s="3" t="s">
        <v>114</v>
      </c>
      <c r="C63" s="3" t="s">
        <v>35</v>
      </c>
      <c r="D63" s="3" t="s">
        <v>54</v>
      </c>
      <c r="E63" s="3" t="s">
        <v>51</v>
      </c>
      <c r="F63" s="3">
        <v>0.0</v>
      </c>
      <c r="G63" s="3" t="s">
        <v>115</v>
      </c>
      <c r="H63" s="3">
        <v>1682.0</v>
      </c>
      <c r="I63" s="3">
        <v>0.0</v>
      </c>
      <c r="J63" s="3">
        <v>0.0</v>
      </c>
      <c r="K63" s="3">
        <v>0.184</v>
      </c>
      <c r="L63" s="3">
        <v>2723.80369449</v>
      </c>
      <c r="N63" s="3">
        <v>0.0</v>
      </c>
      <c r="O63" s="3">
        <v>500.0</v>
      </c>
      <c r="P63" s="3">
        <v>0.0</v>
      </c>
      <c r="Q63" s="3">
        <v>3364.0</v>
      </c>
      <c r="S63" s="3">
        <v>0.0</v>
      </c>
      <c r="T63" s="3">
        <v>0.0</v>
      </c>
      <c r="U63" s="3" t="s">
        <v>176</v>
      </c>
    </row>
    <row r="64">
      <c r="A64" s="3" t="s">
        <v>33</v>
      </c>
      <c r="B64" s="3" t="s">
        <v>114</v>
      </c>
      <c r="C64" s="3" t="s">
        <v>35</v>
      </c>
      <c r="D64" s="3" t="s">
        <v>54</v>
      </c>
      <c r="E64" s="3" t="s">
        <v>51</v>
      </c>
      <c r="F64" s="3">
        <v>0.0</v>
      </c>
      <c r="G64" s="3" t="s">
        <v>124</v>
      </c>
      <c r="H64" s="3">
        <v>1221.0</v>
      </c>
      <c r="I64" s="3">
        <v>0.0</v>
      </c>
      <c r="J64" s="3">
        <v>0.0</v>
      </c>
      <c r="K64" s="3">
        <v>0.174</v>
      </c>
      <c r="L64" s="3">
        <v>2114.17589664</v>
      </c>
      <c r="N64" s="3">
        <v>0.0</v>
      </c>
      <c r="O64" s="3">
        <v>500.0</v>
      </c>
      <c r="P64" s="3">
        <v>0.0</v>
      </c>
      <c r="Q64" s="3">
        <v>2442.0</v>
      </c>
      <c r="S64" s="3">
        <v>0.0</v>
      </c>
      <c r="T64" s="3">
        <v>0.0</v>
      </c>
      <c r="U64" s="3" t="s">
        <v>178</v>
      </c>
    </row>
    <row r="65">
      <c r="A65" s="3" t="s">
        <v>33</v>
      </c>
      <c r="B65" s="3" t="s">
        <v>114</v>
      </c>
      <c r="C65" s="3" t="s">
        <v>35</v>
      </c>
      <c r="D65" s="3" t="s">
        <v>72</v>
      </c>
      <c r="E65" s="3" t="s">
        <v>25</v>
      </c>
      <c r="F65" s="3">
        <v>0.0</v>
      </c>
      <c r="G65" s="3" t="s">
        <v>124</v>
      </c>
      <c r="H65" s="3">
        <v>904.0</v>
      </c>
      <c r="I65" s="3">
        <v>0.0</v>
      </c>
      <c r="J65" s="3">
        <v>0.0</v>
      </c>
      <c r="K65" s="3">
        <v>0.046</v>
      </c>
      <c r="L65" s="3">
        <v>1902.6979785</v>
      </c>
      <c r="N65" s="3">
        <v>0.0</v>
      </c>
      <c r="O65" s="3">
        <v>500.0</v>
      </c>
      <c r="P65" s="3">
        <v>0.0</v>
      </c>
      <c r="Q65" s="3">
        <v>1808.0</v>
      </c>
      <c r="S65" s="3">
        <v>0.0</v>
      </c>
      <c r="T65" s="3">
        <v>0.0</v>
      </c>
      <c r="U65" s="3" t="s">
        <v>180</v>
      </c>
    </row>
    <row r="66">
      <c r="A66" s="3" t="s">
        <v>33</v>
      </c>
      <c r="B66" s="3" t="s">
        <v>114</v>
      </c>
      <c r="C66" s="3" t="s">
        <v>35</v>
      </c>
      <c r="D66" s="3" t="s">
        <v>72</v>
      </c>
      <c r="E66" s="3" t="s">
        <v>34</v>
      </c>
      <c r="F66" s="3">
        <v>0.0</v>
      </c>
      <c r="G66" s="3" t="s">
        <v>124</v>
      </c>
      <c r="H66" s="3">
        <v>2024.0</v>
      </c>
      <c r="I66" s="3">
        <v>0.0</v>
      </c>
      <c r="J66" s="3">
        <v>28.0</v>
      </c>
      <c r="K66" s="3">
        <v>0.315</v>
      </c>
      <c r="L66" s="3">
        <v>3633.57395315</v>
      </c>
      <c r="N66" s="3">
        <v>0.0</v>
      </c>
      <c r="O66" s="3">
        <v>500.0</v>
      </c>
      <c r="P66" s="3">
        <v>0.0</v>
      </c>
      <c r="Q66" s="3">
        <v>4048.0</v>
      </c>
      <c r="S66" s="3">
        <v>0.0138339920949</v>
      </c>
      <c r="T66" s="3">
        <v>0.0</v>
      </c>
      <c r="U66" s="3" t="s">
        <v>182</v>
      </c>
    </row>
    <row r="67">
      <c r="A67" s="3" t="s">
        <v>33</v>
      </c>
      <c r="B67" s="3" t="s">
        <v>114</v>
      </c>
      <c r="C67" s="3" t="s">
        <v>35</v>
      </c>
      <c r="D67" s="3" t="s">
        <v>72</v>
      </c>
      <c r="E67" s="3" t="s">
        <v>39</v>
      </c>
      <c r="F67" s="3">
        <v>0.0</v>
      </c>
      <c r="G67" s="3" t="s">
        <v>124</v>
      </c>
      <c r="H67" s="3">
        <v>1403.0</v>
      </c>
      <c r="I67" s="3">
        <v>1.0</v>
      </c>
      <c r="J67" s="3">
        <v>9.0</v>
      </c>
      <c r="K67" s="3">
        <v>0.117417677643</v>
      </c>
      <c r="L67" s="3">
        <v>2777.16647553</v>
      </c>
      <c r="M67" s="3">
        <v>77.0</v>
      </c>
      <c r="N67" s="3">
        <v>1.0</v>
      </c>
      <c r="O67" s="3">
        <v>577.0</v>
      </c>
      <c r="P67" s="3">
        <v>1.73310225303</v>
      </c>
      <c r="Q67" s="3">
        <v>2431.54246101</v>
      </c>
      <c r="R67" s="3">
        <v>1403.0</v>
      </c>
      <c r="S67" s="3">
        <v>0.0064148253742</v>
      </c>
      <c r="T67" s="3">
        <v>7.12758374911E-4</v>
      </c>
      <c r="U67" s="3" t="s">
        <v>184</v>
      </c>
    </row>
    <row r="68">
      <c r="A68" s="3" t="s">
        <v>33</v>
      </c>
      <c r="B68" s="3" t="s">
        <v>114</v>
      </c>
      <c r="C68" s="3" t="s">
        <v>35</v>
      </c>
      <c r="D68" s="3" t="s">
        <v>72</v>
      </c>
      <c r="E68" s="3" t="s">
        <v>43</v>
      </c>
      <c r="F68" s="3">
        <v>0.0</v>
      </c>
      <c r="G68" s="3" t="s">
        <v>124</v>
      </c>
      <c r="H68" s="3">
        <v>1578.0</v>
      </c>
      <c r="I68" s="3">
        <v>0.0</v>
      </c>
      <c r="J68" s="3">
        <v>55.0</v>
      </c>
      <c r="K68" s="3">
        <v>0.229</v>
      </c>
      <c r="L68" s="3">
        <v>3304.06099486</v>
      </c>
      <c r="N68" s="3">
        <v>0.0</v>
      </c>
      <c r="O68" s="3">
        <v>500.0</v>
      </c>
      <c r="P68" s="3">
        <v>0.0</v>
      </c>
      <c r="Q68" s="3">
        <v>3156.0</v>
      </c>
      <c r="S68" s="3">
        <v>0.0348542458809</v>
      </c>
      <c r="T68" s="3">
        <v>0.0</v>
      </c>
      <c r="U68" s="3" t="s">
        <v>185</v>
      </c>
    </row>
    <row r="69">
      <c r="A69" s="3" t="s">
        <v>33</v>
      </c>
      <c r="B69" s="3" t="s">
        <v>114</v>
      </c>
      <c r="C69" s="3" t="s">
        <v>35</v>
      </c>
      <c r="D69" s="3" t="s">
        <v>72</v>
      </c>
      <c r="E69" s="3" t="s">
        <v>47</v>
      </c>
      <c r="F69" s="3">
        <v>0.0</v>
      </c>
      <c r="G69" s="3" t="s">
        <v>124</v>
      </c>
      <c r="H69" s="3">
        <v>2015.0</v>
      </c>
      <c r="I69" s="3">
        <v>0.0</v>
      </c>
      <c r="J69" s="3">
        <v>220.0</v>
      </c>
      <c r="K69" s="3">
        <v>0.12875</v>
      </c>
      <c r="L69" s="3">
        <v>5557.14480662</v>
      </c>
      <c r="N69" s="3">
        <v>0.0</v>
      </c>
      <c r="O69" s="3">
        <v>500.0</v>
      </c>
      <c r="P69" s="3">
        <v>0.0</v>
      </c>
      <c r="Q69" s="3">
        <v>4030.0</v>
      </c>
      <c r="S69" s="3">
        <v>0.109181141439</v>
      </c>
      <c r="T69" s="3">
        <v>0.0</v>
      </c>
      <c r="U69" s="3" t="s">
        <v>187</v>
      </c>
    </row>
    <row r="70">
      <c r="A70" s="3" t="s">
        <v>33</v>
      </c>
      <c r="B70" s="3" t="s">
        <v>114</v>
      </c>
      <c r="C70" s="3" t="s">
        <v>35</v>
      </c>
      <c r="D70" s="3" t="s">
        <v>72</v>
      </c>
      <c r="E70" s="3" t="s">
        <v>51</v>
      </c>
      <c r="F70" s="3">
        <v>0.0</v>
      </c>
      <c r="G70" s="3" t="s">
        <v>124</v>
      </c>
      <c r="H70" s="3">
        <v>1875.0</v>
      </c>
      <c r="I70" s="3">
        <v>0.0</v>
      </c>
      <c r="J70" s="3">
        <v>694.0</v>
      </c>
      <c r="K70" s="3">
        <v>0.23375</v>
      </c>
      <c r="L70" s="3">
        <v>4482.10795069</v>
      </c>
      <c r="N70" s="3">
        <v>0.0</v>
      </c>
      <c r="O70" s="3">
        <v>500.0</v>
      </c>
      <c r="P70" s="3">
        <v>0.0</v>
      </c>
      <c r="Q70" s="3">
        <v>3750.0</v>
      </c>
      <c r="S70" s="3">
        <v>0.370133333333</v>
      </c>
      <c r="T70" s="3">
        <v>0.0</v>
      </c>
      <c r="U70" s="3" t="s">
        <v>189</v>
      </c>
    </row>
    <row r="71">
      <c r="A71" s="3" t="s">
        <v>33</v>
      </c>
      <c r="B71" s="3" t="s">
        <v>114</v>
      </c>
      <c r="C71" s="3" t="s">
        <v>35</v>
      </c>
      <c r="D71" s="3" t="s">
        <v>64</v>
      </c>
      <c r="E71" s="3" t="s">
        <v>25</v>
      </c>
      <c r="F71" s="3">
        <v>0.0</v>
      </c>
      <c r="G71" s="3" t="s">
        <v>124</v>
      </c>
      <c r="H71" s="3">
        <v>1380.0</v>
      </c>
      <c r="I71" s="3">
        <v>0.0</v>
      </c>
      <c r="J71" s="3">
        <v>0.0</v>
      </c>
      <c r="K71" s="3">
        <v>0.0832471561531</v>
      </c>
      <c r="L71" s="3">
        <v>4071.74856949</v>
      </c>
      <c r="M71" s="3">
        <v>35.0</v>
      </c>
      <c r="N71" s="3">
        <v>6.0</v>
      </c>
      <c r="O71" s="3">
        <v>967.0</v>
      </c>
      <c r="P71" s="3">
        <v>6.20475698035</v>
      </c>
      <c r="Q71" s="3">
        <v>1427.09410548</v>
      </c>
      <c r="R71" s="3">
        <v>230.0</v>
      </c>
      <c r="S71" s="3">
        <v>0.0</v>
      </c>
      <c r="T71" s="3">
        <v>0.0</v>
      </c>
      <c r="U71" s="3" t="s">
        <v>191</v>
      </c>
    </row>
    <row r="72">
      <c r="A72" s="3" t="s">
        <v>33</v>
      </c>
      <c r="B72" s="3" t="s">
        <v>114</v>
      </c>
      <c r="C72" s="3" t="s">
        <v>35</v>
      </c>
      <c r="D72" s="3" t="s">
        <v>64</v>
      </c>
      <c r="E72" s="3" t="s">
        <v>34</v>
      </c>
      <c r="F72" s="3">
        <v>0.0</v>
      </c>
      <c r="G72" s="3" t="s">
        <v>124</v>
      </c>
      <c r="H72" s="3">
        <v>2020.0</v>
      </c>
      <c r="I72" s="3">
        <v>0.0</v>
      </c>
      <c r="J72" s="3">
        <v>0.0</v>
      </c>
      <c r="K72" s="3">
        <v>0.322333333333</v>
      </c>
      <c r="L72" s="3">
        <v>5629.44874454</v>
      </c>
      <c r="N72" s="3">
        <v>0.0</v>
      </c>
      <c r="O72" s="3">
        <v>500.0</v>
      </c>
      <c r="P72" s="3">
        <v>0.0</v>
      </c>
      <c r="Q72" s="3">
        <v>4040.0</v>
      </c>
      <c r="S72" s="3">
        <v>0.0</v>
      </c>
      <c r="T72" s="3">
        <v>0.0</v>
      </c>
      <c r="U72" s="3" t="s">
        <v>192</v>
      </c>
    </row>
    <row r="73">
      <c r="A73" s="3" t="s">
        <v>33</v>
      </c>
      <c r="B73" s="3" t="s">
        <v>114</v>
      </c>
      <c r="C73" s="3" t="s">
        <v>35</v>
      </c>
      <c r="D73" s="3" t="s">
        <v>64</v>
      </c>
      <c r="E73" s="3" t="s">
        <v>39</v>
      </c>
      <c r="F73" s="3">
        <v>0.0</v>
      </c>
      <c r="G73" s="3" t="s">
        <v>124</v>
      </c>
      <c r="H73" s="3">
        <v>188.0</v>
      </c>
      <c r="I73" s="3">
        <v>0.0</v>
      </c>
      <c r="J73" s="3">
        <v>0.0</v>
      </c>
      <c r="K73" s="3">
        <v>0.0945</v>
      </c>
      <c r="L73" s="3">
        <v>640.121909142</v>
      </c>
      <c r="N73" s="3">
        <v>0.0</v>
      </c>
      <c r="O73" s="3">
        <v>500.0</v>
      </c>
      <c r="P73" s="3">
        <v>0.0</v>
      </c>
      <c r="Q73" s="3">
        <v>376.0</v>
      </c>
      <c r="S73" s="3">
        <v>0.0</v>
      </c>
      <c r="T73" s="3">
        <v>0.0</v>
      </c>
      <c r="U73" s="3" t="s">
        <v>194</v>
      </c>
    </row>
    <row r="74">
      <c r="A74" s="3" t="s">
        <v>33</v>
      </c>
      <c r="B74" s="3" t="s">
        <v>114</v>
      </c>
      <c r="C74" s="3" t="s">
        <v>35</v>
      </c>
      <c r="D74" s="3" t="s">
        <v>64</v>
      </c>
      <c r="E74" s="3" t="s">
        <v>43</v>
      </c>
      <c r="F74" s="3">
        <v>0.0</v>
      </c>
      <c r="G74" s="3" t="s">
        <v>124</v>
      </c>
      <c r="H74" s="3">
        <v>3450.0</v>
      </c>
      <c r="I74" s="3">
        <v>0.0</v>
      </c>
      <c r="J74" s="3">
        <v>0.0</v>
      </c>
      <c r="K74" s="3">
        <v>0.112258184524</v>
      </c>
      <c r="L74" s="3">
        <v>11974.0565562</v>
      </c>
      <c r="M74" s="3">
        <v>84.0</v>
      </c>
      <c r="N74" s="3">
        <v>11.0</v>
      </c>
      <c r="O74" s="3">
        <v>1792.0</v>
      </c>
      <c r="P74" s="3">
        <v>6.13839285714</v>
      </c>
      <c r="Q74" s="3">
        <v>1925.22321429</v>
      </c>
      <c r="R74" s="3">
        <v>313.636363636</v>
      </c>
      <c r="S74" s="3">
        <v>0.0</v>
      </c>
      <c r="T74" s="3">
        <v>0.0</v>
      </c>
      <c r="U74" s="3" t="s">
        <v>196</v>
      </c>
    </row>
    <row r="75">
      <c r="A75" s="3" t="s">
        <v>33</v>
      </c>
      <c r="B75" s="3" t="s">
        <v>114</v>
      </c>
      <c r="C75" s="3" t="s">
        <v>35</v>
      </c>
      <c r="D75" s="3" t="s">
        <v>64</v>
      </c>
      <c r="E75" s="3" t="s">
        <v>47</v>
      </c>
      <c r="F75" s="3">
        <v>0.0</v>
      </c>
      <c r="G75" s="3" t="s">
        <v>124</v>
      </c>
      <c r="H75" s="3">
        <v>2454.0</v>
      </c>
      <c r="I75" s="3">
        <v>0.0</v>
      </c>
      <c r="J75" s="3">
        <v>0.0</v>
      </c>
      <c r="K75" s="3">
        <v>0.1995</v>
      </c>
      <c r="L75" s="3">
        <v>7934.17511344</v>
      </c>
      <c r="N75" s="3">
        <v>0.0</v>
      </c>
      <c r="O75" s="3">
        <v>500.0</v>
      </c>
      <c r="P75" s="3">
        <v>0.0</v>
      </c>
      <c r="Q75" s="3">
        <v>4908.0</v>
      </c>
      <c r="S75" s="3">
        <v>0.0</v>
      </c>
      <c r="T75" s="3">
        <v>0.0</v>
      </c>
      <c r="U75" s="3" t="s">
        <v>198</v>
      </c>
    </row>
    <row r="76">
      <c r="A76" s="3" t="s">
        <v>33</v>
      </c>
      <c r="B76" s="3" t="s">
        <v>114</v>
      </c>
      <c r="C76" s="3" t="s">
        <v>35</v>
      </c>
      <c r="D76" s="3" t="s">
        <v>64</v>
      </c>
      <c r="E76" s="3" t="s">
        <v>51</v>
      </c>
      <c r="F76" s="3">
        <v>0.0</v>
      </c>
      <c r="G76" s="3" t="s">
        <v>124</v>
      </c>
      <c r="H76" s="3">
        <v>7974.0</v>
      </c>
      <c r="I76" s="3">
        <v>0.0</v>
      </c>
      <c r="J76" s="3">
        <v>1.0</v>
      </c>
      <c r="K76" s="3">
        <v>0.15656390717</v>
      </c>
      <c r="L76" s="3">
        <v>28404.2779999</v>
      </c>
      <c r="M76" s="3">
        <v>125.0</v>
      </c>
      <c r="N76" s="3">
        <v>9.0</v>
      </c>
      <c r="O76" s="3">
        <v>2887.0</v>
      </c>
      <c r="P76" s="3">
        <v>3.11742293038</v>
      </c>
      <c r="Q76" s="3">
        <v>2762.03671631</v>
      </c>
      <c r="R76" s="3">
        <v>886.0</v>
      </c>
      <c r="S76" s="3">
        <v>1.25407574618E-4</v>
      </c>
      <c r="T76" s="3">
        <v>0.0</v>
      </c>
      <c r="U76" s="3" t="s">
        <v>200</v>
      </c>
    </row>
    <row r="77">
      <c r="A77" s="3" t="s">
        <v>33</v>
      </c>
      <c r="B77" s="3" t="s">
        <v>114</v>
      </c>
      <c r="C77" s="3" t="s">
        <v>35</v>
      </c>
      <c r="D77" s="3" t="s">
        <v>102</v>
      </c>
      <c r="E77" s="3" t="s">
        <v>25</v>
      </c>
      <c r="F77" s="3">
        <v>0.0</v>
      </c>
      <c r="G77" s="3" t="s">
        <v>124</v>
      </c>
      <c r="H77" s="3">
        <v>182.0</v>
      </c>
      <c r="I77" s="3">
        <v>0.0</v>
      </c>
      <c r="J77" s="3">
        <v>0.0</v>
      </c>
      <c r="K77" s="3">
        <v>0.092523364486</v>
      </c>
      <c r="L77" s="3">
        <v>701.393873453</v>
      </c>
      <c r="M77" s="3">
        <v>35.0</v>
      </c>
      <c r="N77" s="3">
        <v>1.0</v>
      </c>
      <c r="O77" s="3">
        <v>535.0</v>
      </c>
      <c r="P77" s="3">
        <v>1.8691588785</v>
      </c>
      <c r="Q77" s="3">
        <v>340.186915888</v>
      </c>
      <c r="R77" s="3">
        <v>182.0</v>
      </c>
      <c r="S77" s="3">
        <v>0.0</v>
      </c>
      <c r="T77" s="3">
        <v>0.0</v>
      </c>
      <c r="U77" s="3" t="s">
        <v>202</v>
      </c>
    </row>
    <row r="78">
      <c r="A78" s="3" t="s">
        <v>33</v>
      </c>
      <c r="B78" s="3" t="s">
        <v>114</v>
      </c>
      <c r="C78" s="3" t="s">
        <v>35</v>
      </c>
      <c r="D78" s="3" t="s">
        <v>102</v>
      </c>
      <c r="E78" s="3" t="s">
        <v>34</v>
      </c>
      <c r="F78" s="3">
        <v>0.0</v>
      </c>
      <c r="G78" s="3" t="s">
        <v>124</v>
      </c>
      <c r="H78" s="3">
        <v>1047.0</v>
      </c>
      <c r="I78" s="3">
        <v>0.0</v>
      </c>
      <c r="J78" s="3">
        <v>0.0</v>
      </c>
      <c r="K78" s="3">
        <v>0.145668135095</v>
      </c>
      <c r="L78" s="3">
        <v>5241.8482306</v>
      </c>
      <c r="M78" s="3">
        <v>24.0</v>
      </c>
      <c r="N78" s="3">
        <v>5.0</v>
      </c>
      <c r="O78" s="3">
        <v>1135.0</v>
      </c>
      <c r="P78" s="3">
        <v>4.40528634361</v>
      </c>
      <c r="Q78" s="3">
        <v>922.466960352</v>
      </c>
      <c r="R78" s="3">
        <v>209.4</v>
      </c>
      <c r="S78" s="3">
        <v>0.0</v>
      </c>
      <c r="T78" s="3">
        <v>0.0</v>
      </c>
      <c r="U78" s="3" t="s">
        <v>204</v>
      </c>
    </row>
    <row r="79">
      <c r="A79" s="3" t="s">
        <v>33</v>
      </c>
      <c r="B79" s="3" t="s">
        <v>114</v>
      </c>
      <c r="C79" s="3" t="s">
        <v>35</v>
      </c>
      <c r="D79" s="3" t="s">
        <v>102</v>
      </c>
      <c r="E79" s="3" t="s">
        <v>39</v>
      </c>
      <c r="F79" s="3">
        <v>0.0</v>
      </c>
      <c r="G79" s="3" t="s">
        <v>124</v>
      </c>
      <c r="H79" s="3">
        <v>148.0</v>
      </c>
      <c r="I79" s="3">
        <v>0.0</v>
      </c>
      <c r="J79" s="3">
        <v>0.0</v>
      </c>
      <c r="K79" s="3">
        <v>0.116</v>
      </c>
      <c r="L79" s="3">
        <v>705.992320299</v>
      </c>
      <c r="N79" s="3">
        <v>0.0</v>
      </c>
      <c r="O79" s="3">
        <v>500.0</v>
      </c>
      <c r="P79" s="3">
        <v>0.0</v>
      </c>
      <c r="Q79" s="3">
        <v>296.0</v>
      </c>
      <c r="S79" s="3">
        <v>0.0</v>
      </c>
      <c r="T79" s="3">
        <v>0.0</v>
      </c>
      <c r="U79" s="3" t="s">
        <v>205</v>
      </c>
    </row>
    <row r="80">
      <c r="A80" s="3" t="s">
        <v>33</v>
      </c>
      <c r="B80" s="3" t="s">
        <v>114</v>
      </c>
      <c r="C80" s="3" t="s">
        <v>35</v>
      </c>
      <c r="D80" s="3" t="s">
        <v>102</v>
      </c>
      <c r="E80" s="3" t="s">
        <v>43</v>
      </c>
      <c r="F80" s="3">
        <v>0.0</v>
      </c>
      <c r="G80" s="3" t="s">
        <v>124</v>
      </c>
      <c r="H80" s="3">
        <v>1007.0</v>
      </c>
      <c r="I80" s="3">
        <v>0.0</v>
      </c>
      <c r="J80" s="3">
        <v>0.0</v>
      </c>
      <c r="K80" s="3">
        <v>0.086129753915</v>
      </c>
      <c r="L80" s="3">
        <v>5443.63061142</v>
      </c>
      <c r="M80" s="3">
        <v>41.0</v>
      </c>
      <c r="N80" s="3">
        <v>10.0</v>
      </c>
      <c r="O80" s="3">
        <v>1192.0</v>
      </c>
      <c r="P80" s="3">
        <v>8.38926174497</v>
      </c>
      <c r="Q80" s="3">
        <v>844.798657718</v>
      </c>
      <c r="R80" s="3">
        <v>100.7</v>
      </c>
      <c r="S80" s="3">
        <v>0.0</v>
      </c>
      <c r="T80" s="3">
        <v>0.0</v>
      </c>
      <c r="U80" s="3" t="s">
        <v>207</v>
      </c>
    </row>
    <row r="81">
      <c r="A81" s="3" t="s">
        <v>33</v>
      </c>
      <c r="B81" s="3" t="s">
        <v>114</v>
      </c>
      <c r="C81" s="3" t="s">
        <v>35</v>
      </c>
      <c r="D81" s="3" t="s">
        <v>102</v>
      </c>
      <c r="E81" s="3" t="s">
        <v>47</v>
      </c>
      <c r="F81" s="3">
        <v>0.0</v>
      </c>
      <c r="G81" s="3" t="s">
        <v>124</v>
      </c>
      <c r="H81" s="3">
        <v>1349.0</v>
      </c>
      <c r="I81" s="3">
        <v>0.0</v>
      </c>
      <c r="J81" s="3">
        <v>0.0</v>
      </c>
      <c r="K81" s="3">
        <v>0.110758003766</v>
      </c>
      <c r="L81" s="3">
        <v>8333.65758276</v>
      </c>
      <c r="M81" s="3">
        <v>131.0</v>
      </c>
      <c r="N81" s="3">
        <v>5.0</v>
      </c>
      <c r="O81" s="3">
        <v>1062.0</v>
      </c>
      <c r="P81" s="3">
        <v>4.70809792844</v>
      </c>
      <c r="Q81" s="3">
        <v>1270.24482109</v>
      </c>
      <c r="R81" s="3">
        <v>269.8</v>
      </c>
      <c r="S81" s="3">
        <v>0.0</v>
      </c>
      <c r="T81" s="3">
        <v>0.0</v>
      </c>
      <c r="U81" s="3" t="s">
        <v>209</v>
      </c>
    </row>
    <row r="82">
      <c r="A82" s="3" t="s">
        <v>33</v>
      </c>
      <c r="B82" s="3" t="s">
        <v>114</v>
      </c>
      <c r="C82" s="3" t="s">
        <v>35</v>
      </c>
      <c r="D82" s="3" t="s">
        <v>102</v>
      </c>
      <c r="E82" s="3" t="s">
        <v>51</v>
      </c>
      <c r="F82" s="3">
        <v>0.0</v>
      </c>
      <c r="G82" s="3" t="s">
        <v>124</v>
      </c>
      <c r="H82" s="3">
        <v>682.0</v>
      </c>
      <c r="I82" s="3">
        <v>0.0</v>
      </c>
      <c r="J82" s="3">
        <v>0.0</v>
      </c>
      <c r="K82" s="3">
        <v>0.0656175771971</v>
      </c>
      <c r="L82" s="3">
        <v>4327.65548563</v>
      </c>
      <c r="M82" s="3">
        <v>28.0</v>
      </c>
      <c r="N82" s="3">
        <v>4.0</v>
      </c>
      <c r="O82" s="3">
        <v>842.0</v>
      </c>
      <c r="P82" s="3">
        <v>4.75059382423</v>
      </c>
      <c r="Q82" s="3">
        <v>809.976247031</v>
      </c>
      <c r="R82" s="3">
        <v>170.5</v>
      </c>
      <c r="S82" s="3">
        <v>0.0</v>
      </c>
      <c r="T82" s="3">
        <v>0.0</v>
      </c>
      <c r="U82" s="3" t="s">
        <v>211</v>
      </c>
    </row>
    <row r="83">
      <c r="A83" s="3" t="s">
        <v>33</v>
      </c>
      <c r="B83" s="3" t="s">
        <v>114</v>
      </c>
      <c r="C83" s="3" t="s">
        <v>35</v>
      </c>
      <c r="D83" s="3" t="s">
        <v>118</v>
      </c>
      <c r="E83" s="3" t="s">
        <v>25</v>
      </c>
      <c r="F83" s="3">
        <v>0.0</v>
      </c>
      <c r="G83" s="3" t="s">
        <v>124</v>
      </c>
      <c r="H83" s="3">
        <v>686.0</v>
      </c>
      <c r="I83" s="3">
        <v>0.0</v>
      </c>
      <c r="J83" s="3">
        <v>0.0</v>
      </c>
      <c r="K83" s="3">
        <v>0.460405156538</v>
      </c>
      <c r="L83" s="3">
        <v>1709.95188737</v>
      </c>
      <c r="M83" s="3">
        <v>43.0</v>
      </c>
      <c r="N83" s="3">
        <v>1.0</v>
      </c>
      <c r="O83" s="3">
        <v>543.0</v>
      </c>
      <c r="P83" s="3">
        <v>1.84162062615</v>
      </c>
      <c r="Q83" s="3">
        <v>1263.35174954</v>
      </c>
      <c r="R83" s="3">
        <v>686.0</v>
      </c>
      <c r="S83" s="3">
        <v>0.0</v>
      </c>
      <c r="T83" s="3">
        <v>0.0</v>
      </c>
      <c r="U83" s="3" t="s">
        <v>213</v>
      </c>
    </row>
    <row r="84">
      <c r="A84" s="3" t="s">
        <v>33</v>
      </c>
      <c r="B84" s="3" t="s">
        <v>114</v>
      </c>
      <c r="C84" s="3" t="s">
        <v>35</v>
      </c>
      <c r="D84" s="3" t="s">
        <v>118</v>
      </c>
      <c r="E84" s="3" t="s">
        <v>34</v>
      </c>
      <c r="F84" s="3">
        <v>0.0</v>
      </c>
      <c r="G84" s="3" t="s">
        <v>124</v>
      </c>
      <c r="H84" s="3">
        <v>2299.0</v>
      </c>
      <c r="I84" s="3">
        <v>0.0</v>
      </c>
      <c r="J84" s="3">
        <v>0.0</v>
      </c>
      <c r="K84" s="3">
        <v>0.342</v>
      </c>
      <c r="L84" s="3">
        <v>6884.72136831</v>
      </c>
      <c r="N84" s="3">
        <v>0.0</v>
      </c>
      <c r="O84" s="3">
        <v>500.0</v>
      </c>
      <c r="P84" s="3">
        <v>0.0</v>
      </c>
      <c r="Q84" s="3">
        <v>4598.0</v>
      </c>
      <c r="S84" s="3">
        <v>0.0</v>
      </c>
      <c r="T84" s="3">
        <v>0.0</v>
      </c>
      <c r="U84" s="3" t="s">
        <v>214</v>
      </c>
    </row>
    <row r="85">
      <c r="A85" s="3" t="s">
        <v>33</v>
      </c>
      <c r="B85" s="3" t="s">
        <v>114</v>
      </c>
      <c r="C85" s="3" t="s">
        <v>35</v>
      </c>
      <c r="D85" s="3" t="s">
        <v>118</v>
      </c>
      <c r="E85" s="3" t="s">
        <v>39</v>
      </c>
      <c r="F85" s="3">
        <v>0.0</v>
      </c>
      <c r="G85" s="3" t="s">
        <v>124</v>
      </c>
      <c r="H85" s="3">
        <v>1069.0</v>
      </c>
      <c r="I85" s="3">
        <v>0.0</v>
      </c>
      <c r="J85" s="3">
        <v>0.0</v>
      </c>
      <c r="K85" s="3">
        <v>0.4755</v>
      </c>
      <c r="L85" s="3">
        <v>2996.73745179</v>
      </c>
      <c r="N85" s="3">
        <v>0.0</v>
      </c>
      <c r="O85" s="3">
        <v>500.0</v>
      </c>
      <c r="P85" s="3">
        <v>0.0</v>
      </c>
      <c r="Q85" s="3">
        <v>2138.0</v>
      </c>
      <c r="S85" s="3">
        <v>0.0</v>
      </c>
      <c r="T85" s="3">
        <v>0.0</v>
      </c>
      <c r="U85" s="3" t="s">
        <v>216</v>
      </c>
    </row>
    <row r="86">
      <c r="A86" s="3" t="s">
        <v>33</v>
      </c>
      <c r="B86" s="3" t="s">
        <v>114</v>
      </c>
      <c r="C86" s="3" t="s">
        <v>35</v>
      </c>
      <c r="D86" s="3" t="s">
        <v>118</v>
      </c>
      <c r="E86" s="3" t="s">
        <v>43</v>
      </c>
      <c r="F86" s="3">
        <v>0.0</v>
      </c>
      <c r="G86" s="3" t="s">
        <v>124</v>
      </c>
      <c r="H86" s="3">
        <v>1972.0</v>
      </c>
      <c r="I86" s="3">
        <v>0.0</v>
      </c>
      <c r="J86" s="3">
        <v>2.0</v>
      </c>
      <c r="K86" s="3">
        <v>0.108333333333</v>
      </c>
      <c r="L86" s="3">
        <v>7083.68573976</v>
      </c>
      <c r="N86" s="3">
        <v>0.0</v>
      </c>
      <c r="O86" s="3">
        <v>500.0</v>
      </c>
      <c r="P86" s="3">
        <v>0.0</v>
      </c>
      <c r="Q86" s="3">
        <v>3944.0</v>
      </c>
      <c r="S86" s="3">
        <v>0.00101419878296</v>
      </c>
      <c r="T86" s="3">
        <v>0.0</v>
      </c>
      <c r="U86" s="3" t="s">
        <v>218</v>
      </c>
    </row>
    <row r="87">
      <c r="A87" s="3" t="s">
        <v>33</v>
      </c>
      <c r="B87" s="3" t="s">
        <v>114</v>
      </c>
      <c r="C87" s="3" t="s">
        <v>35</v>
      </c>
      <c r="D87" s="3" t="s">
        <v>118</v>
      </c>
      <c r="E87" s="3" t="s">
        <v>47</v>
      </c>
      <c r="F87" s="3">
        <v>0.0</v>
      </c>
      <c r="G87" s="3" t="s">
        <v>124</v>
      </c>
      <c r="H87" s="3">
        <v>2797.0</v>
      </c>
      <c r="I87" s="3">
        <v>0.0</v>
      </c>
      <c r="J87" s="3">
        <v>0.0</v>
      </c>
      <c r="K87" s="3">
        <v>0.187</v>
      </c>
      <c r="L87" s="3">
        <v>9508.59763265</v>
      </c>
      <c r="N87" s="3">
        <v>0.0</v>
      </c>
      <c r="O87" s="3">
        <v>500.0</v>
      </c>
      <c r="P87" s="3">
        <v>0.0</v>
      </c>
      <c r="Q87" s="3">
        <v>5594.0</v>
      </c>
      <c r="S87" s="3">
        <v>0.0</v>
      </c>
      <c r="T87" s="3">
        <v>0.0</v>
      </c>
      <c r="U87" s="3" t="s">
        <v>220</v>
      </c>
    </row>
    <row r="88">
      <c r="A88" s="3" t="s">
        <v>33</v>
      </c>
      <c r="B88" s="3" t="s">
        <v>114</v>
      </c>
      <c r="C88" s="3" t="s">
        <v>35</v>
      </c>
      <c r="D88" s="3" t="s">
        <v>118</v>
      </c>
      <c r="E88" s="3" t="s">
        <v>51</v>
      </c>
      <c r="F88" s="3">
        <v>0.0</v>
      </c>
      <c r="G88" s="3" t="s">
        <v>124</v>
      </c>
      <c r="H88" s="3">
        <v>2153.0</v>
      </c>
      <c r="I88" s="3">
        <v>0.0</v>
      </c>
      <c r="J88" s="3">
        <v>2.0</v>
      </c>
      <c r="K88" s="3">
        <v>0.22</v>
      </c>
      <c r="L88" s="3">
        <v>8127.05589962</v>
      </c>
      <c r="N88" s="3">
        <v>0.0</v>
      </c>
      <c r="O88" s="3">
        <v>500.0</v>
      </c>
      <c r="P88" s="3">
        <v>0.0</v>
      </c>
      <c r="Q88" s="3">
        <v>4306.0</v>
      </c>
      <c r="S88" s="3">
        <v>9.28936367859E-4</v>
      </c>
      <c r="T88" s="3">
        <v>0.0</v>
      </c>
      <c r="U88" s="3" t="s">
        <v>221</v>
      </c>
    </row>
    <row r="89">
      <c r="A89" s="3" t="s">
        <v>33</v>
      </c>
      <c r="B89" s="3" t="s">
        <v>114</v>
      </c>
      <c r="C89" s="3" t="s">
        <v>23</v>
      </c>
      <c r="D89" s="3" t="s">
        <v>24</v>
      </c>
      <c r="E89" s="3" t="s">
        <v>25</v>
      </c>
      <c r="F89" s="3">
        <v>0.0</v>
      </c>
      <c r="G89" s="3" t="s">
        <v>223</v>
      </c>
      <c r="H89" s="3">
        <v>815.0</v>
      </c>
      <c r="I89" s="3" t="s">
        <v>27</v>
      </c>
      <c r="J89" s="3">
        <v>0.0</v>
      </c>
      <c r="K89" s="3">
        <v>0.510570824524</v>
      </c>
      <c r="L89" s="3">
        <v>346.476746321</v>
      </c>
      <c r="M89" s="3">
        <v>60.0</v>
      </c>
      <c r="N89" s="3">
        <v>5.0</v>
      </c>
      <c r="O89" s="3">
        <v>946.0</v>
      </c>
      <c r="P89" s="3">
        <v>5.28541226216</v>
      </c>
      <c r="Q89" s="3">
        <v>861.522198732</v>
      </c>
      <c r="R89" s="3">
        <v>163.0</v>
      </c>
      <c r="S89" s="3">
        <v>0.0</v>
      </c>
      <c r="T89" s="3" t="s">
        <v>27</v>
      </c>
      <c r="U89" s="3" t="s">
        <v>224</v>
      </c>
    </row>
    <row r="90">
      <c r="A90" s="3" t="s">
        <v>33</v>
      </c>
      <c r="B90" s="3" t="s">
        <v>114</v>
      </c>
      <c r="C90" s="3" t="s">
        <v>23</v>
      </c>
      <c r="D90" s="3" t="s">
        <v>24</v>
      </c>
      <c r="E90" s="3" t="s">
        <v>25</v>
      </c>
      <c r="F90" s="3">
        <v>0.0</v>
      </c>
      <c r="G90" s="3" t="s">
        <v>226</v>
      </c>
      <c r="H90" s="3">
        <v>743.0</v>
      </c>
      <c r="I90" s="3" t="s">
        <v>27</v>
      </c>
      <c r="J90" s="3">
        <v>0.0</v>
      </c>
      <c r="K90" s="3">
        <v>0.476817702845</v>
      </c>
      <c r="L90" s="3">
        <v>320.907701015</v>
      </c>
      <c r="M90" s="3">
        <v>63.0</v>
      </c>
      <c r="N90" s="3">
        <v>5.0</v>
      </c>
      <c r="O90" s="3">
        <v>949.0</v>
      </c>
      <c r="P90" s="3">
        <v>5.26870389884</v>
      </c>
      <c r="Q90" s="3">
        <v>782.929399368</v>
      </c>
      <c r="R90" s="3">
        <v>148.6</v>
      </c>
      <c r="S90" s="3">
        <v>0.0</v>
      </c>
      <c r="T90" s="3" t="s">
        <v>27</v>
      </c>
      <c r="U90" s="3" t="s">
        <v>228</v>
      </c>
    </row>
    <row r="91">
      <c r="A91" s="3" t="s">
        <v>33</v>
      </c>
      <c r="B91" s="3" t="s">
        <v>114</v>
      </c>
      <c r="C91" s="3" t="s">
        <v>23</v>
      </c>
      <c r="D91" s="3" t="s">
        <v>24</v>
      </c>
      <c r="E91" s="3" t="s">
        <v>25</v>
      </c>
      <c r="F91" s="3">
        <v>0.0</v>
      </c>
      <c r="G91" s="3" t="s">
        <v>229</v>
      </c>
      <c r="H91" s="3">
        <v>330.0</v>
      </c>
      <c r="I91" s="3" t="s">
        <v>27</v>
      </c>
      <c r="J91" s="3">
        <v>0.0</v>
      </c>
      <c r="K91" s="3">
        <v>0.178610206298</v>
      </c>
      <c r="L91" s="3">
        <v>190.807350159</v>
      </c>
      <c r="M91" s="3">
        <v>63.0</v>
      </c>
      <c r="N91" s="3">
        <v>3.0</v>
      </c>
      <c r="O91" s="3">
        <v>921.0</v>
      </c>
      <c r="P91" s="3">
        <v>3.25732899023</v>
      </c>
      <c r="Q91" s="3">
        <v>358.306188925</v>
      </c>
      <c r="R91" s="3">
        <v>110.0</v>
      </c>
      <c r="S91" s="3">
        <v>0.0</v>
      </c>
      <c r="T91" s="3" t="s">
        <v>27</v>
      </c>
      <c r="U91" s="3" t="s">
        <v>231</v>
      </c>
    </row>
    <row r="92">
      <c r="A92" s="3" t="s">
        <v>33</v>
      </c>
      <c r="B92" s="3" t="s">
        <v>114</v>
      </c>
      <c r="C92" s="3" t="s">
        <v>23</v>
      </c>
      <c r="D92" s="3" t="s">
        <v>24</v>
      </c>
      <c r="E92" s="3" t="s">
        <v>34</v>
      </c>
      <c r="F92" s="3">
        <v>0.0</v>
      </c>
      <c r="G92" s="3" t="s">
        <v>229</v>
      </c>
      <c r="H92" s="3">
        <v>2298.0</v>
      </c>
      <c r="I92" s="3" t="s">
        <v>27</v>
      </c>
      <c r="J92" s="3">
        <v>0.0</v>
      </c>
      <c r="K92" s="3">
        <v>0.314264919942</v>
      </c>
      <c r="L92" s="3">
        <v>1469.38858461</v>
      </c>
      <c r="M92" s="3">
        <v>106.0</v>
      </c>
      <c r="N92" s="3">
        <v>7.0</v>
      </c>
      <c r="O92" s="3">
        <v>1145.0</v>
      </c>
      <c r="P92" s="3">
        <v>6.1135371179</v>
      </c>
      <c r="Q92" s="3">
        <v>2006.98689956</v>
      </c>
      <c r="R92" s="3">
        <v>328.285714286</v>
      </c>
      <c r="S92" s="3">
        <v>0.0</v>
      </c>
      <c r="T92" s="3" t="s">
        <v>27</v>
      </c>
      <c r="U92" s="3" t="s">
        <v>233</v>
      </c>
    </row>
    <row r="93">
      <c r="A93" s="3" t="s">
        <v>33</v>
      </c>
      <c r="B93" s="3" t="s">
        <v>114</v>
      </c>
      <c r="C93" s="3" t="s">
        <v>23</v>
      </c>
      <c r="D93" s="3" t="s">
        <v>24</v>
      </c>
      <c r="E93" s="3" t="s">
        <v>39</v>
      </c>
      <c r="F93" s="3">
        <v>0.0</v>
      </c>
      <c r="G93" s="3" t="s">
        <v>223</v>
      </c>
      <c r="H93" s="3">
        <v>384.0</v>
      </c>
      <c r="I93" s="3" t="s">
        <v>27</v>
      </c>
      <c r="J93" s="3">
        <v>0.0</v>
      </c>
      <c r="K93" s="3">
        <v>0.082</v>
      </c>
      <c r="L93" s="3">
        <v>358.107830048</v>
      </c>
      <c r="N93" s="3">
        <v>0.0</v>
      </c>
      <c r="O93" s="3">
        <v>500.0</v>
      </c>
      <c r="P93" s="3">
        <v>0.0</v>
      </c>
      <c r="Q93" s="3">
        <v>768.0</v>
      </c>
      <c r="S93" s="3">
        <v>0.0</v>
      </c>
      <c r="T93" s="3" t="s">
        <v>27</v>
      </c>
      <c r="U93" s="3" t="s">
        <v>234</v>
      </c>
    </row>
    <row r="94">
      <c r="A94" s="3" t="s">
        <v>33</v>
      </c>
      <c r="B94" s="3" t="s">
        <v>114</v>
      </c>
      <c r="C94" s="3" t="s">
        <v>23</v>
      </c>
      <c r="D94" s="3" t="s">
        <v>24</v>
      </c>
      <c r="E94" s="3" t="s">
        <v>39</v>
      </c>
      <c r="F94" s="3">
        <v>0.0</v>
      </c>
      <c r="G94" s="3" t="s">
        <v>226</v>
      </c>
      <c r="H94" s="3">
        <v>482.0</v>
      </c>
      <c r="I94" s="3" t="s">
        <v>27</v>
      </c>
      <c r="J94" s="3">
        <v>0.0</v>
      </c>
      <c r="K94" s="3">
        <v>0.072</v>
      </c>
      <c r="L94" s="3">
        <v>428.823364019</v>
      </c>
      <c r="N94" s="3">
        <v>0.0</v>
      </c>
      <c r="O94" s="3">
        <v>500.0</v>
      </c>
      <c r="P94" s="3">
        <v>0.0</v>
      </c>
      <c r="Q94" s="3">
        <v>964.0</v>
      </c>
      <c r="S94" s="3">
        <v>0.0</v>
      </c>
      <c r="T94" s="3" t="s">
        <v>27</v>
      </c>
      <c r="U94" s="3" t="s">
        <v>236</v>
      </c>
    </row>
    <row r="95">
      <c r="A95" s="3" t="s">
        <v>33</v>
      </c>
      <c r="B95" s="3" t="s">
        <v>114</v>
      </c>
      <c r="C95" s="3" t="s">
        <v>23</v>
      </c>
      <c r="D95" s="3" t="s">
        <v>24</v>
      </c>
      <c r="E95" s="3" t="s">
        <v>39</v>
      </c>
      <c r="F95" s="3">
        <v>0.0</v>
      </c>
      <c r="G95" s="3" t="s">
        <v>229</v>
      </c>
      <c r="H95" s="3">
        <v>464.0</v>
      </c>
      <c r="I95" s="3" t="s">
        <v>27</v>
      </c>
      <c r="J95" s="3">
        <v>0.0</v>
      </c>
      <c r="K95" s="3">
        <v>0.0735</v>
      </c>
      <c r="L95" s="3">
        <v>400.633504391</v>
      </c>
      <c r="N95" s="3">
        <v>0.0</v>
      </c>
      <c r="O95" s="3">
        <v>500.0</v>
      </c>
      <c r="P95" s="3">
        <v>0.0</v>
      </c>
      <c r="Q95" s="3">
        <v>928.0</v>
      </c>
      <c r="S95" s="3">
        <v>0.0</v>
      </c>
      <c r="T95" s="3" t="s">
        <v>27</v>
      </c>
      <c r="U95" s="3" t="s">
        <v>238</v>
      </c>
    </row>
    <row r="96">
      <c r="A96" s="3" t="s">
        <v>33</v>
      </c>
      <c r="B96" s="3" t="s">
        <v>114</v>
      </c>
      <c r="C96" s="3" t="s">
        <v>23</v>
      </c>
      <c r="D96" s="3" t="s">
        <v>24</v>
      </c>
      <c r="E96" s="3" t="s">
        <v>43</v>
      </c>
      <c r="F96" s="3">
        <v>0.0</v>
      </c>
      <c r="G96" s="3" t="s">
        <v>229</v>
      </c>
      <c r="H96" s="3">
        <v>2430.0</v>
      </c>
      <c r="I96" s="3" t="s">
        <v>27</v>
      </c>
      <c r="J96" s="3">
        <v>0.0</v>
      </c>
      <c r="K96" s="3">
        <v>0.130200860832</v>
      </c>
      <c r="L96" s="3">
        <v>2148.52098179</v>
      </c>
      <c r="M96" s="3">
        <v>15.0</v>
      </c>
      <c r="N96" s="3">
        <v>9.0</v>
      </c>
      <c r="O96" s="3">
        <v>1394.0</v>
      </c>
      <c r="P96" s="3">
        <v>6.456241033</v>
      </c>
      <c r="Q96" s="3">
        <v>1743.18507891</v>
      </c>
      <c r="R96" s="3">
        <v>270.0</v>
      </c>
      <c r="S96" s="3">
        <v>0.0</v>
      </c>
      <c r="T96" s="3" t="s">
        <v>27</v>
      </c>
      <c r="U96" s="3" t="s">
        <v>240</v>
      </c>
    </row>
    <row r="97">
      <c r="A97" s="3" t="s">
        <v>33</v>
      </c>
      <c r="B97" s="3" t="s">
        <v>114</v>
      </c>
      <c r="C97" s="3" t="s">
        <v>23</v>
      </c>
      <c r="D97" s="3" t="s">
        <v>24</v>
      </c>
      <c r="E97" s="3" t="s">
        <v>47</v>
      </c>
      <c r="F97" s="3">
        <v>0.0</v>
      </c>
      <c r="G97" s="3" t="s">
        <v>223</v>
      </c>
      <c r="H97" s="3">
        <v>1815.0</v>
      </c>
      <c r="I97" s="3" t="s">
        <v>27</v>
      </c>
      <c r="J97" s="3">
        <v>0.0</v>
      </c>
      <c r="K97" s="3">
        <v>0.229849279161</v>
      </c>
      <c r="L97" s="3">
        <v>1478.67195821</v>
      </c>
      <c r="M97" s="3">
        <v>66.0</v>
      </c>
      <c r="N97" s="3">
        <v>4.0</v>
      </c>
      <c r="O97" s="3">
        <v>763.0</v>
      </c>
      <c r="P97" s="3">
        <v>5.24246395806</v>
      </c>
      <c r="Q97" s="3">
        <v>2378.76802097</v>
      </c>
      <c r="R97" s="3">
        <v>453.75</v>
      </c>
      <c r="S97" s="3">
        <v>0.0</v>
      </c>
      <c r="T97" s="3" t="s">
        <v>27</v>
      </c>
      <c r="U97" s="3" t="s">
        <v>243</v>
      </c>
    </row>
    <row r="98">
      <c r="A98" s="3" t="s">
        <v>33</v>
      </c>
      <c r="B98" s="3" t="s">
        <v>114</v>
      </c>
      <c r="C98" s="3" t="s">
        <v>23</v>
      </c>
      <c r="D98" s="3" t="s">
        <v>24</v>
      </c>
      <c r="E98" s="3" t="s">
        <v>47</v>
      </c>
      <c r="F98" s="3">
        <v>0.0</v>
      </c>
      <c r="G98" s="3" t="s">
        <v>226</v>
      </c>
      <c r="H98" s="3">
        <v>4288.0</v>
      </c>
      <c r="I98" s="3" t="s">
        <v>27</v>
      </c>
      <c r="J98" s="3">
        <v>0.0</v>
      </c>
      <c r="K98" s="3">
        <v>0.147942521228</v>
      </c>
      <c r="L98" s="3">
        <v>5827.28191137</v>
      </c>
      <c r="M98" s="3">
        <v>43.0</v>
      </c>
      <c r="N98" s="3">
        <v>16.0</v>
      </c>
      <c r="O98" s="3">
        <v>1531.0</v>
      </c>
      <c r="P98" s="3">
        <v>10.4506858263</v>
      </c>
      <c r="Q98" s="3">
        <v>2800.78380144</v>
      </c>
      <c r="R98" s="3">
        <v>268.0</v>
      </c>
      <c r="S98" s="3">
        <v>0.0</v>
      </c>
      <c r="T98" s="3" t="s">
        <v>27</v>
      </c>
      <c r="U98" s="3" t="s">
        <v>244</v>
      </c>
    </row>
    <row r="99">
      <c r="A99" s="3" t="s">
        <v>33</v>
      </c>
      <c r="B99" s="3" t="s">
        <v>114</v>
      </c>
      <c r="C99" s="3" t="s">
        <v>23</v>
      </c>
      <c r="D99" s="3" t="s">
        <v>24</v>
      </c>
      <c r="E99" s="3" t="s">
        <v>47</v>
      </c>
      <c r="F99" s="3">
        <v>0.0</v>
      </c>
      <c r="G99" s="3" t="s">
        <v>229</v>
      </c>
      <c r="H99" s="3">
        <v>3990.0</v>
      </c>
      <c r="I99" s="3" t="s">
        <v>27</v>
      </c>
      <c r="J99" s="3">
        <v>0.0</v>
      </c>
      <c r="K99" s="3">
        <v>0.101984797297</v>
      </c>
      <c r="L99" s="3">
        <v>4941.22960186</v>
      </c>
      <c r="M99" s="3">
        <v>43.0</v>
      </c>
      <c r="N99" s="3">
        <v>13.0</v>
      </c>
      <c r="O99" s="3">
        <v>1184.0</v>
      </c>
      <c r="P99" s="3">
        <v>10.9797297297</v>
      </c>
      <c r="Q99" s="3">
        <v>3369.93243243</v>
      </c>
      <c r="R99" s="3">
        <v>306.923076923</v>
      </c>
      <c r="S99" s="3">
        <v>0.0</v>
      </c>
      <c r="T99" s="3" t="s">
        <v>27</v>
      </c>
      <c r="U99" s="3" t="s">
        <v>246</v>
      </c>
    </row>
    <row r="100">
      <c r="A100" s="3" t="s">
        <v>33</v>
      </c>
      <c r="B100" s="3" t="s">
        <v>114</v>
      </c>
      <c r="C100" s="3" t="s">
        <v>23</v>
      </c>
      <c r="D100" s="3" t="s">
        <v>24</v>
      </c>
      <c r="E100" s="3" t="s">
        <v>51</v>
      </c>
      <c r="F100" s="3">
        <v>0.0</v>
      </c>
      <c r="G100" s="3" t="s">
        <v>229</v>
      </c>
      <c r="H100" s="3">
        <v>1875.0</v>
      </c>
      <c r="I100" s="3" t="s">
        <v>27</v>
      </c>
      <c r="J100" s="3">
        <v>0.0</v>
      </c>
      <c r="K100" s="3">
        <v>0.00291120815138</v>
      </c>
      <c r="L100" s="3">
        <v>4219.12916136</v>
      </c>
      <c r="M100" s="3">
        <v>43.0</v>
      </c>
      <c r="N100" s="3">
        <v>4.0</v>
      </c>
      <c r="O100" s="3">
        <v>687.0</v>
      </c>
      <c r="P100" s="3">
        <v>5.82241630277</v>
      </c>
      <c r="Q100" s="3">
        <v>2729.25764192</v>
      </c>
      <c r="R100" s="3">
        <v>468.75</v>
      </c>
      <c r="S100" s="3">
        <v>0.0</v>
      </c>
      <c r="T100" s="3" t="s">
        <v>27</v>
      </c>
      <c r="U100" s="3" t="s">
        <v>248</v>
      </c>
    </row>
    <row r="101">
      <c r="A101" s="3" t="s">
        <v>33</v>
      </c>
      <c r="B101" s="3" t="s">
        <v>114</v>
      </c>
      <c r="C101" s="3" t="s">
        <v>23</v>
      </c>
      <c r="D101" s="3" t="s">
        <v>54</v>
      </c>
      <c r="E101" s="3" t="s">
        <v>25</v>
      </c>
      <c r="F101" s="3">
        <v>0.0</v>
      </c>
      <c r="G101" s="3" t="s">
        <v>229</v>
      </c>
      <c r="H101" s="3">
        <v>819.0</v>
      </c>
      <c r="I101" s="3" t="s">
        <v>27</v>
      </c>
      <c r="J101" s="3">
        <v>0.0</v>
      </c>
      <c r="K101" s="3">
        <v>0.109424920128</v>
      </c>
      <c r="L101" s="3">
        <v>610.104315996</v>
      </c>
      <c r="M101" s="3">
        <v>37.0</v>
      </c>
      <c r="N101" s="3">
        <v>11.0</v>
      </c>
      <c r="O101" s="3">
        <v>1252.0</v>
      </c>
      <c r="P101" s="3">
        <v>8.78594249201</v>
      </c>
      <c r="Q101" s="3">
        <v>654.153354633</v>
      </c>
      <c r="R101" s="3">
        <v>74.4545454545</v>
      </c>
      <c r="S101" s="3">
        <v>0.0</v>
      </c>
      <c r="T101" s="3" t="s">
        <v>27</v>
      </c>
      <c r="U101" s="3" t="s">
        <v>251</v>
      </c>
    </row>
    <row r="102">
      <c r="A102" s="3" t="s">
        <v>33</v>
      </c>
      <c r="B102" s="3" t="s">
        <v>114</v>
      </c>
      <c r="C102" s="3" t="s">
        <v>23</v>
      </c>
      <c r="D102" s="3" t="s">
        <v>54</v>
      </c>
      <c r="E102" s="3" t="s">
        <v>34</v>
      </c>
      <c r="F102" s="3">
        <v>0.0</v>
      </c>
      <c r="G102" s="3" t="s">
        <v>229</v>
      </c>
      <c r="H102" s="3">
        <v>2111.0</v>
      </c>
      <c r="I102" s="3" t="s">
        <v>27</v>
      </c>
      <c r="J102" s="3">
        <v>0.0</v>
      </c>
      <c r="K102" s="3">
        <v>0.0327235772358</v>
      </c>
      <c r="L102" s="3">
        <v>2943.12310648</v>
      </c>
      <c r="M102" s="3">
        <v>32.0</v>
      </c>
      <c r="N102" s="3">
        <v>6.0</v>
      </c>
      <c r="O102" s="3">
        <v>820.0</v>
      </c>
      <c r="P102" s="3">
        <v>7.31707317073</v>
      </c>
      <c r="Q102" s="3">
        <v>2574.3902439</v>
      </c>
      <c r="R102" s="3">
        <v>351.833333333</v>
      </c>
      <c r="S102" s="3">
        <v>0.0</v>
      </c>
      <c r="T102" s="3" t="s">
        <v>27</v>
      </c>
      <c r="U102" s="3" t="s">
        <v>253</v>
      </c>
    </row>
    <row r="103">
      <c r="A103" s="3" t="s">
        <v>33</v>
      </c>
      <c r="B103" s="3" t="s">
        <v>114</v>
      </c>
      <c r="C103" s="3" t="s">
        <v>23</v>
      </c>
      <c r="D103" s="3" t="s">
        <v>54</v>
      </c>
      <c r="E103" s="3" t="s">
        <v>39</v>
      </c>
      <c r="F103" s="3">
        <v>0.0</v>
      </c>
      <c r="G103" s="3" t="s">
        <v>229</v>
      </c>
      <c r="H103" s="3">
        <v>1989.0</v>
      </c>
      <c r="I103" s="3" t="s">
        <v>27</v>
      </c>
      <c r="J103" s="3">
        <v>0.0</v>
      </c>
      <c r="K103" s="3">
        <v>0.0557939914163</v>
      </c>
      <c r="L103" s="3">
        <v>2118.92389941</v>
      </c>
      <c r="M103" s="3">
        <v>44.0</v>
      </c>
      <c r="N103" s="3">
        <v>10.0</v>
      </c>
      <c r="O103" s="3">
        <v>1165.0</v>
      </c>
      <c r="P103" s="3">
        <v>8.58369098712</v>
      </c>
      <c r="Q103" s="3">
        <v>1707.29613734</v>
      </c>
      <c r="R103" s="3">
        <v>198.9</v>
      </c>
      <c r="S103" s="3">
        <v>0.0</v>
      </c>
      <c r="T103" s="3" t="s">
        <v>27</v>
      </c>
      <c r="U103" s="3" t="s">
        <v>255</v>
      </c>
    </row>
    <row r="104">
      <c r="A104" s="3" t="s">
        <v>33</v>
      </c>
      <c r="B104" s="3" t="s">
        <v>114</v>
      </c>
      <c r="C104" s="3" t="s">
        <v>23</v>
      </c>
      <c r="D104" s="3" t="s">
        <v>54</v>
      </c>
      <c r="E104" s="3" t="s">
        <v>43</v>
      </c>
      <c r="F104" s="3">
        <v>0.0</v>
      </c>
      <c r="G104" s="3" t="s">
        <v>229</v>
      </c>
      <c r="H104" s="3">
        <v>2633.0</v>
      </c>
      <c r="I104" s="3" t="s">
        <v>27</v>
      </c>
      <c r="J104" s="3">
        <v>0.0</v>
      </c>
      <c r="K104" s="3">
        <v>0.134495084897</v>
      </c>
      <c r="L104" s="3">
        <v>2698.75423002</v>
      </c>
      <c r="M104" s="3">
        <v>31.0</v>
      </c>
      <c r="N104" s="3">
        <v>20.0</v>
      </c>
      <c r="O104" s="3">
        <v>1119.0</v>
      </c>
      <c r="P104" s="3">
        <v>17.873100983</v>
      </c>
      <c r="Q104" s="3">
        <v>2352.99374441</v>
      </c>
      <c r="R104" s="3">
        <v>131.65</v>
      </c>
      <c r="S104" s="3">
        <v>0.0</v>
      </c>
      <c r="T104" s="3" t="s">
        <v>27</v>
      </c>
      <c r="U104" s="3" t="s">
        <v>257</v>
      </c>
    </row>
    <row r="105">
      <c r="A105" s="3" t="s">
        <v>33</v>
      </c>
      <c r="B105" s="3" t="s">
        <v>114</v>
      </c>
      <c r="C105" s="3" t="s">
        <v>23</v>
      </c>
      <c r="D105" s="3" t="s">
        <v>54</v>
      </c>
      <c r="E105" s="3" t="s">
        <v>47</v>
      </c>
      <c r="F105" s="3">
        <v>0.0</v>
      </c>
      <c r="G105" s="3" t="s">
        <v>229</v>
      </c>
      <c r="H105" s="3">
        <v>1643.0</v>
      </c>
      <c r="I105" s="3" t="s">
        <v>27</v>
      </c>
      <c r="J105" s="3">
        <v>0.0</v>
      </c>
      <c r="K105" s="3">
        <v>0.0218878248974</v>
      </c>
      <c r="L105" s="3">
        <v>4142.84674954</v>
      </c>
      <c r="M105" s="3">
        <v>48.0</v>
      </c>
      <c r="N105" s="3">
        <v>6.0</v>
      </c>
      <c r="O105" s="3">
        <v>731.0</v>
      </c>
      <c r="P105" s="3">
        <v>8.20793433653</v>
      </c>
      <c r="Q105" s="3">
        <v>2247.60601915</v>
      </c>
      <c r="R105" s="3">
        <v>273.833333333</v>
      </c>
      <c r="S105" s="3">
        <v>0.0</v>
      </c>
      <c r="T105" s="3" t="s">
        <v>27</v>
      </c>
      <c r="U105" s="3" t="s">
        <v>259</v>
      </c>
    </row>
    <row r="106">
      <c r="A106" s="3" t="s">
        <v>33</v>
      </c>
      <c r="B106" s="3" t="s">
        <v>114</v>
      </c>
      <c r="C106" s="3" t="s">
        <v>23</v>
      </c>
      <c r="D106" s="3" t="s">
        <v>54</v>
      </c>
      <c r="E106" s="3" t="s">
        <v>51</v>
      </c>
      <c r="F106" s="3">
        <v>0.0</v>
      </c>
      <c r="G106" s="3" t="s">
        <v>229</v>
      </c>
      <c r="H106" s="3">
        <v>3044.0</v>
      </c>
      <c r="I106" s="3" t="s">
        <v>27</v>
      </c>
      <c r="J106" s="3">
        <v>0.0</v>
      </c>
      <c r="K106" s="3">
        <v>0.106336805556</v>
      </c>
      <c r="L106" s="3">
        <v>4894.83386779</v>
      </c>
      <c r="M106" s="3">
        <v>26.0</v>
      </c>
      <c r="N106" s="3">
        <v>20.0</v>
      </c>
      <c r="O106" s="3">
        <v>1152.0</v>
      </c>
      <c r="P106" s="3">
        <v>17.3611111111</v>
      </c>
      <c r="Q106" s="3">
        <v>2642.36111111</v>
      </c>
      <c r="R106" s="3">
        <v>152.2</v>
      </c>
      <c r="S106" s="3">
        <v>0.0</v>
      </c>
      <c r="T106" s="3" t="s">
        <v>27</v>
      </c>
      <c r="U106" s="3" t="s">
        <v>261</v>
      </c>
    </row>
    <row r="107">
      <c r="A107" s="3" t="s">
        <v>33</v>
      </c>
      <c r="B107" s="3" t="s">
        <v>114</v>
      </c>
      <c r="C107" s="3" t="s">
        <v>23</v>
      </c>
      <c r="D107" s="3" t="s">
        <v>72</v>
      </c>
      <c r="E107" s="3" t="s">
        <v>25</v>
      </c>
      <c r="F107" s="3">
        <v>0.0</v>
      </c>
      <c r="G107" s="3" t="s">
        <v>229</v>
      </c>
      <c r="H107" s="3">
        <v>665.0</v>
      </c>
      <c r="I107" s="3" t="s">
        <v>27</v>
      </c>
      <c r="J107" s="3">
        <v>0.0</v>
      </c>
      <c r="K107" s="3">
        <v>0.107535321821</v>
      </c>
      <c r="L107" s="3">
        <v>841.897990942</v>
      </c>
      <c r="M107" s="3">
        <v>34.0</v>
      </c>
      <c r="N107" s="3">
        <v>2.0</v>
      </c>
      <c r="O107" s="3">
        <v>637.0</v>
      </c>
      <c r="P107" s="3">
        <v>3.13971742543</v>
      </c>
      <c r="Q107" s="3">
        <v>1043.95604396</v>
      </c>
      <c r="R107" s="3">
        <v>332.5</v>
      </c>
      <c r="S107" s="3">
        <v>0.0</v>
      </c>
      <c r="T107" s="3" t="s">
        <v>27</v>
      </c>
      <c r="U107" s="3" t="s">
        <v>262</v>
      </c>
    </row>
    <row r="108">
      <c r="A108" s="3" t="s">
        <v>33</v>
      </c>
      <c r="B108" s="3" t="s">
        <v>114</v>
      </c>
      <c r="C108" s="3" t="s">
        <v>23</v>
      </c>
      <c r="D108" s="3" t="s">
        <v>72</v>
      </c>
      <c r="E108" s="3" t="s">
        <v>34</v>
      </c>
      <c r="F108" s="3">
        <v>0.0</v>
      </c>
      <c r="G108" s="3" t="s">
        <v>229</v>
      </c>
      <c r="H108" s="3">
        <v>1715.0</v>
      </c>
      <c r="I108" s="3" t="s">
        <v>27</v>
      </c>
      <c r="J108" s="3">
        <v>0.0</v>
      </c>
      <c r="K108" s="3">
        <v>0.0908152734778</v>
      </c>
      <c r="L108" s="3">
        <v>3328.23710418</v>
      </c>
      <c r="M108" s="3">
        <v>24.0</v>
      </c>
      <c r="N108" s="3">
        <v>6.0</v>
      </c>
      <c r="O108" s="3">
        <v>969.0</v>
      </c>
      <c r="P108" s="3">
        <v>6.1919504644</v>
      </c>
      <c r="Q108" s="3">
        <v>1769.86584107</v>
      </c>
      <c r="R108" s="3">
        <v>285.833333333</v>
      </c>
      <c r="S108" s="3">
        <v>0.0</v>
      </c>
      <c r="T108" s="3" t="s">
        <v>27</v>
      </c>
      <c r="U108" s="3" t="s">
        <v>264</v>
      </c>
    </row>
    <row r="109">
      <c r="A109" s="3" t="s">
        <v>33</v>
      </c>
      <c r="B109" s="3" t="s">
        <v>114</v>
      </c>
      <c r="C109" s="3" t="s">
        <v>23</v>
      </c>
      <c r="D109" s="3" t="s">
        <v>72</v>
      </c>
      <c r="E109" s="3" t="s">
        <v>39</v>
      </c>
      <c r="F109" s="3">
        <v>0.0</v>
      </c>
      <c r="G109" s="3" t="s">
        <v>229</v>
      </c>
      <c r="H109" s="3">
        <v>3664.0</v>
      </c>
      <c r="I109" s="3" t="s">
        <v>27</v>
      </c>
      <c r="J109" s="3">
        <v>0.0</v>
      </c>
      <c r="K109" s="3">
        <v>0.267042475092</v>
      </c>
      <c r="L109" s="3">
        <v>5263.00168872</v>
      </c>
      <c r="M109" s="3">
        <v>39.0</v>
      </c>
      <c r="N109" s="3">
        <v>12.0</v>
      </c>
      <c r="O109" s="3">
        <v>1907.0</v>
      </c>
      <c r="P109" s="3">
        <v>6.29260618773</v>
      </c>
      <c r="Q109" s="3">
        <v>1921.34242265</v>
      </c>
      <c r="R109" s="3">
        <v>305.333333333</v>
      </c>
      <c r="S109" s="3">
        <v>0.0</v>
      </c>
      <c r="T109" s="3" t="s">
        <v>27</v>
      </c>
      <c r="U109" s="3" t="s">
        <v>266</v>
      </c>
    </row>
    <row r="110">
      <c r="A110" s="3" t="s">
        <v>33</v>
      </c>
      <c r="B110" s="3" t="s">
        <v>114</v>
      </c>
      <c r="C110" s="3" t="s">
        <v>23</v>
      </c>
      <c r="D110" s="3" t="s">
        <v>72</v>
      </c>
      <c r="E110" s="3" t="s">
        <v>43</v>
      </c>
      <c r="F110" s="3">
        <v>0.0</v>
      </c>
      <c r="G110" s="3" t="s">
        <v>229</v>
      </c>
      <c r="H110" s="3">
        <v>4881.0</v>
      </c>
      <c r="I110" s="3" t="s">
        <v>27</v>
      </c>
      <c r="J110" s="3">
        <v>0.0</v>
      </c>
      <c r="K110" s="3">
        <v>0.223776795942</v>
      </c>
      <c r="L110" s="3">
        <v>7810.32520533</v>
      </c>
      <c r="M110" s="3">
        <v>33.0</v>
      </c>
      <c r="N110" s="3">
        <v>19.0</v>
      </c>
      <c r="O110" s="3">
        <v>2037.0</v>
      </c>
      <c r="P110" s="3">
        <v>9.32744231713</v>
      </c>
      <c r="Q110" s="3">
        <v>2396.17083947</v>
      </c>
      <c r="R110" s="3">
        <v>256.894736842</v>
      </c>
      <c r="S110" s="3">
        <v>0.0</v>
      </c>
      <c r="T110" s="3" t="s">
        <v>27</v>
      </c>
      <c r="U110" s="3" t="s">
        <v>268</v>
      </c>
    </row>
    <row r="111">
      <c r="A111" s="3" t="s">
        <v>33</v>
      </c>
      <c r="B111" s="3" t="s">
        <v>114</v>
      </c>
      <c r="C111" s="3" t="s">
        <v>23</v>
      </c>
      <c r="D111" s="3" t="s">
        <v>72</v>
      </c>
      <c r="E111" s="3" t="s">
        <v>47</v>
      </c>
      <c r="F111" s="3">
        <v>0.0</v>
      </c>
      <c r="G111" s="3" t="s">
        <v>229</v>
      </c>
      <c r="H111" s="3">
        <v>3420.0</v>
      </c>
      <c r="I111" s="3" t="s">
        <v>27</v>
      </c>
      <c r="J111" s="3">
        <v>0.0</v>
      </c>
      <c r="K111" s="3">
        <v>0.191698352345</v>
      </c>
      <c r="L111" s="3">
        <v>6522.2922554</v>
      </c>
      <c r="M111" s="3">
        <v>46.0</v>
      </c>
      <c r="N111" s="3">
        <v>5.0</v>
      </c>
      <c r="O111" s="3">
        <v>789.0</v>
      </c>
      <c r="P111" s="3">
        <v>6.3371356147</v>
      </c>
      <c r="Q111" s="3">
        <v>4334.60076046</v>
      </c>
      <c r="R111" s="3">
        <v>684.0</v>
      </c>
      <c r="S111" s="3">
        <v>0.0</v>
      </c>
      <c r="T111" s="3" t="s">
        <v>27</v>
      </c>
      <c r="U111" s="3" t="s">
        <v>270</v>
      </c>
    </row>
    <row r="112">
      <c r="A112" s="3" t="s">
        <v>33</v>
      </c>
      <c r="B112" s="3" t="s">
        <v>114</v>
      </c>
      <c r="C112" s="3" t="s">
        <v>23</v>
      </c>
      <c r="D112" s="3" t="s">
        <v>72</v>
      </c>
      <c r="E112" s="3" t="s">
        <v>51</v>
      </c>
      <c r="F112" s="3">
        <v>0.0</v>
      </c>
      <c r="G112" s="3" t="s">
        <v>229</v>
      </c>
      <c r="H112" s="3">
        <v>2590.0</v>
      </c>
      <c r="I112" s="3" t="s">
        <v>27</v>
      </c>
      <c r="J112" s="3">
        <v>0.0</v>
      </c>
      <c r="K112" s="3">
        <v>0.0376506024096</v>
      </c>
      <c r="L112" s="3">
        <v>7535.55679274</v>
      </c>
      <c r="M112" s="3">
        <v>40.0</v>
      </c>
      <c r="N112" s="3">
        <v>15.0</v>
      </c>
      <c r="O112" s="3">
        <v>913.0</v>
      </c>
      <c r="P112" s="3">
        <v>16.4293537788</v>
      </c>
      <c r="Q112" s="3">
        <v>2836.80175246</v>
      </c>
      <c r="R112" s="3">
        <v>172.666666667</v>
      </c>
      <c r="S112" s="3">
        <v>0.0</v>
      </c>
      <c r="T112" s="3" t="s">
        <v>27</v>
      </c>
      <c r="U112" s="3" t="s">
        <v>271</v>
      </c>
    </row>
    <row r="113">
      <c r="A113" s="3" t="s">
        <v>33</v>
      </c>
      <c r="B113" s="3" t="s">
        <v>114</v>
      </c>
      <c r="C113" s="3" t="s">
        <v>23</v>
      </c>
      <c r="D113" s="3" t="s">
        <v>64</v>
      </c>
      <c r="E113" s="3" t="s">
        <v>25</v>
      </c>
      <c r="F113" s="3">
        <v>0.0</v>
      </c>
      <c r="G113" s="3" t="s">
        <v>229</v>
      </c>
      <c r="H113" s="3">
        <v>1442.0</v>
      </c>
      <c r="I113" s="3" t="s">
        <v>27</v>
      </c>
      <c r="J113" s="3">
        <v>0.0</v>
      </c>
      <c r="K113" s="3">
        <v>0.119769557307</v>
      </c>
      <c r="L113" s="3">
        <v>3066.85486245</v>
      </c>
      <c r="M113" s="3">
        <v>35.0</v>
      </c>
      <c r="N113" s="3">
        <v>20.0</v>
      </c>
      <c r="O113" s="3">
        <v>1649.0</v>
      </c>
      <c r="P113" s="3">
        <v>12.1285627653</v>
      </c>
      <c r="Q113" s="3">
        <v>874.469375379</v>
      </c>
      <c r="R113" s="3">
        <v>72.1</v>
      </c>
      <c r="S113" s="3">
        <v>0.0</v>
      </c>
      <c r="T113" s="3" t="s">
        <v>27</v>
      </c>
      <c r="U113" s="3" t="s">
        <v>273</v>
      </c>
    </row>
    <row r="114">
      <c r="A114" s="3" t="s">
        <v>33</v>
      </c>
      <c r="B114" s="3" t="s">
        <v>114</v>
      </c>
      <c r="C114" s="3" t="s">
        <v>23</v>
      </c>
      <c r="D114" s="3" t="s">
        <v>64</v>
      </c>
      <c r="E114" s="3" t="s">
        <v>34</v>
      </c>
      <c r="F114" s="3">
        <v>0.0</v>
      </c>
      <c r="G114" s="3" t="s">
        <v>229</v>
      </c>
      <c r="H114" s="3">
        <v>4083.0</v>
      </c>
      <c r="I114" s="3" t="s">
        <v>27</v>
      </c>
      <c r="J114" s="3">
        <v>0.0</v>
      </c>
      <c r="K114" s="3">
        <v>0.136281355056</v>
      </c>
      <c r="L114" s="3">
        <v>11138.7765851</v>
      </c>
      <c r="M114" s="3">
        <v>24.0</v>
      </c>
      <c r="N114" s="3">
        <v>20.0</v>
      </c>
      <c r="O114" s="3">
        <v>2578.0</v>
      </c>
      <c r="P114" s="3">
        <v>7.7579519007</v>
      </c>
      <c r="Q114" s="3">
        <v>1583.78588053</v>
      </c>
      <c r="R114" s="3">
        <v>204.15</v>
      </c>
      <c r="S114" s="3">
        <v>0.0</v>
      </c>
      <c r="T114" s="3" t="s">
        <v>27</v>
      </c>
      <c r="U114" s="3" t="s">
        <v>275</v>
      </c>
    </row>
    <row r="115">
      <c r="A115" s="3" t="s">
        <v>33</v>
      </c>
      <c r="B115" s="3" t="s">
        <v>114</v>
      </c>
      <c r="C115" s="3" t="s">
        <v>23</v>
      </c>
      <c r="D115" s="3" t="s">
        <v>64</v>
      </c>
      <c r="E115" s="3" t="s">
        <v>39</v>
      </c>
      <c r="F115" s="3">
        <v>0.0</v>
      </c>
      <c r="G115" s="3" t="s">
        <v>229</v>
      </c>
      <c r="H115" s="3">
        <v>140.0</v>
      </c>
      <c r="I115" s="3" t="s">
        <v>27</v>
      </c>
      <c r="J115" s="3">
        <v>0.0</v>
      </c>
      <c r="K115" s="3">
        <v>0.101</v>
      </c>
      <c r="L115" s="3">
        <v>422.168847084</v>
      </c>
      <c r="N115" s="3">
        <v>0.0</v>
      </c>
      <c r="O115" s="3">
        <v>500.0</v>
      </c>
      <c r="P115" s="3">
        <v>0.0</v>
      </c>
      <c r="Q115" s="3">
        <v>280.0</v>
      </c>
      <c r="S115" s="3">
        <v>0.0</v>
      </c>
      <c r="T115" s="3" t="s">
        <v>27</v>
      </c>
      <c r="U115" s="3" t="s">
        <v>277</v>
      </c>
    </row>
    <row r="116">
      <c r="A116" s="3" t="s">
        <v>33</v>
      </c>
      <c r="B116" s="3" t="s">
        <v>114</v>
      </c>
      <c r="C116" s="3" t="s">
        <v>23</v>
      </c>
      <c r="D116" s="3" t="s">
        <v>64</v>
      </c>
      <c r="E116" s="3" t="s">
        <v>43</v>
      </c>
      <c r="F116" s="3">
        <v>0.0</v>
      </c>
      <c r="G116" s="3" t="s">
        <v>229</v>
      </c>
      <c r="H116" s="3">
        <v>1805.0</v>
      </c>
      <c r="I116" s="3" t="s">
        <v>27</v>
      </c>
      <c r="J116" s="3">
        <v>0.0</v>
      </c>
      <c r="K116" s="3">
        <v>0.146255947909</v>
      </c>
      <c r="L116" s="3">
        <v>5112.12215233</v>
      </c>
      <c r="M116" s="3">
        <v>41.0</v>
      </c>
      <c r="N116" s="3">
        <v>11.0</v>
      </c>
      <c r="O116" s="3">
        <v>1331.0</v>
      </c>
      <c r="P116" s="3">
        <v>8.26446280992</v>
      </c>
      <c r="Q116" s="3">
        <v>1356.12321563</v>
      </c>
      <c r="R116" s="3">
        <v>164.090909091</v>
      </c>
      <c r="S116" s="3">
        <v>0.0</v>
      </c>
      <c r="T116" s="3" t="s">
        <v>27</v>
      </c>
      <c r="U116" s="3" t="s">
        <v>279</v>
      </c>
    </row>
    <row r="117">
      <c r="A117" s="3" t="s">
        <v>33</v>
      </c>
      <c r="B117" s="3" t="s">
        <v>114</v>
      </c>
      <c r="C117" s="3" t="s">
        <v>23</v>
      </c>
      <c r="D117" s="3" t="s">
        <v>64</v>
      </c>
      <c r="E117" s="3" t="s">
        <v>47</v>
      </c>
      <c r="F117" s="3">
        <v>0.0</v>
      </c>
      <c r="G117" s="3" t="s">
        <v>229</v>
      </c>
      <c r="H117" s="3">
        <v>1456.0</v>
      </c>
      <c r="I117" s="3" t="s">
        <v>27</v>
      </c>
      <c r="J117" s="3">
        <v>0.0</v>
      </c>
      <c r="K117" s="3">
        <v>0.119227353464</v>
      </c>
      <c r="L117" s="3">
        <v>5759.30449247</v>
      </c>
      <c r="M117" s="3">
        <v>46.0</v>
      </c>
      <c r="N117" s="3">
        <v>6.0</v>
      </c>
      <c r="O117" s="3">
        <v>1126.0</v>
      </c>
      <c r="P117" s="3">
        <v>5.32859680284</v>
      </c>
      <c r="Q117" s="3">
        <v>1293.07282416</v>
      </c>
      <c r="R117" s="3">
        <v>242.666666667</v>
      </c>
      <c r="S117" s="3">
        <v>0.0</v>
      </c>
      <c r="T117" s="3" t="s">
        <v>27</v>
      </c>
      <c r="U117" s="3" t="s">
        <v>280</v>
      </c>
    </row>
    <row r="118">
      <c r="A118" s="3" t="s">
        <v>33</v>
      </c>
      <c r="B118" s="3" t="s">
        <v>114</v>
      </c>
      <c r="C118" s="3" t="s">
        <v>23</v>
      </c>
      <c r="D118" s="3" t="s">
        <v>64</v>
      </c>
      <c r="E118" s="3" t="s">
        <v>51</v>
      </c>
      <c r="F118" s="3">
        <v>0.0</v>
      </c>
      <c r="G118" s="3" t="s">
        <v>229</v>
      </c>
      <c r="H118" s="3">
        <v>1048.0</v>
      </c>
      <c r="I118" s="3" t="s">
        <v>27</v>
      </c>
      <c r="J118" s="3">
        <v>0.0</v>
      </c>
      <c r="K118" s="3">
        <v>0.101334951456</v>
      </c>
      <c r="L118" s="3">
        <v>3496.42346215</v>
      </c>
      <c r="M118" s="3">
        <v>40.0</v>
      </c>
      <c r="N118" s="3">
        <v>6.0</v>
      </c>
      <c r="O118" s="3">
        <v>824.0</v>
      </c>
      <c r="P118" s="3">
        <v>7.28155339806</v>
      </c>
      <c r="Q118" s="3">
        <v>1271.84466019</v>
      </c>
      <c r="R118" s="3">
        <v>174.666666667</v>
      </c>
      <c r="S118" s="3">
        <v>0.0</v>
      </c>
      <c r="T118" s="3" t="s">
        <v>27</v>
      </c>
      <c r="U118" s="3" t="s">
        <v>282</v>
      </c>
    </row>
    <row r="119">
      <c r="A119" s="3" t="s">
        <v>33</v>
      </c>
      <c r="B119" s="3" t="s">
        <v>114</v>
      </c>
      <c r="C119" s="3" t="s">
        <v>23</v>
      </c>
      <c r="D119" s="3" t="s">
        <v>102</v>
      </c>
      <c r="E119" s="3" t="s">
        <v>25</v>
      </c>
      <c r="F119" s="3">
        <v>0.0</v>
      </c>
      <c r="G119" s="3" t="s">
        <v>229</v>
      </c>
      <c r="H119" s="3">
        <v>95.0</v>
      </c>
      <c r="I119" s="3" t="s">
        <v>27</v>
      </c>
      <c r="J119" s="3">
        <v>0.0</v>
      </c>
      <c r="K119" s="3">
        <v>0.119626168224</v>
      </c>
      <c r="L119" s="3">
        <v>408.682212353</v>
      </c>
      <c r="M119" s="3">
        <v>35.0</v>
      </c>
      <c r="N119" s="3">
        <v>1.0</v>
      </c>
      <c r="O119" s="3">
        <v>535.0</v>
      </c>
      <c r="P119" s="3">
        <v>1.8691588785</v>
      </c>
      <c r="Q119" s="3">
        <v>177.570093458</v>
      </c>
      <c r="R119" s="3">
        <v>95.0</v>
      </c>
      <c r="S119" s="3">
        <v>0.0</v>
      </c>
      <c r="T119" s="3" t="s">
        <v>27</v>
      </c>
      <c r="U119" s="3" t="s">
        <v>284</v>
      </c>
    </row>
    <row r="120">
      <c r="A120" s="3" t="s">
        <v>33</v>
      </c>
      <c r="B120" s="3" t="s">
        <v>114</v>
      </c>
      <c r="C120" s="3" t="s">
        <v>23</v>
      </c>
      <c r="D120" s="3" t="s">
        <v>102</v>
      </c>
      <c r="E120" s="3" t="s">
        <v>34</v>
      </c>
      <c r="F120" s="3">
        <v>0.0</v>
      </c>
      <c r="G120" s="3" t="s">
        <v>229</v>
      </c>
      <c r="H120" s="3">
        <v>577.0</v>
      </c>
      <c r="I120" s="3" t="s">
        <v>27</v>
      </c>
      <c r="J120" s="3">
        <v>0.0</v>
      </c>
      <c r="K120" s="3">
        <v>0.143067846608</v>
      </c>
      <c r="L120" s="3">
        <v>4230.56404305</v>
      </c>
      <c r="M120" s="3">
        <v>24.0</v>
      </c>
      <c r="N120" s="3">
        <v>3.0</v>
      </c>
      <c r="O120" s="3">
        <v>565.0</v>
      </c>
      <c r="P120" s="3">
        <v>5.30973451327</v>
      </c>
      <c r="Q120" s="3">
        <v>1021.23893805</v>
      </c>
      <c r="R120" s="3">
        <v>192.333333333</v>
      </c>
      <c r="S120" s="3">
        <v>0.0</v>
      </c>
      <c r="T120" s="3" t="s">
        <v>27</v>
      </c>
      <c r="U120" s="3" t="s">
        <v>286</v>
      </c>
    </row>
    <row r="121">
      <c r="A121" s="3" t="s">
        <v>33</v>
      </c>
      <c r="B121" s="3" t="s">
        <v>114</v>
      </c>
      <c r="C121" s="3" t="s">
        <v>23</v>
      </c>
      <c r="D121" s="3" t="s">
        <v>102</v>
      </c>
      <c r="E121" s="3" t="s">
        <v>39</v>
      </c>
      <c r="F121" s="3">
        <v>0.0</v>
      </c>
      <c r="G121" s="3" t="s">
        <v>229</v>
      </c>
      <c r="H121" s="3">
        <v>183.0</v>
      </c>
      <c r="I121" s="3" t="s">
        <v>27</v>
      </c>
      <c r="J121" s="3">
        <v>0.0</v>
      </c>
      <c r="K121" s="3">
        <v>0.0952797202797</v>
      </c>
      <c r="L121" s="3">
        <v>1074.50732088</v>
      </c>
      <c r="M121" s="3">
        <v>72.0</v>
      </c>
      <c r="N121" s="3">
        <v>1.0</v>
      </c>
      <c r="O121" s="3">
        <v>572.0</v>
      </c>
      <c r="P121" s="3">
        <v>1.74825174825</v>
      </c>
      <c r="Q121" s="3">
        <v>319.93006993</v>
      </c>
      <c r="R121" s="3">
        <v>183.0</v>
      </c>
      <c r="S121" s="3">
        <v>0.0</v>
      </c>
      <c r="T121" s="3" t="s">
        <v>27</v>
      </c>
      <c r="U121" s="3" t="s">
        <v>288</v>
      </c>
    </row>
    <row r="122">
      <c r="A122" s="3" t="s">
        <v>33</v>
      </c>
      <c r="B122" s="3" t="s">
        <v>114</v>
      </c>
      <c r="C122" s="3" t="s">
        <v>23</v>
      </c>
      <c r="D122" s="3" t="s">
        <v>102</v>
      </c>
      <c r="E122" s="3" t="s">
        <v>43</v>
      </c>
      <c r="F122" s="3">
        <v>0.0</v>
      </c>
      <c r="G122" s="3" t="s">
        <v>229</v>
      </c>
      <c r="H122" s="3">
        <v>1156.0</v>
      </c>
      <c r="I122" s="3" t="s">
        <v>27</v>
      </c>
      <c r="J122" s="3">
        <v>0.0</v>
      </c>
      <c r="K122" s="3">
        <v>0.0884920634921</v>
      </c>
      <c r="L122" s="3">
        <v>8802.4260006</v>
      </c>
      <c r="M122" s="3">
        <v>41.0</v>
      </c>
      <c r="N122" s="3">
        <v>9.0</v>
      </c>
      <c r="O122" s="3">
        <v>1260.0</v>
      </c>
      <c r="P122" s="3">
        <v>7.14285714286</v>
      </c>
      <c r="Q122" s="3">
        <v>917.46031746</v>
      </c>
      <c r="R122" s="3">
        <v>128.444444444</v>
      </c>
      <c r="S122" s="3">
        <v>0.0</v>
      </c>
      <c r="T122" s="3" t="s">
        <v>27</v>
      </c>
      <c r="U122" s="3" t="s">
        <v>290</v>
      </c>
    </row>
    <row r="123">
      <c r="A123" s="3" t="s">
        <v>33</v>
      </c>
      <c r="B123" s="3" t="s">
        <v>114</v>
      </c>
      <c r="C123" s="3" t="s">
        <v>23</v>
      </c>
      <c r="D123" s="3" t="s">
        <v>102</v>
      </c>
      <c r="E123" s="3" t="s">
        <v>47</v>
      </c>
      <c r="F123" s="3">
        <v>0.0</v>
      </c>
      <c r="G123" s="3" t="s">
        <v>229</v>
      </c>
      <c r="H123" s="3">
        <v>1282.0</v>
      </c>
      <c r="I123" s="3" t="s">
        <v>27</v>
      </c>
      <c r="J123" s="3">
        <v>0.0</v>
      </c>
      <c r="K123" s="3">
        <v>0.12257751938</v>
      </c>
      <c r="L123" s="3">
        <v>10023.997642</v>
      </c>
      <c r="M123" s="3">
        <v>46.0</v>
      </c>
      <c r="N123" s="3">
        <v>7.0</v>
      </c>
      <c r="O123" s="3">
        <v>1032.0</v>
      </c>
      <c r="P123" s="3">
        <v>6.78294573643</v>
      </c>
      <c r="Q123" s="3">
        <v>1242.24806202</v>
      </c>
      <c r="R123" s="3">
        <v>183.142857143</v>
      </c>
      <c r="S123" s="3">
        <v>0.0</v>
      </c>
      <c r="T123" s="3" t="s">
        <v>27</v>
      </c>
      <c r="U123" s="3" t="s">
        <v>291</v>
      </c>
    </row>
    <row r="124">
      <c r="A124" s="3" t="s">
        <v>33</v>
      </c>
      <c r="B124" s="3" t="s">
        <v>114</v>
      </c>
      <c r="C124" s="3" t="s">
        <v>23</v>
      </c>
      <c r="D124" s="3" t="s">
        <v>102</v>
      </c>
      <c r="E124" s="3" t="s">
        <v>51</v>
      </c>
      <c r="F124" s="3">
        <v>0.0</v>
      </c>
      <c r="G124" s="3" t="s">
        <v>229</v>
      </c>
      <c r="H124" s="3">
        <v>508.0</v>
      </c>
      <c r="I124" s="3" t="s">
        <v>27</v>
      </c>
      <c r="J124" s="3">
        <v>0.0</v>
      </c>
      <c r="K124" s="3">
        <v>0.0741869918699</v>
      </c>
      <c r="L124" s="3">
        <v>3842.25212383</v>
      </c>
      <c r="M124" s="3">
        <v>32.0</v>
      </c>
      <c r="N124" s="3">
        <v>5.0</v>
      </c>
      <c r="O124" s="3">
        <v>738.0</v>
      </c>
      <c r="P124" s="3">
        <v>6.77506775068</v>
      </c>
      <c r="Q124" s="3">
        <v>688.346883469</v>
      </c>
      <c r="R124" s="3">
        <v>101.6</v>
      </c>
      <c r="S124" s="3">
        <v>0.0</v>
      </c>
      <c r="T124" s="3" t="s">
        <v>27</v>
      </c>
      <c r="U124" s="3" t="s">
        <v>293</v>
      </c>
    </row>
    <row r="125">
      <c r="A125" s="3" t="s">
        <v>33</v>
      </c>
      <c r="B125" s="3" t="s">
        <v>114</v>
      </c>
      <c r="C125" s="3" t="s">
        <v>23</v>
      </c>
      <c r="D125" s="3" t="s">
        <v>118</v>
      </c>
      <c r="E125" s="3" t="s">
        <v>25</v>
      </c>
      <c r="F125" s="3">
        <v>0.0</v>
      </c>
      <c r="G125" s="3" t="s">
        <v>229</v>
      </c>
      <c r="H125" s="3">
        <v>354.0</v>
      </c>
      <c r="I125" s="3" t="s">
        <v>27</v>
      </c>
      <c r="J125" s="3">
        <v>0.0</v>
      </c>
      <c r="K125" s="3">
        <v>0.150057937428</v>
      </c>
      <c r="L125" s="3">
        <v>687.241015911</v>
      </c>
      <c r="M125" s="3">
        <v>35.0</v>
      </c>
      <c r="N125" s="3">
        <v>3.0</v>
      </c>
      <c r="O125" s="3">
        <v>863.0</v>
      </c>
      <c r="P125" s="3">
        <v>3.47624565469</v>
      </c>
      <c r="Q125" s="3">
        <v>410.196987254</v>
      </c>
      <c r="R125" s="3">
        <v>118.0</v>
      </c>
      <c r="S125" s="3">
        <v>0.0</v>
      </c>
      <c r="T125" s="3" t="s">
        <v>27</v>
      </c>
      <c r="U125" s="3" t="s">
        <v>295</v>
      </c>
    </row>
    <row r="126">
      <c r="A126" s="3" t="s">
        <v>33</v>
      </c>
      <c r="B126" s="3" t="s">
        <v>114</v>
      </c>
      <c r="C126" s="3" t="s">
        <v>23</v>
      </c>
      <c r="D126" s="3" t="s">
        <v>118</v>
      </c>
      <c r="E126" s="3" t="s">
        <v>34</v>
      </c>
      <c r="F126" s="3">
        <v>0.0</v>
      </c>
      <c r="G126" s="3" t="s">
        <v>229</v>
      </c>
      <c r="H126" s="3">
        <v>2804.0</v>
      </c>
      <c r="I126" s="3" t="s">
        <v>27</v>
      </c>
      <c r="J126" s="3">
        <v>0.0</v>
      </c>
      <c r="K126" s="3">
        <v>0.159381237525</v>
      </c>
      <c r="L126" s="3">
        <v>7173.88382125</v>
      </c>
      <c r="M126" s="3">
        <v>24.0</v>
      </c>
      <c r="N126" s="3">
        <v>17.0</v>
      </c>
      <c r="O126" s="3">
        <v>1670.0</v>
      </c>
      <c r="P126" s="3">
        <v>10.1796407186</v>
      </c>
      <c r="Q126" s="3">
        <v>1679.04191617</v>
      </c>
      <c r="R126" s="3">
        <v>164.941176471</v>
      </c>
      <c r="S126" s="3">
        <v>0.0</v>
      </c>
      <c r="T126" s="3" t="s">
        <v>27</v>
      </c>
      <c r="U126" s="3" t="s">
        <v>297</v>
      </c>
    </row>
    <row r="127">
      <c r="A127" s="3" t="s">
        <v>33</v>
      </c>
      <c r="B127" s="3" t="s">
        <v>114</v>
      </c>
      <c r="C127" s="3" t="s">
        <v>23</v>
      </c>
      <c r="D127" s="3" t="s">
        <v>118</v>
      </c>
      <c r="E127" s="3" t="s">
        <v>39</v>
      </c>
      <c r="F127" s="3">
        <v>0.0</v>
      </c>
      <c r="G127" s="3" t="s">
        <v>229</v>
      </c>
      <c r="H127" s="3">
        <v>346.0</v>
      </c>
      <c r="I127" s="3" t="s">
        <v>27</v>
      </c>
      <c r="J127" s="3">
        <v>0.0</v>
      </c>
      <c r="K127" s="3">
        <v>0.116695804196</v>
      </c>
      <c r="L127" s="3">
        <v>851.951381207</v>
      </c>
      <c r="M127" s="3">
        <v>72.0</v>
      </c>
      <c r="N127" s="3">
        <v>1.0</v>
      </c>
      <c r="O127" s="3">
        <v>572.0</v>
      </c>
      <c r="P127" s="3">
        <v>1.74825174825</v>
      </c>
      <c r="Q127" s="3">
        <v>604.895104895</v>
      </c>
      <c r="R127" s="3">
        <v>346.0</v>
      </c>
      <c r="S127" s="3">
        <v>0.0</v>
      </c>
      <c r="T127" s="3" t="s">
        <v>27</v>
      </c>
      <c r="U127" s="3" t="s">
        <v>298</v>
      </c>
    </row>
    <row r="128">
      <c r="A128" s="3" t="s">
        <v>33</v>
      </c>
      <c r="B128" s="3" t="s">
        <v>114</v>
      </c>
      <c r="C128" s="3" t="s">
        <v>23</v>
      </c>
      <c r="D128" s="3" t="s">
        <v>118</v>
      </c>
      <c r="E128" s="3" t="s">
        <v>43</v>
      </c>
      <c r="F128" s="3">
        <v>0.0</v>
      </c>
      <c r="G128" s="3" t="s">
        <v>229</v>
      </c>
      <c r="H128" s="3">
        <v>1411.0</v>
      </c>
      <c r="I128" s="3" t="s">
        <v>27</v>
      </c>
      <c r="J128" s="3">
        <v>0.0</v>
      </c>
      <c r="K128" s="3">
        <v>0.0974403723095</v>
      </c>
      <c r="L128" s="3">
        <v>3769.77058816</v>
      </c>
      <c r="M128" s="3">
        <v>41.0</v>
      </c>
      <c r="N128" s="3">
        <v>10.0</v>
      </c>
      <c r="O128" s="3">
        <v>1146.0</v>
      </c>
      <c r="P128" s="3">
        <v>8.7260034904</v>
      </c>
      <c r="Q128" s="3">
        <v>1231.2390925</v>
      </c>
      <c r="R128" s="3">
        <v>141.1</v>
      </c>
      <c r="S128" s="3">
        <v>0.0</v>
      </c>
      <c r="T128" s="3" t="s">
        <v>27</v>
      </c>
      <c r="U128" s="3" t="s">
        <v>300</v>
      </c>
    </row>
    <row r="129">
      <c r="A129" s="3" t="s">
        <v>33</v>
      </c>
      <c r="B129" s="3" t="s">
        <v>114</v>
      </c>
      <c r="C129" s="3" t="s">
        <v>23</v>
      </c>
      <c r="D129" s="3" t="s">
        <v>118</v>
      </c>
      <c r="E129" s="3" t="s">
        <v>47</v>
      </c>
      <c r="F129" s="3">
        <v>0.0</v>
      </c>
      <c r="G129" s="3" t="s">
        <v>229</v>
      </c>
      <c r="H129" s="3">
        <v>1592.0</v>
      </c>
      <c r="I129" s="3" t="s">
        <v>27</v>
      </c>
      <c r="J129" s="3">
        <v>0.0</v>
      </c>
      <c r="K129" s="3">
        <v>0.143590998043</v>
      </c>
      <c r="L129" s="3">
        <v>5807.38651896</v>
      </c>
      <c r="M129" s="3">
        <v>48.0</v>
      </c>
      <c r="N129" s="3">
        <v>6.0</v>
      </c>
      <c r="O129" s="3">
        <v>1022.0</v>
      </c>
      <c r="P129" s="3">
        <v>5.87084148728</v>
      </c>
      <c r="Q129" s="3">
        <v>1557.72994129</v>
      </c>
      <c r="R129" s="3">
        <v>265.333333333</v>
      </c>
      <c r="S129" s="3">
        <v>0.0</v>
      </c>
      <c r="T129" s="3" t="s">
        <v>27</v>
      </c>
      <c r="U129" s="3" t="s">
        <v>302</v>
      </c>
    </row>
    <row r="130">
      <c r="A130" s="3" t="s">
        <v>33</v>
      </c>
      <c r="B130" s="3" t="s">
        <v>114</v>
      </c>
      <c r="C130" s="3" t="s">
        <v>23</v>
      </c>
      <c r="D130" s="3" t="s">
        <v>118</v>
      </c>
      <c r="E130" s="3" t="s">
        <v>51</v>
      </c>
      <c r="F130" s="3">
        <v>0.0</v>
      </c>
      <c r="G130" s="3" t="s">
        <v>229</v>
      </c>
      <c r="H130" s="3">
        <v>1173.0</v>
      </c>
      <c r="I130" s="3" t="s">
        <v>27</v>
      </c>
      <c r="J130" s="3">
        <v>0.0</v>
      </c>
      <c r="K130" s="3">
        <v>0.0600997506234</v>
      </c>
      <c r="L130" s="3">
        <v>4506.97939491</v>
      </c>
      <c r="M130" s="3">
        <v>32.0</v>
      </c>
      <c r="N130" s="3">
        <v>9.0</v>
      </c>
      <c r="O130" s="3">
        <v>2005.0</v>
      </c>
      <c r="P130" s="3">
        <v>4.48877805486</v>
      </c>
      <c r="Q130" s="3">
        <v>585.037406484</v>
      </c>
      <c r="R130" s="3">
        <v>130.333333333</v>
      </c>
      <c r="S130" s="3">
        <v>0.0</v>
      </c>
      <c r="T130" s="3" t="s">
        <v>27</v>
      </c>
      <c r="U130" s="3" t="s">
        <v>304</v>
      </c>
    </row>
    <row r="131">
      <c r="A131" s="3" t="s">
        <v>21</v>
      </c>
      <c r="B131" s="3" t="s">
        <v>22</v>
      </c>
      <c r="C131" s="3" t="s">
        <v>35</v>
      </c>
      <c r="D131" s="3" t="s">
        <v>24</v>
      </c>
      <c r="E131" s="3" t="s">
        <v>25</v>
      </c>
      <c r="F131" s="3">
        <v>0.0</v>
      </c>
      <c r="G131" s="3" t="s">
        <v>305</v>
      </c>
      <c r="H131" s="3">
        <v>69.0</v>
      </c>
      <c r="J131" s="3">
        <v>0.0</v>
      </c>
      <c r="L131" s="3">
        <v>233.739522457</v>
      </c>
      <c r="N131" s="3">
        <v>0.0</v>
      </c>
      <c r="O131" s="3">
        <v>200.0</v>
      </c>
      <c r="P131" s="3">
        <v>0.0</v>
      </c>
      <c r="Q131" s="3">
        <v>345.0</v>
      </c>
      <c r="S131" s="3">
        <v>0.0</v>
      </c>
      <c r="U131" s="3" t="s">
        <v>306</v>
      </c>
    </row>
    <row r="132">
      <c r="A132" s="3" t="s">
        <v>21</v>
      </c>
      <c r="B132" s="3" t="s">
        <v>22</v>
      </c>
      <c r="C132" s="3" t="s">
        <v>35</v>
      </c>
      <c r="D132" s="3" t="s">
        <v>24</v>
      </c>
      <c r="E132" s="3" t="s">
        <v>34</v>
      </c>
      <c r="F132" s="3">
        <v>0.0</v>
      </c>
      <c r="G132" s="3" t="s">
        <v>305</v>
      </c>
      <c r="H132" s="3">
        <v>110.0</v>
      </c>
      <c r="J132" s="3">
        <v>0.0</v>
      </c>
      <c r="L132" s="3">
        <v>288.066437244</v>
      </c>
      <c r="N132" s="3">
        <v>0.0</v>
      </c>
      <c r="O132" s="3">
        <v>200.0</v>
      </c>
      <c r="P132" s="3">
        <v>0.0</v>
      </c>
      <c r="Q132" s="3">
        <v>550.0</v>
      </c>
      <c r="S132" s="3">
        <v>0.0</v>
      </c>
      <c r="U132" s="3" t="s">
        <v>308</v>
      </c>
    </row>
    <row r="133">
      <c r="A133" s="3" t="s">
        <v>21</v>
      </c>
      <c r="B133" s="3" t="s">
        <v>22</v>
      </c>
      <c r="C133" s="3" t="s">
        <v>35</v>
      </c>
      <c r="D133" s="3" t="s">
        <v>24</v>
      </c>
      <c r="E133" s="3" t="s">
        <v>39</v>
      </c>
      <c r="F133" s="3">
        <v>0.0</v>
      </c>
      <c r="G133" s="3" t="s">
        <v>305</v>
      </c>
      <c r="H133" s="3">
        <v>87.0</v>
      </c>
      <c r="J133" s="3">
        <v>0.0</v>
      </c>
      <c r="L133" s="3">
        <v>149.236854315</v>
      </c>
      <c r="N133" s="3">
        <v>0.0</v>
      </c>
      <c r="O133" s="3">
        <v>200.0</v>
      </c>
      <c r="P133" s="3">
        <v>0.0</v>
      </c>
      <c r="Q133" s="3">
        <v>435.0</v>
      </c>
      <c r="S133" s="3">
        <v>0.0</v>
      </c>
      <c r="U133" s="3" t="s">
        <v>309</v>
      </c>
    </row>
    <row r="134">
      <c r="A134" s="3" t="s">
        <v>21</v>
      </c>
      <c r="B134" s="3" t="s">
        <v>22</v>
      </c>
      <c r="C134" s="3" t="s">
        <v>35</v>
      </c>
      <c r="D134" s="3" t="s">
        <v>24</v>
      </c>
      <c r="E134" s="3" t="s">
        <v>43</v>
      </c>
      <c r="F134" s="3">
        <v>0.0</v>
      </c>
      <c r="G134" s="3" t="s">
        <v>305</v>
      </c>
      <c r="H134" s="3">
        <v>131.0</v>
      </c>
      <c r="J134" s="3">
        <v>0.0</v>
      </c>
      <c r="L134" s="3">
        <v>376.978290319</v>
      </c>
      <c r="N134" s="3">
        <v>0.0</v>
      </c>
      <c r="O134" s="3">
        <v>200.0</v>
      </c>
      <c r="P134" s="3">
        <v>0.0</v>
      </c>
      <c r="Q134" s="3">
        <v>655.0</v>
      </c>
      <c r="S134" s="3">
        <v>0.0</v>
      </c>
      <c r="U134" s="3" t="s">
        <v>311</v>
      </c>
    </row>
    <row r="135">
      <c r="A135" s="3" t="s">
        <v>21</v>
      </c>
      <c r="B135" s="3" t="s">
        <v>22</v>
      </c>
      <c r="C135" s="3" t="s">
        <v>35</v>
      </c>
      <c r="D135" s="3" t="s">
        <v>24</v>
      </c>
      <c r="E135" s="3" t="s">
        <v>47</v>
      </c>
      <c r="F135" s="3">
        <v>0.0</v>
      </c>
      <c r="G135" s="3" t="s">
        <v>305</v>
      </c>
      <c r="H135" s="3">
        <v>197.0</v>
      </c>
      <c r="J135" s="3">
        <v>0.0</v>
      </c>
      <c r="L135" s="3">
        <v>567.829782724</v>
      </c>
      <c r="M135" s="3">
        <v>161.0</v>
      </c>
      <c r="N135" s="3">
        <v>1.0</v>
      </c>
      <c r="O135" s="3">
        <v>361.0</v>
      </c>
      <c r="P135" s="3">
        <v>2.77008310249</v>
      </c>
      <c r="Q135" s="3">
        <v>545.706371191</v>
      </c>
      <c r="R135" s="3">
        <v>197.0</v>
      </c>
      <c r="S135" s="3">
        <v>0.0</v>
      </c>
      <c r="U135" s="3" t="s">
        <v>313</v>
      </c>
    </row>
    <row r="136">
      <c r="A136" s="3" t="s">
        <v>21</v>
      </c>
      <c r="B136" s="3" t="s">
        <v>22</v>
      </c>
      <c r="C136" s="3" t="s">
        <v>35</v>
      </c>
      <c r="D136" s="3" t="s">
        <v>24</v>
      </c>
      <c r="E136" s="3" t="s">
        <v>51</v>
      </c>
      <c r="F136" s="3">
        <v>0.0</v>
      </c>
      <c r="G136" s="3" t="s">
        <v>305</v>
      </c>
      <c r="H136" s="3">
        <v>123.0</v>
      </c>
      <c r="J136" s="3">
        <v>0.0</v>
      </c>
      <c r="L136" s="3">
        <v>315.140462399</v>
      </c>
      <c r="N136" s="3">
        <v>0.0</v>
      </c>
      <c r="O136" s="3">
        <v>200.0</v>
      </c>
      <c r="P136" s="3">
        <v>0.0</v>
      </c>
      <c r="Q136" s="3">
        <v>615.0</v>
      </c>
      <c r="S136" s="3">
        <v>0.0</v>
      </c>
      <c r="U136" s="3" t="s">
        <v>314</v>
      </c>
    </row>
    <row r="137">
      <c r="A137" s="3" t="s">
        <v>21</v>
      </c>
      <c r="B137" s="3" t="s">
        <v>22</v>
      </c>
      <c r="C137" s="3" t="s">
        <v>35</v>
      </c>
      <c r="D137" s="3" t="s">
        <v>54</v>
      </c>
      <c r="E137" s="3" t="s">
        <v>25</v>
      </c>
      <c r="F137" s="3">
        <v>0.0</v>
      </c>
      <c r="G137" s="3" t="s">
        <v>305</v>
      </c>
      <c r="H137" s="3">
        <v>49.0</v>
      </c>
      <c r="J137" s="3">
        <v>0.0</v>
      </c>
      <c r="L137" s="3">
        <v>64.5322549343</v>
      </c>
      <c r="M137" s="3">
        <v>53.0</v>
      </c>
      <c r="N137" s="3">
        <v>1.0</v>
      </c>
      <c r="O137" s="3">
        <v>253.0</v>
      </c>
      <c r="P137" s="3">
        <v>3.95256916996</v>
      </c>
      <c r="Q137" s="3">
        <v>193.675889328</v>
      </c>
      <c r="R137" s="3">
        <v>49.0</v>
      </c>
      <c r="S137" s="3">
        <v>0.0</v>
      </c>
      <c r="U137" s="3" t="s">
        <v>316</v>
      </c>
    </row>
    <row r="138">
      <c r="A138" s="3" t="s">
        <v>21</v>
      </c>
      <c r="B138" s="3" t="s">
        <v>22</v>
      </c>
      <c r="C138" s="3" t="s">
        <v>35</v>
      </c>
      <c r="D138" s="3" t="s">
        <v>54</v>
      </c>
      <c r="E138" s="3" t="s">
        <v>34</v>
      </c>
      <c r="F138" s="3">
        <v>0.0</v>
      </c>
      <c r="G138" s="3" t="s">
        <v>305</v>
      </c>
      <c r="H138" s="3">
        <v>253.0</v>
      </c>
      <c r="J138" s="3">
        <v>0.0</v>
      </c>
      <c r="L138" s="3">
        <v>359.439384937</v>
      </c>
      <c r="M138" s="3">
        <v>181.0</v>
      </c>
      <c r="N138" s="3">
        <v>1.0</v>
      </c>
      <c r="O138" s="3">
        <v>381.0</v>
      </c>
      <c r="P138" s="3">
        <v>2.62467191601</v>
      </c>
      <c r="Q138" s="3">
        <v>664.041994751</v>
      </c>
      <c r="R138" s="3">
        <v>253.0</v>
      </c>
      <c r="S138" s="3">
        <v>0.0</v>
      </c>
      <c r="U138" s="3" t="s">
        <v>317</v>
      </c>
    </row>
    <row r="139">
      <c r="A139" s="3" t="s">
        <v>21</v>
      </c>
      <c r="B139" s="3" t="s">
        <v>22</v>
      </c>
      <c r="C139" s="3" t="s">
        <v>35</v>
      </c>
      <c r="D139" s="3" t="s">
        <v>54</v>
      </c>
      <c r="E139" s="3" t="s">
        <v>39</v>
      </c>
      <c r="F139" s="3">
        <v>0.0</v>
      </c>
      <c r="G139" s="3" t="s">
        <v>305</v>
      </c>
      <c r="H139" s="3">
        <v>124.0</v>
      </c>
      <c r="J139" s="3">
        <v>0.0</v>
      </c>
      <c r="L139" s="3">
        <v>170.0733881</v>
      </c>
      <c r="N139" s="3">
        <v>0.0</v>
      </c>
      <c r="O139" s="3">
        <v>200.0</v>
      </c>
      <c r="P139" s="3">
        <v>0.0</v>
      </c>
      <c r="Q139" s="3">
        <v>620.0</v>
      </c>
      <c r="S139" s="3">
        <v>0.0</v>
      </c>
      <c r="U139" s="3" t="s">
        <v>318</v>
      </c>
    </row>
    <row r="140">
      <c r="A140" s="3" t="s">
        <v>21</v>
      </c>
      <c r="B140" s="3" t="s">
        <v>22</v>
      </c>
      <c r="C140" s="3" t="s">
        <v>35</v>
      </c>
      <c r="D140" s="3" t="s">
        <v>54</v>
      </c>
      <c r="E140" s="3" t="s">
        <v>43</v>
      </c>
      <c r="F140" s="3">
        <v>0.0</v>
      </c>
      <c r="G140" s="3" t="s">
        <v>305</v>
      </c>
      <c r="H140" s="3">
        <v>145.0</v>
      </c>
      <c r="J140" s="3">
        <v>0.0</v>
      </c>
      <c r="L140" s="3">
        <v>226.663348436</v>
      </c>
      <c r="N140" s="3">
        <v>0.0</v>
      </c>
      <c r="O140" s="3">
        <v>200.0</v>
      </c>
      <c r="P140" s="3">
        <v>0.0</v>
      </c>
      <c r="Q140" s="3">
        <v>725.0</v>
      </c>
      <c r="S140" s="3">
        <v>0.0</v>
      </c>
      <c r="U140" s="3" t="s">
        <v>319</v>
      </c>
    </row>
    <row r="141">
      <c r="A141" s="3" t="s">
        <v>21</v>
      </c>
      <c r="B141" s="3" t="s">
        <v>22</v>
      </c>
      <c r="C141" s="3" t="s">
        <v>35</v>
      </c>
      <c r="D141" s="3" t="s">
        <v>54</v>
      </c>
      <c r="E141" s="3" t="s">
        <v>47</v>
      </c>
      <c r="F141" s="3">
        <v>0.0</v>
      </c>
      <c r="G141" s="3" t="s">
        <v>305</v>
      </c>
      <c r="H141" s="3">
        <v>200.0</v>
      </c>
      <c r="J141" s="3">
        <v>0.0</v>
      </c>
      <c r="L141" s="3">
        <v>502.527195454</v>
      </c>
      <c r="N141" s="3">
        <v>0.0</v>
      </c>
      <c r="O141" s="3">
        <v>200.0</v>
      </c>
      <c r="P141" s="3">
        <v>0.0</v>
      </c>
      <c r="Q141" s="3">
        <v>1000.0</v>
      </c>
      <c r="S141" s="3">
        <v>0.0</v>
      </c>
      <c r="U141" s="3" t="s">
        <v>320</v>
      </c>
    </row>
    <row r="142">
      <c r="A142" s="3" t="s">
        <v>21</v>
      </c>
      <c r="B142" s="3" t="s">
        <v>22</v>
      </c>
      <c r="C142" s="3" t="s">
        <v>35</v>
      </c>
      <c r="D142" s="3" t="s">
        <v>54</v>
      </c>
      <c r="E142" s="3" t="s">
        <v>51</v>
      </c>
      <c r="F142" s="3">
        <v>0.0</v>
      </c>
      <c r="G142" s="3" t="s">
        <v>305</v>
      </c>
      <c r="H142" s="3">
        <v>192.0</v>
      </c>
      <c r="J142" s="3">
        <v>0.0</v>
      </c>
      <c r="L142" s="3">
        <v>469.480973482</v>
      </c>
      <c r="N142" s="3">
        <v>0.0</v>
      </c>
      <c r="O142" s="3">
        <v>200.0</v>
      </c>
      <c r="P142" s="3">
        <v>0.0</v>
      </c>
      <c r="Q142" s="3">
        <v>960.0</v>
      </c>
      <c r="S142" s="3">
        <v>0.0</v>
      </c>
      <c r="U142" s="3" t="s">
        <v>321</v>
      </c>
    </row>
    <row r="143">
      <c r="A143" s="3" t="s">
        <v>21</v>
      </c>
      <c r="B143" s="3" t="s">
        <v>22</v>
      </c>
      <c r="C143" s="3" t="s">
        <v>35</v>
      </c>
      <c r="D143" s="3" t="s">
        <v>72</v>
      </c>
      <c r="E143" s="3" t="s">
        <v>25</v>
      </c>
      <c r="F143" s="3">
        <v>0.0</v>
      </c>
      <c r="G143" s="3" t="s">
        <v>305</v>
      </c>
      <c r="H143" s="3">
        <v>176.0</v>
      </c>
      <c r="J143" s="3">
        <v>0.0</v>
      </c>
      <c r="L143" s="3">
        <v>395.379467487</v>
      </c>
      <c r="M143" s="3">
        <v>170.0</v>
      </c>
      <c r="N143" s="3">
        <v>1.0</v>
      </c>
      <c r="O143" s="3">
        <v>370.0</v>
      </c>
      <c r="P143" s="3">
        <v>2.7027027027</v>
      </c>
      <c r="Q143" s="3">
        <v>475.675675676</v>
      </c>
      <c r="R143" s="3">
        <v>176.0</v>
      </c>
      <c r="S143" s="3">
        <v>0.0</v>
      </c>
      <c r="U143" s="3" t="s">
        <v>322</v>
      </c>
    </row>
    <row r="144">
      <c r="A144" s="3" t="s">
        <v>21</v>
      </c>
      <c r="B144" s="3" t="s">
        <v>22</v>
      </c>
      <c r="C144" s="3" t="s">
        <v>35</v>
      </c>
      <c r="D144" s="3" t="s">
        <v>72</v>
      </c>
      <c r="E144" s="3" t="s">
        <v>34</v>
      </c>
      <c r="F144" s="3">
        <v>0.0</v>
      </c>
      <c r="G144" s="3" t="s">
        <v>305</v>
      </c>
      <c r="H144" s="3">
        <v>225.0</v>
      </c>
      <c r="J144" s="3">
        <v>0.0</v>
      </c>
      <c r="L144" s="3">
        <v>975.541983604</v>
      </c>
      <c r="M144" s="3">
        <v>183.0</v>
      </c>
      <c r="N144" s="3">
        <v>2.0</v>
      </c>
      <c r="O144" s="3">
        <v>567.0</v>
      </c>
      <c r="P144" s="3">
        <v>3.52733686067</v>
      </c>
      <c r="Q144" s="3">
        <v>396.825396825</v>
      </c>
      <c r="R144" s="3">
        <v>112.5</v>
      </c>
      <c r="S144" s="3">
        <v>0.0</v>
      </c>
      <c r="U144" s="3" t="s">
        <v>323</v>
      </c>
    </row>
    <row r="145">
      <c r="A145" s="3" t="s">
        <v>21</v>
      </c>
      <c r="B145" s="3" t="s">
        <v>22</v>
      </c>
      <c r="C145" s="3" t="s">
        <v>35</v>
      </c>
      <c r="D145" s="3" t="s">
        <v>72</v>
      </c>
      <c r="E145" s="3" t="s">
        <v>39</v>
      </c>
      <c r="F145" s="3">
        <v>0.0</v>
      </c>
      <c r="G145" s="3" t="s">
        <v>305</v>
      </c>
      <c r="H145" s="3">
        <v>186.0</v>
      </c>
      <c r="J145" s="3">
        <v>0.0</v>
      </c>
      <c r="L145" s="3">
        <v>831.865697861</v>
      </c>
      <c r="M145" s="3">
        <v>173.0</v>
      </c>
      <c r="N145" s="3">
        <v>2.0</v>
      </c>
      <c r="O145" s="3">
        <v>393.0</v>
      </c>
      <c r="P145" s="3">
        <v>5.08905852417</v>
      </c>
      <c r="Q145" s="3">
        <v>473.282442748</v>
      </c>
      <c r="R145" s="3">
        <v>93.0</v>
      </c>
      <c r="S145" s="3">
        <v>0.0</v>
      </c>
      <c r="U145" s="3" t="s">
        <v>325</v>
      </c>
    </row>
    <row r="146">
      <c r="A146" s="3" t="s">
        <v>21</v>
      </c>
      <c r="B146" s="3" t="s">
        <v>22</v>
      </c>
      <c r="C146" s="3" t="s">
        <v>35</v>
      </c>
      <c r="D146" s="3" t="s">
        <v>72</v>
      </c>
      <c r="E146" s="3" t="s">
        <v>43</v>
      </c>
      <c r="F146" s="3">
        <v>0.0</v>
      </c>
      <c r="G146" s="3" t="s">
        <v>305</v>
      </c>
      <c r="H146" s="3">
        <v>83.0</v>
      </c>
      <c r="J146" s="3">
        <v>0.0</v>
      </c>
      <c r="L146" s="3">
        <v>526.139069319</v>
      </c>
      <c r="N146" s="3">
        <v>0.0</v>
      </c>
      <c r="O146" s="3">
        <v>200.0</v>
      </c>
      <c r="P146" s="3">
        <v>0.0</v>
      </c>
      <c r="Q146" s="3">
        <v>415.0</v>
      </c>
      <c r="S146" s="3">
        <v>0.0</v>
      </c>
      <c r="U146" s="3" t="s">
        <v>326</v>
      </c>
    </row>
    <row r="147">
      <c r="A147" s="3" t="s">
        <v>21</v>
      </c>
      <c r="B147" s="3" t="s">
        <v>22</v>
      </c>
      <c r="C147" s="3" t="s">
        <v>35</v>
      </c>
      <c r="D147" s="3" t="s">
        <v>72</v>
      </c>
      <c r="E147" s="3" t="s">
        <v>47</v>
      </c>
      <c r="F147" s="3">
        <v>0.0</v>
      </c>
      <c r="G147" s="3" t="s">
        <v>305</v>
      </c>
      <c r="H147" s="3">
        <v>162.0</v>
      </c>
      <c r="J147" s="3">
        <v>0.0</v>
      </c>
      <c r="L147" s="3">
        <v>1255.07997561</v>
      </c>
      <c r="N147" s="3">
        <v>0.0</v>
      </c>
      <c r="O147" s="3">
        <v>200.0</v>
      </c>
      <c r="P147" s="3">
        <v>0.0</v>
      </c>
      <c r="Q147" s="3">
        <v>810.0</v>
      </c>
      <c r="S147" s="3">
        <v>0.0</v>
      </c>
      <c r="U147" s="3" t="s">
        <v>327</v>
      </c>
    </row>
    <row r="148">
      <c r="A148" s="3" t="s">
        <v>21</v>
      </c>
      <c r="B148" s="3" t="s">
        <v>22</v>
      </c>
      <c r="C148" s="3" t="s">
        <v>35</v>
      </c>
      <c r="D148" s="3" t="s">
        <v>72</v>
      </c>
      <c r="E148" s="3" t="s">
        <v>51</v>
      </c>
      <c r="F148" s="3">
        <v>0.0</v>
      </c>
      <c r="G148" s="3" t="s">
        <v>305</v>
      </c>
      <c r="H148" s="3">
        <v>200.0</v>
      </c>
      <c r="J148" s="3">
        <v>0.0</v>
      </c>
      <c r="L148" s="3">
        <v>1966.43562007</v>
      </c>
      <c r="N148" s="3">
        <v>0.0</v>
      </c>
      <c r="O148" s="3">
        <v>200.0</v>
      </c>
      <c r="P148" s="3">
        <v>0.0</v>
      </c>
      <c r="Q148" s="3">
        <v>1000.0</v>
      </c>
      <c r="S148" s="3">
        <v>0.0</v>
      </c>
      <c r="U148" s="3" t="s">
        <v>328</v>
      </c>
    </row>
    <row r="149">
      <c r="A149" s="3" t="s">
        <v>21</v>
      </c>
      <c r="B149" s="3" t="s">
        <v>22</v>
      </c>
      <c r="C149" s="3" t="s">
        <v>35</v>
      </c>
      <c r="D149" s="3" t="s">
        <v>64</v>
      </c>
      <c r="E149" s="3" t="s">
        <v>25</v>
      </c>
      <c r="F149" s="3">
        <v>0.0</v>
      </c>
      <c r="G149" s="3" t="s">
        <v>305</v>
      </c>
      <c r="H149" s="3">
        <v>74.0</v>
      </c>
      <c r="J149" s="3">
        <v>0.0</v>
      </c>
      <c r="L149" s="3">
        <v>245.689455271</v>
      </c>
      <c r="M149" s="3">
        <v>33.0</v>
      </c>
      <c r="N149" s="3">
        <v>1.0</v>
      </c>
      <c r="O149" s="3">
        <v>233.0</v>
      </c>
      <c r="P149" s="3">
        <v>4.29184549356</v>
      </c>
      <c r="Q149" s="3">
        <v>317.596566524</v>
      </c>
      <c r="R149" s="3">
        <v>74.0</v>
      </c>
      <c r="S149" s="3">
        <v>0.0</v>
      </c>
      <c r="U149" s="3" t="s">
        <v>329</v>
      </c>
    </row>
    <row r="150">
      <c r="A150" s="3" t="s">
        <v>21</v>
      </c>
      <c r="B150" s="3" t="s">
        <v>22</v>
      </c>
      <c r="C150" s="3" t="s">
        <v>35</v>
      </c>
      <c r="D150" s="3" t="s">
        <v>64</v>
      </c>
      <c r="E150" s="3" t="s">
        <v>34</v>
      </c>
      <c r="F150" s="3">
        <v>0.0</v>
      </c>
      <c r="G150" s="3" t="s">
        <v>305</v>
      </c>
      <c r="H150" s="3">
        <v>132.0</v>
      </c>
      <c r="J150" s="3">
        <v>0.0</v>
      </c>
      <c r="L150" s="3">
        <v>574.291774273</v>
      </c>
      <c r="N150" s="3">
        <v>0.0</v>
      </c>
      <c r="O150" s="3">
        <v>200.0</v>
      </c>
      <c r="P150" s="3">
        <v>0.0</v>
      </c>
      <c r="Q150" s="3">
        <v>660.0</v>
      </c>
      <c r="S150" s="3">
        <v>0.0</v>
      </c>
      <c r="U150" s="3" t="s">
        <v>330</v>
      </c>
    </row>
    <row r="151">
      <c r="A151" s="3" t="s">
        <v>21</v>
      </c>
      <c r="B151" s="3" t="s">
        <v>22</v>
      </c>
      <c r="C151" s="3" t="s">
        <v>35</v>
      </c>
      <c r="D151" s="3" t="s">
        <v>64</v>
      </c>
      <c r="E151" s="3" t="s">
        <v>39</v>
      </c>
      <c r="F151" s="3">
        <v>0.0</v>
      </c>
      <c r="G151" s="3" t="s">
        <v>305</v>
      </c>
      <c r="H151" s="3">
        <v>203.0</v>
      </c>
      <c r="J151" s="3">
        <v>0.0</v>
      </c>
      <c r="L151" s="3">
        <v>793.340255022</v>
      </c>
      <c r="M151" s="3">
        <v>143.0</v>
      </c>
      <c r="N151" s="3">
        <v>1.0</v>
      </c>
      <c r="O151" s="3">
        <v>343.0</v>
      </c>
      <c r="P151" s="3">
        <v>2.91545189504</v>
      </c>
      <c r="Q151" s="3">
        <v>591.836734694</v>
      </c>
      <c r="R151" s="3">
        <v>203.0</v>
      </c>
      <c r="S151" s="3">
        <v>0.0</v>
      </c>
      <c r="U151" s="3" t="s">
        <v>331</v>
      </c>
    </row>
    <row r="152">
      <c r="A152" s="3" t="s">
        <v>21</v>
      </c>
      <c r="B152" s="3" t="s">
        <v>22</v>
      </c>
      <c r="C152" s="3" t="s">
        <v>35</v>
      </c>
      <c r="D152" s="3" t="s">
        <v>64</v>
      </c>
      <c r="E152" s="3" t="s">
        <v>43</v>
      </c>
      <c r="F152" s="3">
        <v>0.0</v>
      </c>
      <c r="G152" s="3" t="s">
        <v>305</v>
      </c>
      <c r="H152" s="3">
        <v>181.0</v>
      </c>
      <c r="J152" s="3">
        <v>0.0</v>
      </c>
      <c r="L152" s="3">
        <v>694.218978643</v>
      </c>
      <c r="N152" s="3">
        <v>0.0</v>
      </c>
      <c r="O152" s="3">
        <v>200.0</v>
      </c>
      <c r="P152" s="3">
        <v>0.0</v>
      </c>
      <c r="Q152" s="3">
        <v>905.0</v>
      </c>
      <c r="S152" s="3">
        <v>0.0</v>
      </c>
      <c r="U152" s="3" t="s">
        <v>332</v>
      </c>
    </row>
    <row r="153">
      <c r="A153" s="3" t="s">
        <v>21</v>
      </c>
      <c r="B153" s="3" t="s">
        <v>22</v>
      </c>
      <c r="C153" s="3" t="s">
        <v>35</v>
      </c>
      <c r="D153" s="3" t="s">
        <v>64</v>
      </c>
      <c r="E153" s="3" t="s">
        <v>47</v>
      </c>
      <c r="F153" s="3">
        <v>0.0</v>
      </c>
      <c r="G153" s="3" t="s">
        <v>305</v>
      </c>
      <c r="H153" s="3">
        <v>200.0</v>
      </c>
      <c r="J153" s="3">
        <v>0.0</v>
      </c>
      <c r="L153" s="3">
        <v>983.194795609</v>
      </c>
      <c r="N153" s="3">
        <v>0.0</v>
      </c>
      <c r="O153" s="3">
        <v>200.0</v>
      </c>
      <c r="P153" s="3">
        <v>0.0</v>
      </c>
      <c r="Q153" s="3">
        <v>1000.0</v>
      </c>
      <c r="S153" s="3">
        <v>0.0</v>
      </c>
      <c r="U153" s="3" t="s">
        <v>333</v>
      </c>
    </row>
    <row r="154">
      <c r="A154" s="3" t="s">
        <v>21</v>
      </c>
      <c r="B154" s="3" t="s">
        <v>22</v>
      </c>
      <c r="C154" s="3" t="s">
        <v>35</v>
      </c>
      <c r="D154" s="3" t="s">
        <v>64</v>
      </c>
      <c r="E154" s="3" t="s">
        <v>51</v>
      </c>
      <c r="F154" s="3">
        <v>0.0</v>
      </c>
      <c r="G154" s="3" t="s">
        <v>305</v>
      </c>
      <c r="H154" s="3">
        <v>200.0</v>
      </c>
      <c r="J154" s="3">
        <v>0.0</v>
      </c>
      <c r="L154" s="3">
        <v>991.431729317</v>
      </c>
      <c r="N154" s="3">
        <v>0.0</v>
      </c>
      <c r="O154" s="3">
        <v>200.0</v>
      </c>
      <c r="P154" s="3">
        <v>0.0</v>
      </c>
      <c r="Q154" s="3">
        <v>1000.0</v>
      </c>
      <c r="S154" s="3">
        <v>0.0</v>
      </c>
      <c r="U154" s="3" t="s">
        <v>334</v>
      </c>
    </row>
    <row r="155">
      <c r="A155" s="3" t="s">
        <v>21</v>
      </c>
      <c r="B155" s="3" t="s">
        <v>22</v>
      </c>
      <c r="C155" s="3" t="s">
        <v>35</v>
      </c>
      <c r="D155" s="3" t="s">
        <v>102</v>
      </c>
      <c r="E155" s="3" t="s">
        <v>25</v>
      </c>
      <c r="F155" s="3">
        <v>0.0</v>
      </c>
      <c r="G155" s="3" t="s">
        <v>305</v>
      </c>
      <c r="H155" s="3">
        <v>97.0</v>
      </c>
      <c r="J155" s="3">
        <v>0.0</v>
      </c>
      <c r="L155" s="3">
        <v>583.874384165</v>
      </c>
      <c r="M155" s="3">
        <v>33.0</v>
      </c>
      <c r="N155" s="3">
        <v>1.0</v>
      </c>
      <c r="O155" s="3">
        <v>233.0</v>
      </c>
      <c r="P155" s="3">
        <v>4.29184549356</v>
      </c>
      <c r="Q155" s="3">
        <v>416.309012876</v>
      </c>
      <c r="R155" s="3">
        <v>97.0</v>
      </c>
      <c r="S155" s="3">
        <v>0.0</v>
      </c>
      <c r="U155" s="3" t="s">
        <v>335</v>
      </c>
    </row>
    <row r="156">
      <c r="A156" s="3" t="s">
        <v>21</v>
      </c>
      <c r="B156" s="3" t="s">
        <v>22</v>
      </c>
      <c r="C156" s="3" t="s">
        <v>35</v>
      </c>
      <c r="D156" s="3" t="s">
        <v>102</v>
      </c>
      <c r="E156" s="3" t="s">
        <v>34</v>
      </c>
      <c r="F156" s="3">
        <v>0.0</v>
      </c>
      <c r="G156" s="3" t="s">
        <v>305</v>
      </c>
      <c r="H156" s="3">
        <v>167.0</v>
      </c>
      <c r="J156" s="3">
        <v>0.0</v>
      </c>
      <c r="L156" s="3">
        <v>1495.23871064</v>
      </c>
      <c r="M156" s="3">
        <v>137.0</v>
      </c>
      <c r="N156" s="3">
        <v>1.0</v>
      </c>
      <c r="O156" s="3">
        <v>337.0</v>
      </c>
      <c r="P156" s="3">
        <v>2.96735905045</v>
      </c>
      <c r="Q156" s="3">
        <v>495.548961424</v>
      </c>
      <c r="R156" s="3">
        <v>167.0</v>
      </c>
      <c r="S156" s="3">
        <v>0.0</v>
      </c>
      <c r="U156" s="3" t="s">
        <v>336</v>
      </c>
    </row>
    <row r="157">
      <c r="A157" s="3" t="s">
        <v>21</v>
      </c>
      <c r="B157" s="3" t="s">
        <v>22</v>
      </c>
      <c r="C157" s="3" t="s">
        <v>35</v>
      </c>
      <c r="D157" s="3" t="s">
        <v>102</v>
      </c>
      <c r="E157" s="3" t="s">
        <v>39</v>
      </c>
      <c r="F157" s="3">
        <v>0.0</v>
      </c>
      <c r="G157" s="3" t="s">
        <v>305</v>
      </c>
      <c r="H157" s="3">
        <v>140.0</v>
      </c>
      <c r="J157" s="3">
        <v>0.0</v>
      </c>
      <c r="L157" s="3">
        <v>1162.89296103</v>
      </c>
      <c r="M157" s="3">
        <v>62.0</v>
      </c>
      <c r="N157" s="3">
        <v>2.0</v>
      </c>
      <c r="O157" s="3">
        <v>292.0</v>
      </c>
      <c r="P157" s="3">
        <v>6.84931506849</v>
      </c>
      <c r="Q157" s="3">
        <v>479.452054795</v>
      </c>
      <c r="R157" s="3">
        <v>70.0</v>
      </c>
      <c r="S157" s="3">
        <v>0.0</v>
      </c>
      <c r="U157" s="3" t="s">
        <v>337</v>
      </c>
    </row>
    <row r="158">
      <c r="A158" s="3" t="s">
        <v>21</v>
      </c>
      <c r="B158" s="3" t="s">
        <v>22</v>
      </c>
      <c r="C158" s="3" t="s">
        <v>35</v>
      </c>
      <c r="D158" s="3" t="s">
        <v>102</v>
      </c>
      <c r="E158" s="3" t="s">
        <v>43</v>
      </c>
      <c r="F158" s="3">
        <v>0.0</v>
      </c>
      <c r="G158" s="3" t="s">
        <v>305</v>
      </c>
      <c r="H158" s="3">
        <v>335.0</v>
      </c>
      <c r="J158" s="3">
        <v>0.0</v>
      </c>
      <c r="L158" s="3">
        <v>4225.82829738</v>
      </c>
      <c r="M158" s="3">
        <v>76.0</v>
      </c>
      <c r="N158" s="3">
        <v>4.0</v>
      </c>
      <c r="O158" s="3">
        <v>491.0</v>
      </c>
      <c r="P158" s="3">
        <v>8.1466395112</v>
      </c>
      <c r="Q158" s="3">
        <v>682.281059063</v>
      </c>
      <c r="R158" s="3">
        <v>83.75</v>
      </c>
      <c r="S158" s="3">
        <v>0.0</v>
      </c>
      <c r="U158" s="3" t="s">
        <v>338</v>
      </c>
    </row>
    <row r="159">
      <c r="A159" s="3" t="s">
        <v>21</v>
      </c>
      <c r="B159" s="3" t="s">
        <v>22</v>
      </c>
      <c r="C159" s="3" t="s">
        <v>35</v>
      </c>
      <c r="D159" s="3" t="s">
        <v>102</v>
      </c>
      <c r="E159" s="3" t="s">
        <v>47</v>
      </c>
      <c r="F159" s="3">
        <v>0.0</v>
      </c>
      <c r="G159" s="3" t="s">
        <v>305</v>
      </c>
      <c r="H159" s="3">
        <v>36.0</v>
      </c>
      <c r="J159" s="3">
        <v>0.0</v>
      </c>
      <c r="L159" s="3">
        <v>655.741194963</v>
      </c>
      <c r="N159" s="3">
        <v>0.0</v>
      </c>
      <c r="O159" s="3">
        <v>200.0</v>
      </c>
      <c r="P159" s="3">
        <v>0.0</v>
      </c>
      <c r="Q159" s="3">
        <v>180.0</v>
      </c>
      <c r="S159" s="3">
        <v>0.0</v>
      </c>
      <c r="U159" s="3" t="s">
        <v>339</v>
      </c>
    </row>
    <row r="160">
      <c r="A160" s="3" t="s">
        <v>21</v>
      </c>
      <c r="B160" s="3" t="s">
        <v>22</v>
      </c>
      <c r="C160" s="3" t="s">
        <v>35</v>
      </c>
      <c r="D160" s="3" t="s">
        <v>102</v>
      </c>
      <c r="E160" s="3" t="s">
        <v>51</v>
      </c>
      <c r="F160" s="3">
        <v>0.0</v>
      </c>
      <c r="G160" s="3" t="s">
        <v>305</v>
      </c>
      <c r="H160" s="3">
        <v>118.0</v>
      </c>
      <c r="J160" s="3">
        <v>2.0</v>
      </c>
      <c r="L160" s="3">
        <v>2564.87624359</v>
      </c>
      <c r="N160" s="3">
        <v>0.0</v>
      </c>
      <c r="O160" s="3">
        <v>200.0</v>
      </c>
      <c r="P160" s="3">
        <v>0.0</v>
      </c>
      <c r="Q160" s="3">
        <v>590.0</v>
      </c>
      <c r="S160" s="3">
        <v>0.0169491525424</v>
      </c>
      <c r="U160" s="3" t="s">
        <v>340</v>
      </c>
    </row>
    <row r="161">
      <c r="A161" s="3" t="s">
        <v>21</v>
      </c>
      <c r="B161" s="3" t="s">
        <v>22</v>
      </c>
      <c r="C161" s="3" t="s">
        <v>35</v>
      </c>
      <c r="D161" s="3" t="s">
        <v>118</v>
      </c>
      <c r="E161" s="3" t="s">
        <v>25</v>
      </c>
      <c r="F161" s="3">
        <v>0.0</v>
      </c>
      <c r="G161" s="3" t="s">
        <v>305</v>
      </c>
      <c r="H161" s="3">
        <v>35.0</v>
      </c>
      <c r="J161" s="3">
        <v>0.0</v>
      </c>
      <c r="L161" s="3">
        <v>111.232637167</v>
      </c>
      <c r="M161" s="3">
        <v>33.0</v>
      </c>
      <c r="N161" s="3">
        <v>1.0</v>
      </c>
      <c r="O161" s="3">
        <v>233.0</v>
      </c>
      <c r="P161" s="3">
        <v>4.29184549356</v>
      </c>
      <c r="Q161" s="3">
        <v>150.214592275</v>
      </c>
      <c r="R161" s="3">
        <v>35.0</v>
      </c>
      <c r="S161" s="3">
        <v>0.0</v>
      </c>
      <c r="U161" s="3" t="s">
        <v>341</v>
      </c>
    </row>
    <row r="162">
      <c r="A162" s="3" t="s">
        <v>21</v>
      </c>
      <c r="B162" s="3" t="s">
        <v>22</v>
      </c>
      <c r="C162" s="3" t="s">
        <v>35</v>
      </c>
      <c r="D162" s="3" t="s">
        <v>118</v>
      </c>
      <c r="E162" s="3" t="s">
        <v>34</v>
      </c>
      <c r="F162" s="3">
        <v>0.0</v>
      </c>
      <c r="G162" s="3" t="s">
        <v>305</v>
      </c>
      <c r="H162" s="3">
        <v>74.0</v>
      </c>
      <c r="J162" s="3">
        <v>0.0</v>
      </c>
      <c r="L162" s="3">
        <v>317.301532984</v>
      </c>
      <c r="N162" s="3">
        <v>0.0</v>
      </c>
      <c r="O162" s="3">
        <v>200.0</v>
      </c>
      <c r="P162" s="3">
        <v>0.0</v>
      </c>
      <c r="Q162" s="3">
        <v>370.0</v>
      </c>
      <c r="S162" s="3">
        <v>0.0</v>
      </c>
      <c r="U162" s="3" t="s">
        <v>344</v>
      </c>
    </row>
    <row r="163">
      <c r="A163" s="3" t="s">
        <v>21</v>
      </c>
      <c r="B163" s="3" t="s">
        <v>22</v>
      </c>
      <c r="C163" s="3" t="s">
        <v>35</v>
      </c>
      <c r="D163" s="3" t="s">
        <v>118</v>
      </c>
      <c r="E163" s="3" t="s">
        <v>39</v>
      </c>
      <c r="F163" s="3">
        <v>0.0</v>
      </c>
      <c r="G163" s="3" t="s">
        <v>305</v>
      </c>
      <c r="H163" s="3">
        <v>90.0</v>
      </c>
      <c r="J163" s="3">
        <v>0.0</v>
      </c>
      <c r="L163" s="3">
        <v>393.539429903</v>
      </c>
      <c r="M163" s="3">
        <v>45.0</v>
      </c>
      <c r="N163" s="3">
        <v>2.0</v>
      </c>
      <c r="O163" s="3">
        <v>282.0</v>
      </c>
      <c r="P163" s="3">
        <v>7.09219858156</v>
      </c>
      <c r="Q163" s="3">
        <v>319.14893617</v>
      </c>
      <c r="R163" s="3">
        <v>45.0</v>
      </c>
      <c r="S163" s="3">
        <v>0.0</v>
      </c>
      <c r="U163" s="3" t="s">
        <v>346</v>
      </c>
    </row>
    <row r="164">
      <c r="A164" s="3" t="s">
        <v>21</v>
      </c>
      <c r="B164" s="3" t="s">
        <v>22</v>
      </c>
      <c r="C164" s="3" t="s">
        <v>35</v>
      </c>
      <c r="D164" s="3" t="s">
        <v>118</v>
      </c>
      <c r="E164" s="3" t="s">
        <v>43</v>
      </c>
      <c r="F164" s="3">
        <v>0.0</v>
      </c>
      <c r="G164" s="3" t="s">
        <v>305</v>
      </c>
      <c r="H164" s="3">
        <v>75.0</v>
      </c>
      <c r="J164" s="3">
        <v>0.0</v>
      </c>
      <c r="L164" s="3">
        <v>401.297274351</v>
      </c>
      <c r="N164" s="3">
        <v>0.0</v>
      </c>
      <c r="O164" s="3">
        <v>200.0</v>
      </c>
      <c r="P164" s="3">
        <v>0.0</v>
      </c>
      <c r="Q164" s="3">
        <v>375.0</v>
      </c>
      <c r="S164" s="3">
        <v>0.0</v>
      </c>
      <c r="U164" s="3" t="s">
        <v>349</v>
      </c>
    </row>
    <row r="165">
      <c r="A165" s="3" t="s">
        <v>21</v>
      </c>
      <c r="B165" s="3" t="s">
        <v>22</v>
      </c>
      <c r="C165" s="3" t="s">
        <v>35</v>
      </c>
      <c r="D165" s="3" t="s">
        <v>118</v>
      </c>
      <c r="E165" s="3" t="s">
        <v>47</v>
      </c>
      <c r="F165" s="3">
        <v>0.0</v>
      </c>
      <c r="G165" s="3" t="s">
        <v>305</v>
      </c>
      <c r="H165" s="3">
        <v>160.0</v>
      </c>
      <c r="J165" s="3">
        <v>0.0</v>
      </c>
      <c r="L165" s="3">
        <v>911.823961258</v>
      </c>
      <c r="N165" s="3">
        <v>0.0</v>
      </c>
      <c r="O165" s="3">
        <v>200.0</v>
      </c>
      <c r="P165" s="3">
        <v>0.0</v>
      </c>
      <c r="Q165" s="3">
        <v>800.0</v>
      </c>
      <c r="S165" s="3">
        <v>0.0</v>
      </c>
      <c r="U165" s="3" t="s">
        <v>351</v>
      </c>
    </row>
    <row r="166">
      <c r="A166" s="3" t="s">
        <v>21</v>
      </c>
      <c r="B166" s="3" t="s">
        <v>22</v>
      </c>
      <c r="C166" s="3" t="s">
        <v>35</v>
      </c>
      <c r="D166" s="3" t="s">
        <v>118</v>
      </c>
      <c r="E166" s="3" t="s">
        <v>51</v>
      </c>
      <c r="F166" s="3">
        <v>0.0</v>
      </c>
      <c r="G166" s="3" t="s">
        <v>305</v>
      </c>
      <c r="H166" s="3">
        <v>140.0</v>
      </c>
      <c r="J166" s="3">
        <v>0.0</v>
      </c>
      <c r="L166" s="3">
        <v>867.20300436</v>
      </c>
      <c r="N166" s="3">
        <v>0.0</v>
      </c>
      <c r="O166" s="3">
        <v>200.0</v>
      </c>
      <c r="P166" s="3">
        <v>0.0</v>
      </c>
      <c r="Q166" s="3">
        <v>700.0</v>
      </c>
      <c r="S166" s="3">
        <v>0.0</v>
      </c>
      <c r="U166" s="3" t="s">
        <v>354</v>
      </c>
    </row>
    <row r="167">
      <c r="A167" s="3" t="s">
        <v>32</v>
      </c>
      <c r="B167" s="3" t="s">
        <v>22</v>
      </c>
      <c r="C167" s="3" t="s">
        <v>23</v>
      </c>
      <c r="D167" s="3" t="s">
        <v>64</v>
      </c>
      <c r="E167" s="3" t="s">
        <v>25</v>
      </c>
      <c r="F167" s="3">
        <v>0.0</v>
      </c>
      <c r="G167" s="3" t="s">
        <v>356</v>
      </c>
      <c r="H167" s="3">
        <v>1136.0</v>
      </c>
      <c r="I167" s="3" t="s">
        <v>27</v>
      </c>
      <c r="J167" s="3">
        <v>0.0</v>
      </c>
      <c r="K167" s="3">
        <v>0.191304347826</v>
      </c>
      <c r="L167" s="3">
        <v>14263.2819526</v>
      </c>
      <c r="M167" s="3">
        <v>111.0</v>
      </c>
      <c r="N167" s="3">
        <v>6.0</v>
      </c>
      <c r="O167" s="3">
        <v>1495.0</v>
      </c>
      <c r="P167" s="3">
        <v>4.01337792642</v>
      </c>
      <c r="Q167" s="3">
        <v>759.866220736</v>
      </c>
      <c r="R167" s="3">
        <v>189.333333333</v>
      </c>
      <c r="S167" s="3">
        <v>0.0</v>
      </c>
      <c r="T167" s="3" t="s">
        <v>27</v>
      </c>
      <c r="U167" s="3" t="s">
        <v>357</v>
      </c>
    </row>
    <row r="168">
      <c r="A168" s="3" t="s">
        <v>32</v>
      </c>
      <c r="B168" s="3" t="s">
        <v>22</v>
      </c>
      <c r="C168" s="3" t="s">
        <v>23</v>
      </c>
      <c r="D168" s="3" t="s">
        <v>64</v>
      </c>
      <c r="E168" s="3" t="s">
        <v>39</v>
      </c>
      <c r="F168" s="3">
        <v>0.0</v>
      </c>
      <c r="G168" s="3" t="s">
        <v>356</v>
      </c>
      <c r="H168" s="3">
        <v>1094.0</v>
      </c>
      <c r="I168" s="3" t="s">
        <v>27</v>
      </c>
      <c r="J168" s="3">
        <v>10.0</v>
      </c>
      <c r="K168" s="3">
        <v>0.144182389937</v>
      </c>
      <c r="L168" s="3">
        <v>18919.9043648</v>
      </c>
      <c r="M168" s="3">
        <v>167.0</v>
      </c>
      <c r="N168" s="3">
        <v>10.0</v>
      </c>
      <c r="O168" s="3">
        <v>1590.0</v>
      </c>
      <c r="P168" s="3">
        <v>6.2893081761</v>
      </c>
      <c r="Q168" s="3">
        <v>688.050314465</v>
      </c>
      <c r="R168" s="3">
        <v>109.4</v>
      </c>
      <c r="S168" s="3">
        <v>0.0091407678245</v>
      </c>
      <c r="T168" s="3" t="s">
        <v>27</v>
      </c>
      <c r="U168" s="3" t="s">
        <v>358</v>
      </c>
    </row>
    <row r="169">
      <c r="A169" s="3" t="s">
        <v>32</v>
      </c>
      <c r="B169" s="3" t="s">
        <v>22</v>
      </c>
      <c r="C169" s="3" t="s">
        <v>23</v>
      </c>
      <c r="D169" s="3" t="s">
        <v>64</v>
      </c>
      <c r="E169" s="3" t="s">
        <v>43</v>
      </c>
      <c r="F169" s="3">
        <v>0.0</v>
      </c>
      <c r="G169" s="3" t="s">
        <v>356</v>
      </c>
      <c r="H169" s="3">
        <v>697.0</v>
      </c>
      <c r="I169" s="3" t="s">
        <v>27</v>
      </c>
      <c r="J169" s="3">
        <v>111.0</v>
      </c>
      <c r="K169" s="3">
        <v>0.0984960552268</v>
      </c>
      <c r="L169" s="3">
        <v>12591.5819538</v>
      </c>
      <c r="M169" s="3">
        <v>31.0</v>
      </c>
      <c r="N169" s="3">
        <v>9.0</v>
      </c>
      <c r="O169" s="3">
        <v>1352.0</v>
      </c>
      <c r="P169" s="3">
        <v>6.65680473373</v>
      </c>
      <c r="Q169" s="3">
        <v>515.532544379</v>
      </c>
      <c r="R169" s="3">
        <v>77.4444444444</v>
      </c>
      <c r="S169" s="3">
        <v>0.159253945481</v>
      </c>
      <c r="T169" s="3" t="s">
        <v>27</v>
      </c>
      <c r="U169" s="3" t="s">
        <v>359</v>
      </c>
    </row>
    <row r="170">
      <c r="A170" s="3" t="s">
        <v>32</v>
      </c>
      <c r="B170" s="3" t="s">
        <v>22</v>
      </c>
      <c r="C170" s="3" t="s">
        <v>23</v>
      </c>
      <c r="D170" s="3" t="s">
        <v>64</v>
      </c>
      <c r="E170" s="3" t="s">
        <v>47</v>
      </c>
      <c r="F170" s="3">
        <v>0.0</v>
      </c>
      <c r="G170" s="3" t="s">
        <v>356</v>
      </c>
      <c r="H170" s="3">
        <v>951.0</v>
      </c>
      <c r="I170" s="3" t="s">
        <v>27</v>
      </c>
      <c r="J170" s="3">
        <v>181.0</v>
      </c>
      <c r="K170" s="3">
        <v>0.12474507138</v>
      </c>
      <c r="L170" s="3">
        <v>18015.9587958</v>
      </c>
      <c r="M170" s="3">
        <v>59.0</v>
      </c>
      <c r="N170" s="3">
        <v>8.0</v>
      </c>
      <c r="O170" s="3">
        <v>1471.0</v>
      </c>
      <c r="P170" s="3">
        <v>5.43847722638</v>
      </c>
      <c r="Q170" s="3">
        <v>646.498980286</v>
      </c>
      <c r="R170" s="3">
        <v>118.875</v>
      </c>
      <c r="S170" s="3">
        <v>0.19032597266</v>
      </c>
      <c r="T170" s="3" t="s">
        <v>27</v>
      </c>
      <c r="U170" s="3" t="s">
        <v>360</v>
      </c>
    </row>
    <row r="171">
      <c r="A171" s="3" t="s">
        <v>32</v>
      </c>
      <c r="B171" s="3" t="s">
        <v>22</v>
      </c>
      <c r="C171" s="3" t="s">
        <v>23</v>
      </c>
      <c r="D171" s="3" t="s">
        <v>64</v>
      </c>
      <c r="E171" s="3" t="s">
        <v>51</v>
      </c>
      <c r="F171" s="3">
        <v>0.0</v>
      </c>
      <c r="G171" s="3" t="s">
        <v>356</v>
      </c>
      <c r="H171" s="3">
        <v>622.0</v>
      </c>
      <c r="I171" s="3" t="s">
        <v>27</v>
      </c>
      <c r="J171" s="3">
        <v>77.0</v>
      </c>
      <c r="K171" s="3">
        <v>0.0726888667992</v>
      </c>
      <c r="L171" s="3">
        <v>10817.3338346</v>
      </c>
      <c r="M171" s="3">
        <v>76.0</v>
      </c>
      <c r="N171" s="3">
        <v>4.0</v>
      </c>
      <c r="O171" s="3">
        <v>1006.0</v>
      </c>
      <c r="P171" s="3">
        <v>3.97614314115</v>
      </c>
      <c r="Q171" s="3">
        <v>618.290258449</v>
      </c>
      <c r="R171" s="3">
        <v>155.5</v>
      </c>
      <c r="S171" s="3">
        <v>0.123794212219</v>
      </c>
      <c r="T171" s="3" t="s">
        <v>27</v>
      </c>
      <c r="U171" s="3" t="s">
        <v>361</v>
      </c>
    </row>
    <row r="172">
      <c r="A172" s="3" t="s">
        <v>32</v>
      </c>
      <c r="B172" s="3" t="s">
        <v>114</v>
      </c>
      <c r="C172" s="3" t="s">
        <v>23</v>
      </c>
      <c r="D172" s="3" t="s">
        <v>24</v>
      </c>
      <c r="E172" s="3" t="s">
        <v>25</v>
      </c>
      <c r="F172" s="3">
        <v>0.0</v>
      </c>
      <c r="G172" s="3" t="s">
        <v>362</v>
      </c>
      <c r="H172" s="3">
        <v>431.0</v>
      </c>
      <c r="I172" s="3" t="s">
        <v>27</v>
      </c>
      <c r="J172" s="3">
        <v>0.0</v>
      </c>
      <c r="K172" s="3">
        <v>0.289820359281</v>
      </c>
      <c r="L172" s="3">
        <v>167.938685417</v>
      </c>
      <c r="M172" s="3">
        <v>84.0</v>
      </c>
      <c r="N172" s="3">
        <v>4.0</v>
      </c>
      <c r="O172" s="3">
        <v>835.0</v>
      </c>
      <c r="P172" s="3">
        <v>4.79041916168</v>
      </c>
      <c r="Q172" s="3">
        <v>516.167664671</v>
      </c>
      <c r="R172" s="3">
        <v>107.75</v>
      </c>
      <c r="S172" s="3">
        <v>0.0</v>
      </c>
      <c r="T172" s="3" t="s">
        <v>27</v>
      </c>
      <c r="U172" s="3" t="s">
        <v>363</v>
      </c>
    </row>
    <row r="173">
      <c r="A173" s="3" t="s">
        <v>32</v>
      </c>
      <c r="B173" s="3" t="s">
        <v>114</v>
      </c>
      <c r="C173" s="3" t="s">
        <v>23</v>
      </c>
      <c r="D173" s="3" t="s">
        <v>24</v>
      </c>
      <c r="E173" s="3" t="s">
        <v>25</v>
      </c>
      <c r="F173" s="3">
        <v>100.0</v>
      </c>
      <c r="G173" s="3" t="s">
        <v>364</v>
      </c>
      <c r="H173" s="3">
        <v>615.0</v>
      </c>
      <c r="I173" s="3" t="s">
        <v>27</v>
      </c>
      <c r="J173" s="3">
        <v>0.0</v>
      </c>
      <c r="K173" s="3">
        <v>0.30152284264</v>
      </c>
      <c r="L173" s="3">
        <v>240.724218369</v>
      </c>
      <c r="M173" s="3">
        <v>32.0</v>
      </c>
      <c r="N173" s="3">
        <v>3.0</v>
      </c>
      <c r="O173" s="3">
        <v>985.0</v>
      </c>
      <c r="P173" s="3">
        <v>3.04568527919</v>
      </c>
      <c r="Q173" s="3">
        <v>624.365482234</v>
      </c>
      <c r="R173" s="3">
        <v>205.0</v>
      </c>
      <c r="S173" s="3">
        <v>0.0</v>
      </c>
      <c r="T173" s="3" t="s">
        <v>27</v>
      </c>
      <c r="U173" s="3" t="s">
        <v>365</v>
      </c>
    </row>
    <row r="174">
      <c r="A174" s="3" t="s">
        <v>32</v>
      </c>
      <c r="B174" s="3" t="s">
        <v>114</v>
      </c>
      <c r="C174" s="3" t="s">
        <v>23</v>
      </c>
      <c r="D174" s="3" t="s">
        <v>24</v>
      </c>
      <c r="E174" s="3" t="s">
        <v>25</v>
      </c>
      <c r="F174" s="3">
        <v>100.0</v>
      </c>
      <c r="G174" s="3" t="s">
        <v>366</v>
      </c>
      <c r="H174" s="3">
        <v>460.0</v>
      </c>
      <c r="I174" s="3" t="s">
        <v>27</v>
      </c>
      <c r="J174" s="3">
        <v>0.0</v>
      </c>
      <c r="K174" s="3">
        <v>0.12625250501</v>
      </c>
      <c r="L174" s="3">
        <v>197.587268353</v>
      </c>
      <c r="M174" s="3">
        <v>98.0</v>
      </c>
      <c r="N174" s="3">
        <v>6.0</v>
      </c>
      <c r="O174" s="3">
        <v>998.0</v>
      </c>
      <c r="P174" s="3">
        <v>6.0120240481</v>
      </c>
      <c r="Q174" s="3">
        <v>460.921843687</v>
      </c>
      <c r="R174" s="3">
        <v>76.6666666667</v>
      </c>
      <c r="S174" s="3">
        <v>0.0</v>
      </c>
      <c r="T174" s="3" t="s">
        <v>27</v>
      </c>
      <c r="U174" s="3" t="s">
        <v>367</v>
      </c>
    </row>
    <row r="175">
      <c r="A175" s="3" t="s">
        <v>32</v>
      </c>
      <c r="B175" s="3" t="s">
        <v>114</v>
      </c>
      <c r="C175" s="3" t="s">
        <v>23</v>
      </c>
      <c r="D175" s="3" t="s">
        <v>24</v>
      </c>
      <c r="E175" s="3" t="s">
        <v>25</v>
      </c>
      <c r="F175" s="3">
        <v>100.0</v>
      </c>
      <c r="G175" s="3" t="s">
        <v>368</v>
      </c>
      <c r="H175" s="3">
        <v>952.0</v>
      </c>
      <c r="I175" s="3" t="s">
        <v>27</v>
      </c>
      <c r="J175" s="3">
        <v>0.0</v>
      </c>
      <c r="K175" s="3">
        <v>0.158875552748</v>
      </c>
      <c r="L175" s="3">
        <v>402.527227879</v>
      </c>
      <c r="M175" s="3">
        <v>32.0</v>
      </c>
      <c r="N175" s="3">
        <v>7.0</v>
      </c>
      <c r="O175" s="3">
        <v>1583.0</v>
      </c>
      <c r="P175" s="3">
        <v>4.42198357549</v>
      </c>
      <c r="Q175" s="3">
        <v>601.389766267</v>
      </c>
      <c r="R175" s="3">
        <v>136.0</v>
      </c>
      <c r="S175" s="3">
        <v>0.0</v>
      </c>
      <c r="T175" s="3" t="s">
        <v>27</v>
      </c>
      <c r="U175" s="3" t="s">
        <v>369</v>
      </c>
    </row>
    <row r="176">
      <c r="A176" s="3" t="s">
        <v>32</v>
      </c>
      <c r="B176" s="3" t="s">
        <v>114</v>
      </c>
      <c r="C176" s="3" t="s">
        <v>23</v>
      </c>
      <c r="D176" s="3" t="s">
        <v>24</v>
      </c>
      <c r="E176" s="3" t="s">
        <v>34</v>
      </c>
      <c r="F176" s="3">
        <v>0.0</v>
      </c>
      <c r="G176" s="3" t="s">
        <v>362</v>
      </c>
      <c r="H176" s="3">
        <v>1981.0</v>
      </c>
      <c r="I176" s="3" t="s">
        <v>27</v>
      </c>
      <c r="J176" s="3">
        <v>0.0</v>
      </c>
      <c r="K176" s="3">
        <v>0.0221354166667</v>
      </c>
      <c r="L176" s="3">
        <v>2077.04222941</v>
      </c>
      <c r="M176" s="3">
        <v>40.0</v>
      </c>
      <c r="N176" s="3">
        <v>3.0</v>
      </c>
      <c r="O176" s="3">
        <v>640.0</v>
      </c>
      <c r="P176" s="3">
        <v>4.6875</v>
      </c>
      <c r="Q176" s="3">
        <v>3095.3125</v>
      </c>
      <c r="R176" s="3">
        <v>660.333333333</v>
      </c>
      <c r="S176" s="3">
        <v>0.0</v>
      </c>
      <c r="T176" s="3" t="s">
        <v>27</v>
      </c>
      <c r="U176" s="3" t="s">
        <v>370</v>
      </c>
    </row>
    <row r="177">
      <c r="A177" s="3" t="s">
        <v>32</v>
      </c>
      <c r="B177" s="3" t="s">
        <v>114</v>
      </c>
      <c r="C177" s="3" t="s">
        <v>23</v>
      </c>
      <c r="D177" s="3" t="s">
        <v>24</v>
      </c>
      <c r="E177" s="3" t="s">
        <v>34</v>
      </c>
      <c r="F177" s="3">
        <v>100.0</v>
      </c>
      <c r="G177" s="3" t="s">
        <v>364</v>
      </c>
      <c r="H177" s="3">
        <v>1939.0</v>
      </c>
      <c r="I177" s="3" t="s">
        <v>27</v>
      </c>
      <c r="J177" s="3">
        <v>0.0</v>
      </c>
      <c r="K177" s="3">
        <v>0.29777486911</v>
      </c>
      <c r="L177" s="3">
        <v>1620.48160768</v>
      </c>
      <c r="M177" s="3">
        <v>42.0</v>
      </c>
      <c r="N177" s="3">
        <v>4.0</v>
      </c>
      <c r="O177" s="3">
        <v>764.0</v>
      </c>
      <c r="P177" s="3">
        <v>5.23560209424</v>
      </c>
      <c r="Q177" s="3">
        <v>2537.95811518</v>
      </c>
      <c r="R177" s="3">
        <v>484.75</v>
      </c>
      <c r="S177" s="3">
        <v>0.0</v>
      </c>
      <c r="T177" s="3" t="s">
        <v>27</v>
      </c>
      <c r="U177" s="3" t="s">
        <v>371</v>
      </c>
    </row>
    <row r="178">
      <c r="A178" s="3" t="s">
        <v>32</v>
      </c>
      <c r="B178" s="3" t="s">
        <v>114</v>
      </c>
      <c r="C178" s="3" t="s">
        <v>23</v>
      </c>
      <c r="D178" s="3" t="s">
        <v>24</v>
      </c>
      <c r="E178" s="3" t="s">
        <v>34</v>
      </c>
      <c r="F178" s="3">
        <v>100.0</v>
      </c>
      <c r="G178" s="3" t="s">
        <v>366</v>
      </c>
      <c r="H178" s="3">
        <v>2290.0</v>
      </c>
      <c r="I178" s="3" t="s">
        <v>27</v>
      </c>
      <c r="J178" s="3">
        <v>0.0</v>
      </c>
      <c r="K178" s="3">
        <v>0.430697674419</v>
      </c>
      <c r="L178" s="3">
        <v>1234.78653669</v>
      </c>
      <c r="M178" s="3">
        <v>41.0</v>
      </c>
      <c r="N178" s="3">
        <v>7.0</v>
      </c>
      <c r="O178" s="3">
        <v>1075.0</v>
      </c>
      <c r="P178" s="3">
        <v>6.51162790698</v>
      </c>
      <c r="Q178" s="3">
        <v>2130.23255814</v>
      </c>
      <c r="R178" s="3">
        <v>327.142857143</v>
      </c>
      <c r="S178" s="3">
        <v>0.0</v>
      </c>
      <c r="T178" s="3" t="s">
        <v>27</v>
      </c>
      <c r="U178" s="3" t="s">
        <v>372</v>
      </c>
    </row>
    <row r="179">
      <c r="A179" s="3" t="s">
        <v>32</v>
      </c>
      <c r="B179" s="3" t="s">
        <v>114</v>
      </c>
      <c r="C179" s="3" t="s">
        <v>23</v>
      </c>
      <c r="D179" s="3" t="s">
        <v>24</v>
      </c>
      <c r="E179" s="3" t="s">
        <v>34</v>
      </c>
      <c r="F179" s="3">
        <v>100.0</v>
      </c>
      <c r="G179" s="3" t="s">
        <v>368</v>
      </c>
      <c r="H179" s="3">
        <v>2524.0</v>
      </c>
      <c r="I179" s="3" t="s">
        <v>27</v>
      </c>
      <c r="J179" s="3">
        <v>0.0</v>
      </c>
      <c r="K179" s="3">
        <v>0.501604106513</v>
      </c>
      <c r="L179" s="3">
        <v>1312.4565928</v>
      </c>
      <c r="M179" s="3">
        <v>39.0</v>
      </c>
      <c r="N179" s="3">
        <v>6.0</v>
      </c>
      <c r="O179" s="3">
        <v>1039.0</v>
      </c>
      <c r="P179" s="3">
        <v>5.77478344562</v>
      </c>
      <c r="Q179" s="3">
        <v>2429.25890279</v>
      </c>
      <c r="R179" s="3">
        <v>420.666666667</v>
      </c>
      <c r="S179" s="3">
        <v>0.0</v>
      </c>
      <c r="T179" s="3" t="s">
        <v>27</v>
      </c>
      <c r="U179" s="3" t="s">
        <v>373</v>
      </c>
    </row>
    <row r="180">
      <c r="A180" s="3" t="s">
        <v>32</v>
      </c>
      <c r="B180" s="3" t="s">
        <v>114</v>
      </c>
      <c r="C180" s="3" t="s">
        <v>23</v>
      </c>
      <c r="D180" s="3" t="s">
        <v>24</v>
      </c>
      <c r="E180" s="3" t="s">
        <v>39</v>
      </c>
      <c r="F180" s="3">
        <v>0.0</v>
      </c>
      <c r="G180" s="3" t="s">
        <v>362</v>
      </c>
      <c r="H180" s="3">
        <v>193.0</v>
      </c>
      <c r="I180" s="3" t="s">
        <v>27</v>
      </c>
      <c r="J180" s="3">
        <v>0.0</v>
      </c>
      <c r="K180" s="3">
        <v>0.1065</v>
      </c>
      <c r="L180" s="3">
        <v>151.15136528</v>
      </c>
      <c r="N180" s="3">
        <v>0.0</v>
      </c>
      <c r="O180" s="3">
        <v>500.0</v>
      </c>
      <c r="P180" s="3">
        <v>0.0</v>
      </c>
      <c r="Q180" s="3">
        <v>386.0</v>
      </c>
      <c r="S180" s="3">
        <v>0.0</v>
      </c>
      <c r="T180" s="3" t="s">
        <v>27</v>
      </c>
      <c r="U180" s="3" t="s">
        <v>374</v>
      </c>
    </row>
    <row r="181">
      <c r="A181" s="3" t="s">
        <v>32</v>
      </c>
      <c r="B181" s="3" t="s">
        <v>114</v>
      </c>
      <c r="C181" s="3" t="s">
        <v>23</v>
      </c>
      <c r="D181" s="3" t="s">
        <v>24</v>
      </c>
      <c r="E181" s="3" t="s">
        <v>39</v>
      </c>
      <c r="F181" s="3">
        <v>100.0</v>
      </c>
      <c r="G181" s="3" t="s">
        <v>364</v>
      </c>
      <c r="H181" s="3">
        <v>2284.0</v>
      </c>
      <c r="I181" s="3" t="s">
        <v>27</v>
      </c>
      <c r="J181" s="3">
        <v>0.0</v>
      </c>
      <c r="K181" s="3">
        <v>0.157293713163</v>
      </c>
      <c r="L181" s="3">
        <v>1408.91341949</v>
      </c>
      <c r="M181" s="3">
        <v>45.0</v>
      </c>
      <c r="N181" s="3">
        <v>14.0</v>
      </c>
      <c r="O181" s="3">
        <v>2036.0</v>
      </c>
      <c r="P181" s="3">
        <v>6.87622789784</v>
      </c>
      <c r="Q181" s="3">
        <v>1121.80746562</v>
      </c>
      <c r="R181" s="3">
        <v>163.142857143</v>
      </c>
      <c r="S181" s="3">
        <v>0.0</v>
      </c>
      <c r="T181" s="3" t="s">
        <v>27</v>
      </c>
      <c r="U181" s="3" t="s">
        <v>375</v>
      </c>
    </row>
    <row r="182">
      <c r="A182" s="3" t="s">
        <v>32</v>
      </c>
      <c r="B182" s="3" t="s">
        <v>114</v>
      </c>
      <c r="C182" s="3" t="s">
        <v>23</v>
      </c>
      <c r="D182" s="3" t="s">
        <v>24</v>
      </c>
      <c r="E182" s="3" t="s">
        <v>39</v>
      </c>
      <c r="F182" s="3">
        <v>100.0</v>
      </c>
      <c r="G182" s="3" t="s">
        <v>366</v>
      </c>
      <c r="H182" s="3">
        <v>1515.0</v>
      </c>
      <c r="I182" s="3" t="s">
        <v>27</v>
      </c>
      <c r="J182" s="3">
        <v>0.0</v>
      </c>
      <c r="K182" s="3">
        <v>0.233289930556</v>
      </c>
      <c r="L182" s="3">
        <v>944.951615572</v>
      </c>
      <c r="M182" s="3">
        <v>60.0</v>
      </c>
      <c r="N182" s="3">
        <v>7.0</v>
      </c>
      <c r="O182" s="3">
        <v>1152.0</v>
      </c>
      <c r="P182" s="3">
        <v>6.07638888889</v>
      </c>
      <c r="Q182" s="3">
        <v>1315.10416667</v>
      </c>
      <c r="R182" s="3">
        <v>216.428571429</v>
      </c>
      <c r="S182" s="3">
        <v>0.0</v>
      </c>
      <c r="T182" s="3" t="s">
        <v>27</v>
      </c>
      <c r="U182" s="3" t="s">
        <v>376</v>
      </c>
    </row>
    <row r="183">
      <c r="A183" s="3" t="s">
        <v>32</v>
      </c>
      <c r="B183" s="3" t="s">
        <v>114</v>
      </c>
      <c r="C183" s="3" t="s">
        <v>23</v>
      </c>
      <c r="D183" s="3" t="s">
        <v>24</v>
      </c>
      <c r="E183" s="3" t="s">
        <v>39</v>
      </c>
      <c r="F183" s="3">
        <v>100.0</v>
      </c>
      <c r="G183" s="3" t="s">
        <v>368</v>
      </c>
      <c r="H183" s="3">
        <v>1128.0</v>
      </c>
      <c r="I183" s="3" t="s">
        <v>27</v>
      </c>
      <c r="J183" s="3">
        <v>0.0</v>
      </c>
      <c r="K183" s="3">
        <v>0.111085556578</v>
      </c>
      <c r="L183" s="3">
        <v>791.424335241</v>
      </c>
      <c r="M183" s="3">
        <v>87.0</v>
      </c>
      <c r="N183" s="3">
        <v>5.0</v>
      </c>
      <c r="O183" s="3">
        <v>1087.0</v>
      </c>
      <c r="P183" s="3">
        <v>4.59981600736</v>
      </c>
      <c r="Q183" s="3">
        <v>1037.71849126</v>
      </c>
      <c r="R183" s="3">
        <v>225.6</v>
      </c>
      <c r="S183" s="3">
        <v>0.0</v>
      </c>
      <c r="T183" s="3" t="s">
        <v>27</v>
      </c>
      <c r="U183" s="3" t="s">
        <v>377</v>
      </c>
    </row>
    <row r="184">
      <c r="A184" s="3" t="s">
        <v>32</v>
      </c>
      <c r="B184" s="3" t="s">
        <v>114</v>
      </c>
      <c r="C184" s="3" t="s">
        <v>23</v>
      </c>
      <c r="D184" s="3" t="s">
        <v>24</v>
      </c>
      <c r="E184" s="3" t="s">
        <v>43</v>
      </c>
      <c r="F184" s="3">
        <v>0.0</v>
      </c>
      <c r="G184" s="3" t="s">
        <v>362</v>
      </c>
      <c r="H184" s="3">
        <v>1530.0</v>
      </c>
      <c r="I184" s="3" t="s">
        <v>27</v>
      </c>
      <c r="J184" s="3">
        <v>0.0</v>
      </c>
      <c r="K184" s="3">
        <v>0.129604365621</v>
      </c>
      <c r="L184" s="3">
        <v>1059.54345536</v>
      </c>
      <c r="M184" s="3">
        <v>48.0</v>
      </c>
      <c r="N184" s="3">
        <v>5.0</v>
      </c>
      <c r="O184" s="3">
        <v>733.0</v>
      </c>
      <c r="P184" s="3">
        <v>6.82128240109</v>
      </c>
      <c r="Q184" s="3">
        <v>2087.31241473</v>
      </c>
      <c r="R184" s="3">
        <v>306.0</v>
      </c>
      <c r="S184" s="3">
        <v>0.0</v>
      </c>
      <c r="T184" s="3" t="s">
        <v>27</v>
      </c>
      <c r="U184" s="3" t="s">
        <v>378</v>
      </c>
    </row>
    <row r="185">
      <c r="A185" s="3" t="s">
        <v>32</v>
      </c>
      <c r="B185" s="3" t="s">
        <v>114</v>
      </c>
      <c r="C185" s="3" t="s">
        <v>23</v>
      </c>
      <c r="D185" s="3" t="s">
        <v>24</v>
      </c>
      <c r="E185" s="3" t="s">
        <v>43</v>
      </c>
      <c r="F185" s="3">
        <v>100.0</v>
      </c>
      <c r="G185" s="3" t="s">
        <v>364</v>
      </c>
      <c r="H185" s="3">
        <v>1640.0</v>
      </c>
      <c r="I185" s="3" t="s">
        <v>27</v>
      </c>
      <c r="J185" s="3">
        <v>0.0</v>
      </c>
      <c r="K185" s="3">
        <v>0.127431906615</v>
      </c>
      <c r="L185" s="3">
        <v>1163.01134157</v>
      </c>
      <c r="M185" s="3">
        <v>38.0</v>
      </c>
      <c r="N185" s="3">
        <v>10.0</v>
      </c>
      <c r="O185" s="3">
        <v>1028.0</v>
      </c>
      <c r="P185" s="3">
        <v>9.72762645914</v>
      </c>
      <c r="Q185" s="3">
        <v>1595.3307393</v>
      </c>
      <c r="R185" s="3">
        <v>164.0</v>
      </c>
      <c r="S185" s="3">
        <v>0.0</v>
      </c>
      <c r="T185" s="3" t="s">
        <v>27</v>
      </c>
      <c r="U185" s="3" t="s">
        <v>379</v>
      </c>
    </row>
    <row r="186">
      <c r="A186" s="3" t="s">
        <v>32</v>
      </c>
      <c r="B186" s="3" t="s">
        <v>114</v>
      </c>
      <c r="C186" s="3" t="s">
        <v>23</v>
      </c>
      <c r="D186" s="3" t="s">
        <v>24</v>
      </c>
      <c r="E186" s="3" t="s">
        <v>43</v>
      </c>
      <c r="F186" s="3">
        <v>100.0</v>
      </c>
      <c r="G186" s="3" t="s">
        <v>366</v>
      </c>
      <c r="H186" s="3">
        <v>2146.0</v>
      </c>
      <c r="I186" s="3" t="s">
        <v>27</v>
      </c>
      <c r="J186" s="3">
        <v>0.0</v>
      </c>
      <c r="K186" s="3">
        <v>0.135017421603</v>
      </c>
      <c r="L186" s="3">
        <v>1547.10139918</v>
      </c>
      <c r="M186" s="3">
        <v>38.0</v>
      </c>
      <c r="N186" s="3">
        <v>14.0</v>
      </c>
      <c r="O186" s="3">
        <v>1148.0</v>
      </c>
      <c r="P186" s="3">
        <v>12.1951219512</v>
      </c>
      <c r="Q186" s="3">
        <v>1869.33797909</v>
      </c>
      <c r="R186" s="3">
        <v>153.285714286</v>
      </c>
      <c r="S186" s="3">
        <v>0.0</v>
      </c>
      <c r="T186" s="3" t="s">
        <v>27</v>
      </c>
      <c r="U186" s="3" t="s">
        <v>380</v>
      </c>
    </row>
    <row r="187">
      <c r="A187" s="3" t="s">
        <v>32</v>
      </c>
      <c r="B187" s="3" t="s">
        <v>114</v>
      </c>
      <c r="C187" s="3" t="s">
        <v>23</v>
      </c>
      <c r="D187" s="3" t="s">
        <v>24</v>
      </c>
      <c r="E187" s="3" t="s">
        <v>43</v>
      </c>
      <c r="F187" s="3">
        <v>100.0</v>
      </c>
      <c r="G187" s="3" t="s">
        <v>368</v>
      </c>
      <c r="H187" s="3">
        <v>3353.0</v>
      </c>
      <c r="I187" s="3" t="s">
        <v>27</v>
      </c>
      <c r="J187" s="3">
        <v>0.0</v>
      </c>
      <c r="K187" s="3">
        <v>0.138100245356</v>
      </c>
      <c r="L187" s="3">
        <v>2348.760957</v>
      </c>
      <c r="M187" s="3">
        <v>38.0</v>
      </c>
      <c r="N187" s="3">
        <v>19.0</v>
      </c>
      <c r="O187" s="3">
        <v>1902.0</v>
      </c>
      <c r="P187" s="3">
        <v>9.98948475289</v>
      </c>
      <c r="Q187" s="3">
        <v>1762.88117771</v>
      </c>
      <c r="R187" s="3">
        <v>176.473684211</v>
      </c>
      <c r="S187" s="3">
        <v>0.0</v>
      </c>
      <c r="T187" s="3" t="s">
        <v>27</v>
      </c>
      <c r="U187" s="3" t="s">
        <v>381</v>
      </c>
    </row>
    <row r="188">
      <c r="A188" s="3" t="s">
        <v>32</v>
      </c>
      <c r="B188" s="3" t="s">
        <v>114</v>
      </c>
      <c r="C188" s="3" t="s">
        <v>23</v>
      </c>
      <c r="D188" s="3" t="s">
        <v>24</v>
      </c>
      <c r="E188" s="3" t="s">
        <v>47</v>
      </c>
      <c r="F188" s="3">
        <v>0.0</v>
      </c>
      <c r="G188" s="3" t="s">
        <v>362</v>
      </c>
      <c r="H188" s="3">
        <v>2910.0</v>
      </c>
      <c r="I188" s="3" t="s">
        <v>27</v>
      </c>
      <c r="J188" s="3">
        <v>0.0</v>
      </c>
      <c r="K188" s="3">
        <v>0.0196520618557</v>
      </c>
      <c r="L188" s="3">
        <v>3658.97332096</v>
      </c>
      <c r="M188" s="3">
        <v>43.0</v>
      </c>
      <c r="N188" s="3">
        <v>5.0</v>
      </c>
      <c r="O188" s="3">
        <v>776.0</v>
      </c>
      <c r="P188" s="3">
        <v>6.44329896907</v>
      </c>
      <c r="Q188" s="3">
        <v>3750.0</v>
      </c>
      <c r="R188" s="3">
        <v>582.0</v>
      </c>
      <c r="S188" s="3">
        <v>0.0</v>
      </c>
      <c r="T188" s="3" t="s">
        <v>27</v>
      </c>
      <c r="U188" s="3" t="s">
        <v>382</v>
      </c>
    </row>
    <row r="189">
      <c r="A189" s="3" t="s">
        <v>32</v>
      </c>
      <c r="B189" s="3" t="s">
        <v>114</v>
      </c>
      <c r="C189" s="3" t="s">
        <v>23</v>
      </c>
      <c r="D189" s="3" t="s">
        <v>24</v>
      </c>
      <c r="E189" s="3" t="s">
        <v>47</v>
      </c>
      <c r="F189" s="3">
        <v>100.0</v>
      </c>
      <c r="G189" s="3" t="s">
        <v>364</v>
      </c>
      <c r="H189" s="3">
        <v>4051.0</v>
      </c>
      <c r="I189" s="3" t="s">
        <v>27</v>
      </c>
      <c r="J189" s="3">
        <v>0.0</v>
      </c>
      <c r="K189" s="3">
        <v>0.0552567661346</v>
      </c>
      <c r="L189" s="3">
        <v>5833.5986917</v>
      </c>
      <c r="M189" s="3">
        <v>41.0</v>
      </c>
      <c r="N189" s="3">
        <v>15.0</v>
      </c>
      <c r="O189" s="3">
        <v>1441.0</v>
      </c>
      <c r="P189" s="3">
        <v>10.4094378904</v>
      </c>
      <c r="Q189" s="3">
        <v>2811.24219292</v>
      </c>
      <c r="R189" s="3">
        <v>270.066666667</v>
      </c>
      <c r="S189" s="3">
        <v>0.0</v>
      </c>
      <c r="T189" s="3" t="s">
        <v>27</v>
      </c>
      <c r="U189" s="3" t="s">
        <v>383</v>
      </c>
    </row>
    <row r="190">
      <c r="A190" s="3" t="s">
        <v>32</v>
      </c>
      <c r="B190" s="3" t="s">
        <v>114</v>
      </c>
      <c r="C190" s="3" t="s">
        <v>23</v>
      </c>
      <c r="D190" s="3" t="s">
        <v>24</v>
      </c>
      <c r="E190" s="3" t="s">
        <v>47</v>
      </c>
      <c r="F190" s="3">
        <v>100.0</v>
      </c>
      <c r="G190" s="3" t="s">
        <v>366</v>
      </c>
      <c r="H190" s="3">
        <v>3696.0</v>
      </c>
      <c r="I190" s="3" t="s">
        <v>27</v>
      </c>
      <c r="J190" s="3">
        <v>0.0</v>
      </c>
      <c r="K190" s="3">
        <v>0.0420454545455</v>
      </c>
      <c r="L190" s="3">
        <v>7296.60681033</v>
      </c>
      <c r="M190" s="3">
        <v>41.0</v>
      </c>
      <c r="N190" s="3">
        <v>10.0</v>
      </c>
      <c r="O190" s="3">
        <v>1100.0</v>
      </c>
      <c r="P190" s="3">
        <v>9.09090909091</v>
      </c>
      <c r="Q190" s="3">
        <v>3360.0</v>
      </c>
      <c r="R190" s="3">
        <v>369.6</v>
      </c>
      <c r="S190" s="3">
        <v>0.0</v>
      </c>
      <c r="T190" s="3" t="s">
        <v>27</v>
      </c>
      <c r="U190" s="3" t="s">
        <v>384</v>
      </c>
    </row>
    <row r="191">
      <c r="A191" s="3" t="s">
        <v>32</v>
      </c>
      <c r="B191" s="3" t="s">
        <v>114</v>
      </c>
      <c r="C191" s="3" t="s">
        <v>23</v>
      </c>
      <c r="D191" s="3" t="s">
        <v>24</v>
      </c>
      <c r="E191" s="3" t="s">
        <v>47</v>
      </c>
      <c r="F191" s="3">
        <v>100.0</v>
      </c>
      <c r="G191" s="3" t="s">
        <v>368</v>
      </c>
      <c r="H191" s="3">
        <v>1380.0</v>
      </c>
      <c r="I191" s="3" t="s">
        <v>27</v>
      </c>
      <c r="J191" s="3">
        <v>0.0</v>
      </c>
      <c r="K191" s="3">
        <v>0.0159259259259</v>
      </c>
      <c r="L191" s="3">
        <v>2893.98811555</v>
      </c>
      <c r="M191" s="3">
        <v>53.0</v>
      </c>
      <c r="N191" s="3">
        <v>7.0</v>
      </c>
      <c r="O191" s="3">
        <v>675.0</v>
      </c>
      <c r="P191" s="3">
        <v>10.3703703704</v>
      </c>
      <c r="Q191" s="3">
        <v>2044.44444444</v>
      </c>
      <c r="R191" s="3">
        <v>197.142857143</v>
      </c>
      <c r="S191" s="3">
        <v>0.0</v>
      </c>
      <c r="T191" s="3" t="s">
        <v>27</v>
      </c>
      <c r="U191" s="3" t="s">
        <v>385</v>
      </c>
    </row>
    <row r="192">
      <c r="A192" s="3" t="s">
        <v>32</v>
      </c>
      <c r="B192" s="3" t="s">
        <v>114</v>
      </c>
      <c r="C192" s="3" t="s">
        <v>23</v>
      </c>
      <c r="D192" s="3" t="s">
        <v>24</v>
      </c>
      <c r="E192" s="3" t="s">
        <v>51</v>
      </c>
      <c r="F192" s="3">
        <v>0.0</v>
      </c>
      <c r="G192" s="3" t="s">
        <v>362</v>
      </c>
      <c r="H192" s="3">
        <v>2819.0</v>
      </c>
      <c r="I192" s="3" t="s">
        <v>27</v>
      </c>
      <c r="J192" s="3">
        <v>0.0</v>
      </c>
      <c r="K192" s="3">
        <v>0.0606851179673</v>
      </c>
      <c r="L192" s="3">
        <v>3360.71352363</v>
      </c>
      <c r="M192" s="3">
        <v>45.0</v>
      </c>
      <c r="N192" s="3">
        <v>8.0</v>
      </c>
      <c r="O192" s="3">
        <v>1102.0</v>
      </c>
      <c r="P192" s="3">
        <v>7.25952813067</v>
      </c>
      <c r="Q192" s="3">
        <v>2558.07622505</v>
      </c>
      <c r="R192" s="3">
        <v>352.375</v>
      </c>
      <c r="S192" s="3">
        <v>0.0</v>
      </c>
      <c r="T192" s="3" t="s">
        <v>27</v>
      </c>
      <c r="U192" s="3" t="s">
        <v>386</v>
      </c>
    </row>
    <row r="193">
      <c r="A193" s="3" t="s">
        <v>32</v>
      </c>
      <c r="B193" s="3" t="s">
        <v>114</v>
      </c>
      <c r="C193" s="3" t="s">
        <v>23</v>
      </c>
      <c r="D193" s="3" t="s">
        <v>24</v>
      </c>
      <c r="E193" s="3" t="s">
        <v>51</v>
      </c>
      <c r="F193" s="3">
        <v>100.0</v>
      </c>
      <c r="G193" s="3" t="s">
        <v>364</v>
      </c>
      <c r="H193" s="3">
        <v>1445.0</v>
      </c>
      <c r="I193" s="3" t="s">
        <v>27</v>
      </c>
      <c r="J193" s="3">
        <v>0.0</v>
      </c>
      <c r="K193" s="3">
        <v>0.00752032520325</v>
      </c>
      <c r="L193" s="3">
        <v>3270.82688475</v>
      </c>
      <c r="M193" s="3">
        <v>38.0</v>
      </c>
      <c r="N193" s="3">
        <v>4.0</v>
      </c>
      <c r="O193" s="3">
        <v>615.0</v>
      </c>
      <c r="P193" s="3">
        <v>6.50406504065</v>
      </c>
      <c r="Q193" s="3">
        <v>2349.59349593</v>
      </c>
      <c r="R193" s="3">
        <v>361.25</v>
      </c>
      <c r="S193" s="3">
        <v>0.0</v>
      </c>
      <c r="T193" s="3" t="s">
        <v>27</v>
      </c>
      <c r="U193" s="3" t="s">
        <v>387</v>
      </c>
    </row>
    <row r="194">
      <c r="A194" s="3" t="s">
        <v>32</v>
      </c>
      <c r="B194" s="3" t="s">
        <v>114</v>
      </c>
      <c r="C194" s="3" t="s">
        <v>23</v>
      </c>
      <c r="D194" s="3" t="s">
        <v>24</v>
      </c>
      <c r="E194" s="3" t="s">
        <v>51</v>
      </c>
      <c r="F194" s="3">
        <v>100.0</v>
      </c>
      <c r="G194" s="3" t="s">
        <v>366</v>
      </c>
      <c r="H194" s="3">
        <v>1435.0</v>
      </c>
      <c r="I194" s="3" t="s">
        <v>27</v>
      </c>
      <c r="J194" s="3">
        <v>0.0</v>
      </c>
      <c r="K194" s="3">
        <v>0.00816082802548</v>
      </c>
      <c r="L194" s="3">
        <v>1884.17433429</v>
      </c>
      <c r="M194" s="3">
        <v>40.0</v>
      </c>
      <c r="N194" s="3">
        <v>7.0</v>
      </c>
      <c r="O194" s="3">
        <v>628.0</v>
      </c>
      <c r="P194" s="3">
        <v>11.1464968153</v>
      </c>
      <c r="Q194" s="3">
        <v>2285.03184713</v>
      </c>
      <c r="R194" s="3">
        <v>205.0</v>
      </c>
      <c r="S194" s="3">
        <v>0.0</v>
      </c>
      <c r="T194" s="3" t="s">
        <v>27</v>
      </c>
      <c r="U194" s="3" t="s">
        <v>388</v>
      </c>
    </row>
    <row r="195">
      <c r="A195" s="3" t="s">
        <v>32</v>
      </c>
      <c r="B195" s="3" t="s">
        <v>114</v>
      </c>
      <c r="C195" s="3" t="s">
        <v>23</v>
      </c>
      <c r="D195" s="3" t="s">
        <v>24</v>
      </c>
      <c r="E195" s="3" t="s">
        <v>51</v>
      </c>
      <c r="F195" s="3">
        <v>100.0</v>
      </c>
      <c r="G195" s="3" t="s">
        <v>368</v>
      </c>
      <c r="H195" s="3">
        <v>1932.0</v>
      </c>
      <c r="I195" s="3" t="s">
        <v>27</v>
      </c>
      <c r="J195" s="3">
        <v>0.0</v>
      </c>
      <c r="K195" s="3">
        <v>0.0085969738652</v>
      </c>
      <c r="L195" s="3">
        <v>3242.48050022</v>
      </c>
      <c r="M195" s="3">
        <v>40.0</v>
      </c>
      <c r="N195" s="3">
        <v>8.0</v>
      </c>
      <c r="O195" s="3">
        <v>727.0</v>
      </c>
      <c r="P195" s="3">
        <v>11.0041265475</v>
      </c>
      <c r="Q195" s="3">
        <v>2657.49656121</v>
      </c>
      <c r="R195" s="3">
        <v>241.5</v>
      </c>
      <c r="S195" s="3">
        <v>0.0</v>
      </c>
      <c r="T195" s="3" t="s">
        <v>27</v>
      </c>
      <c r="U195" s="3" t="s">
        <v>389</v>
      </c>
    </row>
    <row r="196">
      <c r="A196" s="3" t="s">
        <v>32</v>
      </c>
      <c r="B196" s="3" t="s">
        <v>114</v>
      </c>
      <c r="C196" s="3" t="s">
        <v>23</v>
      </c>
      <c r="D196" s="3" t="s">
        <v>54</v>
      </c>
      <c r="E196" s="3" t="s">
        <v>25</v>
      </c>
      <c r="F196" s="3">
        <v>0.0</v>
      </c>
      <c r="G196" s="3" t="s">
        <v>362</v>
      </c>
      <c r="H196" s="3">
        <v>1493.0</v>
      </c>
      <c r="I196" s="3" t="s">
        <v>27</v>
      </c>
      <c r="J196" s="3">
        <v>0.0</v>
      </c>
      <c r="K196" s="3">
        <v>0.142668078348</v>
      </c>
      <c r="L196" s="3">
        <v>2496.37496638</v>
      </c>
      <c r="M196" s="3">
        <v>37.0</v>
      </c>
      <c r="N196" s="3">
        <v>20.0</v>
      </c>
      <c r="O196" s="3">
        <v>1889.0</v>
      </c>
      <c r="P196" s="3">
        <v>10.5876124934</v>
      </c>
      <c r="Q196" s="3">
        <v>790.365272631</v>
      </c>
      <c r="R196" s="3">
        <v>74.65</v>
      </c>
      <c r="S196" s="3">
        <v>0.0</v>
      </c>
      <c r="T196" s="3" t="s">
        <v>27</v>
      </c>
      <c r="U196" s="3" t="s">
        <v>390</v>
      </c>
    </row>
    <row r="197">
      <c r="A197" s="3" t="s">
        <v>32</v>
      </c>
      <c r="B197" s="3" t="s">
        <v>114</v>
      </c>
      <c r="C197" s="3" t="s">
        <v>23</v>
      </c>
      <c r="D197" s="3" t="s">
        <v>54</v>
      </c>
      <c r="E197" s="3" t="s">
        <v>25</v>
      </c>
      <c r="F197" s="3">
        <v>100.0</v>
      </c>
      <c r="G197" s="3" t="s">
        <v>364</v>
      </c>
      <c r="H197" s="3">
        <v>1493.0</v>
      </c>
      <c r="I197" s="3" t="s">
        <v>27</v>
      </c>
      <c r="J197" s="3">
        <v>0.0</v>
      </c>
      <c r="K197" s="3">
        <v>0.253929866989</v>
      </c>
      <c r="L197" s="3">
        <v>2419.81944609</v>
      </c>
      <c r="M197" s="3">
        <v>43.0</v>
      </c>
      <c r="N197" s="3">
        <v>10.0</v>
      </c>
      <c r="O197" s="3">
        <v>1654.0</v>
      </c>
      <c r="P197" s="3">
        <v>6.04594921403</v>
      </c>
      <c r="Q197" s="3">
        <v>902.660217654</v>
      </c>
      <c r="R197" s="3">
        <v>149.3</v>
      </c>
      <c r="S197" s="3">
        <v>0.0</v>
      </c>
      <c r="T197" s="3" t="s">
        <v>27</v>
      </c>
      <c r="U197" s="3" t="s">
        <v>391</v>
      </c>
    </row>
    <row r="198">
      <c r="A198" s="3" t="s">
        <v>32</v>
      </c>
      <c r="B198" s="3" t="s">
        <v>114</v>
      </c>
      <c r="C198" s="3" t="s">
        <v>23</v>
      </c>
      <c r="D198" s="3" t="s">
        <v>54</v>
      </c>
      <c r="E198" s="3" t="s">
        <v>25</v>
      </c>
      <c r="F198" s="3">
        <v>100.0</v>
      </c>
      <c r="G198" s="3" t="s">
        <v>366</v>
      </c>
      <c r="H198" s="3">
        <v>923.0</v>
      </c>
      <c r="I198" s="3" t="s">
        <v>27</v>
      </c>
      <c r="J198" s="3">
        <v>0.0</v>
      </c>
      <c r="K198" s="3">
        <v>0.419889502762</v>
      </c>
      <c r="L198" s="3">
        <v>1535.47334433</v>
      </c>
      <c r="M198" s="3">
        <v>43.0</v>
      </c>
      <c r="N198" s="3">
        <v>1.0</v>
      </c>
      <c r="O198" s="3">
        <v>543.0</v>
      </c>
      <c r="P198" s="3">
        <v>1.84162062615</v>
      </c>
      <c r="Q198" s="3">
        <v>1699.81583794</v>
      </c>
      <c r="R198" s="3">
        <v>923.0</v>
      </c>
      <c r="S198" s="3">
        <v>0.0</v>
      </c>
      <c r="T198" s="3" t="s">
        <v>27</v>
      </c>
      <c r="U198" s="3" t="s">
        <v>392</v>
      </c>
    </row>
    <row r="199">
      <c r="A199" s="3" t="s">
        <v>32</v>
      </c>
      <c r="B199" s="3" t="s">
        <v>114</v>
      </c>
      <c r="C199" s="3" t="s">
        <v>23</v>
      </c>
      <c r="D199" s="3" t="s">
        <v>54</v>
      </c>
      <c r="E199" s="3" t="s">
        <v>25</v>
      </c>
      <c r="F199" s="3">
        <v>100.0</v>
      </c>
      <c r="G199" s="3" t="s">
        <v>368</v>
      </c>
      <c r="H199" s="3">
        <v>923.0</v>
      </c>
      <c r="I199" s="3" t="s">
        <v>27</v>
      </c>
      <c r="J199" s="3">
        <v>0.0</v>
      </c>
      <c r="K199" s="3">
        <v>0.419889502762</v>
      </c>
      <c r="L199" s="3">
        <v>1539.32954526</v>
      </c>
      <c r="M199" s="3">
        <v>43.0</v>
      </c>
      <c r="N199" s="3">
        <v>1.0</v>
      </c>
      <c r="O199" s="3">
        <v>543.0</v>
      </c>
      <c r="P199" s="3">
        <v>1.84162062615</v>
      </c>
      <c r="Q199" s="3">
        <v>1699.81583794</v>
      </c>
      <c r="R199" s="3">
        <v>923.0</v>
      </c>
      <c r="S199" s="3">
        <v>0.0</v>
      </c>
      <c r="T199" s="3" t="s">
        <v>27</v>
      </c>
      <c r="U199" s="3" t="s">
        <v>393</v>
      </c>
    </row>
    <row r="200">
      <c r="A200" s="3" t="s">
        <v>32</v>
      </c>
      <c r="B200" s="3" t="s">
        <v>114</v>
      </c>
      <c r="C200" s="3" t="s">
        <v>23</v>
      </c>
      <c r="D200" s="3" t="s">
        <v>54</v>
      </c>
      <c r="E200" s="3" t="s">
        <v>34</v>
      </c>
      <c r="F200" s="3">
        <v>0.0</v>
      </c>
      <c r="G200" s="3" t="s">
        <v>362</v>
      </c>
      <c r="H200" s="3">
        <v>2779.0</v>
      </c>
      <c r="I200" s="3" t="s">
        <v>27</v>
      </c>
      <c r="J200" s="3">
        <v>0.0</v>
      </c>
      <c r="K200" s="3">
        <v>0.0677822853279</v>
      </c>
      <c r="L200" s="3">
        <v>7124.69441605</v>
      </c>
      <c r="M200" s="3">
        <v>31.0</v>
      </c>
      <c r="N200" s="3">
        <v>8.0</v>
      </c>
      <c r="O200" s="3">
        <v>986.0</v>
      </c>
      <c r="P200" s="3">
        <v>8.11359026369</v>
      </c>
      <c r="Q200" s="3">
        <v>2818.45841785</v>
      </c>
      <c r="R200" s="3">
        <v>347.375</v>
      </c>
      <c r="S200" s="3">
        <v>0.0</v>
      </c>
      <c r="T200" s="3" t="s">
        <v>27</v>
      </c>
      <c r="U200" s="3" t="s">
        <v>394</v>
      </c>
    </row>
    <row r="201">
      <c r="A201" s="3" t="s">
        <v>32</v>
      </c>
      <c r="B201" s="3" t="s">
        <v>114</v>
      </c>
      <c r="C201" s="3" t="s">
        <v>23</v>
      </c>
      <c r="D201" s="3" t="s">
        <v>54</v>
      </c>
      <c r="E201" s="3" t="s">
        <v>34</v>
      </c>
      <c r="F201" s="3">
        <v>100.0</v>
      </c>
      <c r="G201" s="3" t="s">
        <v>364</v>
      </c>
      <c r="H201" s="3">
        <v>4013.0</v>
      </c>
      <c r="I201" s="3" t="s">
        <v>27</v>
      </c>
      <c r="J201" s="3">
        <v>0.0</v>
      </c>
      <c r="K201" s="3">
        <v>0.162116716123</v>
      </c>
      <c r="L201" s="3">
        <v>8229.75373197</v>
      </c>
      <c r="M201" s="3">
        <v>43.0</v>
      </c>
      <c r="N201" s="3">
        <v>20.0</v>
      </c>
      <c r="O201" s="3">
        <v>1685.0</v>
      </c>
      <c r="P201" s="3">
        <v>11.8694362018</v>
      </c>
      <c r="Q201" s="3">
        <v>2381.60237389</v>
      </c>
      <c r="R201" s="3">
        <v>200.65</v>
      </c>
      <c r="S201" s="3">
        <v>0.0</v>
      </c>
      <c r="T201" s="3" t="s">
        <v>27</v>
      </c>
      <c r="U201" s="3" t="s">
        <v>395</v>
      </c>
    </row>
    <row r="202">
      <c r="A202" s="3" t="s">
        <v>32</v>
      </c>
      <c r="B202" s="3" t="s">
        <v>114</v>
      </c>
      <c r="C202" s="3" t="s">
        <v>23</v>
      </c>
      <c r="D202" s="3" t="s">
        <v>54</v>
      </c>
      <c r="E202" s="3" t="s">
        <v>34</v>
      </c>
      <c r="F202" s="3">
        <v>100.0</v>
      </c>
      <c r="G202" s="3" t="s">
        <v>366</v>
      </c>
      <c r="H202" s="3">
        <v>5370.0</v>
      </c>
      <c r="I202" s="3" t="s">
        <v>27</v>
      </c>
      <c r="J202" s="3">
        <v>0.0</v>
      </c>
      <c r="K202" s="3">
        <v>0.191176470588</v>
      </c>
      <c r="L202" s="3">
        <v>10677.0254676</v>
      </c>
      <c r="M202" s="3">
        <v>43.0</v>
      </c>
      <c r="N202" s="3">
        <v>20.0</v>
      </c>
      <c r="O202" s="3">
        <v>2176.0</v>
      </c>
      <c r="P202" s="3">
        <v>9.19117647059</v>
      </c>
      <c r="Q202" s="3">
        <v>2467.83088235</v>
      </c>
      <c r="R202" s="3">
        <v>268.5</v>
      </c>
      <c r="S202" s="3">
        <v>0.0</v>
      </c>
      <c r="T202" s="3" t="s">
        <v>27</v>
      </c>
      <c r="U202" s="3" t="s">
        <v>396</v>
      </c>
    </row>
    <row r="203">
      <c r="A203" s="3" t="s">
        <v>32</v>
      </c>
      <c r="B203" s="3" t="s">
        <v>114</v>
      </c>
      <c r="C203" s="3" t="s">
        <v>23</v>
      </c>
      <c r="D203" s="3" t="s">
        <v>54</v>
      </c>
      <c r="E203" s="3" t="s">
        <v>34</v>
      </c>
      <c r="F203" s="3">
        <v>100.0</v>
      </c>
      <c r="G203" s="3" t="s">
        <v>368</v>
      </c>
      <c r="H203" s="3">
        <v>5047.0</v>
      </c>
      <c r="I203" s="3" t="s">
        <v>27</v>
      </c>
      <c r="J203" s="3">
        <v>0.0</v>
      </c>
      <c r="K203" s="3">
        <v>0.1805342862</v>
      </c>
      <c r="L203" s="3">
        <v>10406.5841117</v>
      </c>
      <c r="M203" s="3">
        <v>43.0</v>
      </c>
      <c r="N203" s="3">
        <v>20.0</v>
      </c>
      <c r="O203" s="3">
        <v>1959.0</v>
      </c>
      <c r="P203" s="3">
        <v>10.2092904543</v>
      </c>
      <c r="Q203" s="3">
        <v>2576.31444615</v>
      </c>
      <c r="R203" s="3">
        <v>252.35</v>
      </c>
      <c r="S203" s="3">
        <v>0.0</v>
      </c>
      <c r="T203" s="3" t="s">
        <v>27</v>
      </c>
      <c r="U203" s="3" t="s">
        <v>397</v>
      </c>
    </row>
    <row r="204">
      <c r="A204" s="3" t="s">
        <v>32</v>
      </c>
      <c r="B204" s="3" t="s">
        <v>114</v>
      </c>
      <c r="C204" s="3" t="s">
        <v>23</v>
      </c>
      <c r="D204" s="3" t="s">
        <v>54</v>
      </c>
      <c r="E204" s="3" t="s">
        <v>39</v>
      </c>
      <c r="F204" s="3">
        <v>0.0</v>
      </c>
      <c r="G204" s="3" t="s">
        <v>362</v>
      </c>
      <c r="H204" s="3">
        <v>2169.0</v>
      </c>
      <c r="I204" s="3" t="s">
        <v>27</v>
      </c>
      <c r="J204" s="3">
        <v>0.0</v>
      </c>
      <c r="K204" s="3">
        <v>0.201898734177</v>
      </c>
      <c r="L204" s="3">
        <v>4087.82183099</v>
      </c>
      <c r="M204" s="3">
        <v>70.0</v>
      </c>
      <c r="N204" s="3">
        <v>9.0</v>
      </c>
      <c r="O204" s="3">
        <v>1185.0</v>
      </c>
      <c r="P204" s="3">
        <v>7.59493670886</v>
      </c>
      <c r="Q204" s="3">
        <v>1830.37974684</v>
      </c>
      <c r="R204" s="3">
        <v>241.0</v>
      </c>
      <c r="S204" s="3">
        <v>0.0</v>
      </c>
      <c r="T204" s="3" t="s">
        <v>27</v>
      </c>
      <c r="U204" s="3" t="s">
        <v>398</v>
      </c>
    </row>
    <row r="205">
      <c r="A205" s="3" t="s">
        <v>32</v>
      </c>
      <c r="B205" s="3" t="s">
        <v>114</v>
      </c>
      <c r="C205" s="3" t="s">
        <v>23</v>
      </c>
      <c r="D205" s="3" t="s">
        <v>54</v>
      </c>
      <c r="E205" s="3" t="s">
        <v>39</v>
      </c>
      <c r="F205" s="3">
        <v>100.0</v>
      </c>
      <c r="G205" s="3" t="s">
        <v>364</v>
      </c>
      <c r="H205" s="3">
        <v>1191.0</v>
      </c>
      <c r="I205" s="3" t="s">
        <v>27</v>
      </c>
      <c r="J205" s="3">
        <v>0.0</v>
      </c>
      <c r="K205" s="3">
        <v>0.171493902439</v>
      </c>
      <c r="L205" s="3">
        <v>2241.04374623</v>
      </c>
      <c r="M205" s="3">
        <v>46.0</v>
      </c>
      <c r="N205" s="3">
        <v>3.0</v>
      </c>
      <c r="O205" s="3">
        <v>656.0</v>
      </c>
      <c r="P205" s="3">
        <v>4.57317073171</v>
      </c>
      <c r="Q205" s="3">
        <v>1815.54878049</v>
      </c>
      <c r="R205" s="3">
        <v>397.0</v>
      </c>
      <c r="S205" s="3">
        <v>0.0</v>
      </c>
      <c r="T205" s="3" t="s">
        <v>27</v>
      </c>
      <c r="U205" s="3" t="s">
        <v>399</v>
      </c>
    </row>
    <row r="206">
      <c r="A206" s="3" t="s">
        <v>32</v>
      </c>
      <c r="B206" s="3" t="s">
        <v>114</v>
      </c>
      <c r="C206" s="3" t="s">
        <v>23</v>
      </c>
      <c r="D206" s="3" t="s">
        <v>54</v>
      </c>
      <c r="E206" s="3" t="s">
        <v>39</v>
      </c>
      <c r="F206" s="3">
        <v>100.0</v>
      </c>
      <c r="G206" s="3" t="s">
        <v>366</v>
      </c>
      <c r="H206" s="3">
        <v>3616.0</v>
      </c>
      <c r="I206" s="3" t="s">
        <v>27</v>
      </c>
      <c r="J206" s="3">
        <v>0.0</v>
      </c>
      <c r="K206" s="3">
        <v>0.21511627907</v>
      </c>
      <c r="L206" s="3">
        <v>6838.89429808</v>
      </c>
      <c r="M206" s="3">
        <v>198.0</v>
      </c>
      <c r="N206" s="3">
        <v>14.0</v>
      </c>
      <c r="O206" s="3">
        <v>2494.0</v>
      </c>
      <c r="P206" s="3">
        <v>5.6134723336</v>
      </c>
      <c r="Q206" s="3">
        <v>1449.87971131</v>
      </c>
      <c r="R206" s="3">
        <v>258.285714286</v>
      </c>
      <c r="S206" s="3">
        <v>0.0</v>
      </c>
      <c r="T206" s="3" t="s">
        <v>27</v>
      </c>
      <c r="U206" s="3" t="s">
        <v>400</v>
      </c>
    </row>
    <row r="207">
      <c r="A207" s="3" t="s">
        <v>32</v>
      </c>
      <c r="B207" s="3" t="s">
        <v>114</v>
      </c>
      <c r="C207" s="3" t="s">
        <v>23</v>
      </c>
      <c r="D207" s="3" t="s">
        <v>54</v>
      </c>
      <c r="E207" s="3" t="s">
        <v>39</v>
      </c>
      <c r="F207" s="3">
        <v>100.0</v>
      </c>
      <c r="G207" s="3" t="s">
        <v>368</v>
      </c>
      <c r="H207" s="3">
        <v>1646.0</v>
      </c>
      <c r="I207" s="3" t="s">
        <v>27</v>
      </c>
      <c r="J207" s="3">
        <v>0.0</v>
      </c>
      <c r="K207" s="3">
        <v>0.153624856157</v>
      </c>
      <c r="L207" s="3">
        <v>3171.298033</v>
      </c>
      <c r="M207" s="3">
        <v>50.0</v>
      </c>
      <c r="N207" s="3">
        <v>4.0</v>
      </c>
      <c r="O207" s="3">
        <v>869.0</v>
      </c>
      <c r="P207" s="3">
        <v>4.60299194476</v>
      </c>
      <c r="Q207" s="3">
        <v>1894.13118527</v>
      </c>
      <c r="R207" s="3">
        <v>411.5</v>
      </c>
      <c r="S207" s="3">
        <v>0.0</v>
      </c>
      <c r="T207" s="3" t="s">
        <v>27</v>
      </c>
      <c r="U207" s="3" t="s">
        <v>401</v>
      </c>
    </row>
    <row r="208">
      <c r="A208" s="3" t="s">
        <v>32</v>
      </c>
      <c r="B208" s="3" t="s">
        <v>114</v>
      </c>
      <c r="C208" s="3" t="s">
        <v>23</v>
      </c>
      <c r="D208" s="3" t="s">
        <v>54</v>
      </c>
      <c r="E208" s="3" t="s">
        <v>43</v>
      </c>
      <c r="F208" s="3">
        <v>0.0</v>
      </c>
      <c r="G208" s="3" t="s">
        <v>362</v>
      </c>
      <c r="H208" s="3">
        <v>2104.0</v>
      </c>
      <c r="I208" s="3" t="s">
        <v>27</v>
      </c>
      <c r="J208" s="3">
        <v>0.0</v>
      </c>
      <c r="K208" s="3">
        <v>0.124722838137</v>
      </c>
      <c r="L208" s="3">
        <v>4488.57817936</v>
      </c>
      <c r="M208" s="3">
        <v>31.0</v>
      </c>
      <c r="N208" s="3">
        <v>20.0</v>
      </c>
      <c r="O208" s="3">
        <v>902.0</v>
      </c>
      <c r="P208" s="3">
        <v>22.1729490022</v>
      </c>
      <c r="Q208" s="3">
        <v>2332.59423503</v>
      </c>
      <c r="R208" s="3">
        <v>105.2</v>
      </c>
      <c r="S208" s="3">
        <v>0.0</v>
      </c>
      <c r="T208" s="3" t="s">
        <v>27</v>
      </c>
      <c r="U208" s="3" t="s">
        <v>402</v>
      </c>
    </row>
    <row r="209">
      <c r="A209" s="3" t="s">
        <v>32</v>
      </c>
      <c r="B209" s="3" t="s">
        <v>114</v>
      </c>
      <c r="C209" s="3" t="s">
        <v>23</v>
      </c>
      <c r="D209" s="3" t="s">
        <v>54</v>
      </c>
      <c r="E209" s="3" t="s">
        <v>43</v>
      </c>
      <c r="F209" s="3">
        <v>100.0</v>
      </c>
      <c r="G209" s="3" t="s">
        <v>364</v>
      </c>
      <c r="H209" s="3">
        <v>2254.0</v>
      </c>
      <c r="I209" s="3" t="s">
        <v>27</v>
      </c>
      <c r="J209" s="3">
        <v>0.0</v>
      </c>
      <c r="K209" s="3">
        <v>0.131864623244</v>
      </c>
      <c r="L209" s="3">
        <v>4840.85212159</v>
      </c>
      <c r="M209" s="3">
        <v>45.0</v>
      </c>
      <c r="N209" s="3">
        <v>20.0</v>
      </c>
      <c r="O209" s="3">
        <v>1044.0</v>
      </c>
      <c r="P209" s="3">
        <v>19.1570881226</v>
      </c>
      <c r="Q209" s="3">
        <v>2159.00383142</v>
      </c>
      <c r="R209" s="3">
        <v>112.7</v>
      </c>
      <c r="S209" s="3">
        <v>0.0</v>
      </c>
      <c r="T209" s="3" t="s">
        <v>27</v>
      </c>
      <c r="U209" s="3" t="s">
        <v>403</v>
      </c>
    </row>
    <row r="210">
      <c r="A210" s="3" t="s">
        <v>32</v>
      </c>
      <c r="B210" s="3" t="s">
        <v>114</v>
      </c>
      <c r="C210" s="3" t="s">
        <v>23</v>
      </c>
      <c r="D210" s="3" t="s">
        <v>54</v>
      </c>
      <c r="E210" s="3" t="s">
        <v>43</v>
      </c>
      <c r="F210" s="3">
        <v>100.0</v>
      </c>
      <c r="G210" s="3" t="s">
        <v>366</v>
      </c>
      <c r="H210" s="3">
        <v>2733.0</v>
      </c>
      <c r="I210" s="3" t="s">
        <v>27</v>
      </c>
      <c r="J210" s="3">
        <v>0.0</v>
      </c>
      <c r="K210" s="3">
        <v>0.128098022835</v>
      </c>
      <c r="L210" s="3">
        <v>5778.18440199</v>
      </c>
      <c r="M210" s="3">
        <v>45.0</v>
      </c>
      <c r="N210" s="3">
        <v>20.0</v>
      </c>
      <c r="O210" s="3">
        <v>1197.0</v>
      </c>
      <c r="P210" s="3">
        <v>16.7084377611</v>
      </c>
      <c r="Q210" s="3">
        <v>2283.20802005</v>
      </c>
      <c r="R210" s="3">
        <v>136.65</v>
      </c>
      <c r="S210" s="3">
        <v>0.0</v>
      </c>
      <c r="T210" s="3" t="s">
        <v>27</v>
      </c>
      <c r="U210" s="3" t="s">
        <v>404</v>
      </c>
    </row>
    <row r="211">
      <c r="A211" s="3" t="s">
        <v>32</v>
      </c>
      <c r="B211" s="3" t="s">
        <v>114</v>
      </c>
      <c r="C211" s="3" t="s">
        <v>23</v>
      </c>
      <c r="D211" s="3" t="s">
        <v>54</v>
      </c>
      <c r="E211" s="3" t="s">
        <v>43</v>
      </c>
      <c r="F211" s="3">
        <v>100.0</v>
      </c>
      <c r="G211" s="3" t="s">
        <v>368</v>
      </c>
      <c r="H211" s="3">
        <v>1123.0</v>
      </c>
      <c r="I211" s="3" t="s">
        <v>27</v>
      </c>
      <c r="J211" s="3">
        <v>0.0</v>
      </c>
      <c r="K211" s="3">
        <v>0.0369214768591</v>
      </c>
      <c r="L211" s="3">
        <v>2943.9660697</v>
      </c>
      <c r="M211" s="3">
        <v>45.0</v>
      </c>
      <c r="N211" s="3">
        <v>4.0</v>
      </c>
      <c r="O211" s="3">
        <v>641.0</v>
      </c>
      <c r="P211" s="3">
        <v>6.24024960998</v>
      </c>
      <c r="Q211" s="3">
        <v>1751.950078</v>
      </c>
      <c r="R211" s="3">
        <v>280.75</v>
      </c>
      <c r="S211" s="3">
        <v>0.0</v>
      </c>
      <c r="T211" s="3" t="s">
        <v>27</v>
      </c>
      <c r="U211" s="3" t="s">
        <v>409</v>
      </c>
    </row>
    <row r="212">
      <c r="A212" s="3" t="s">
        <v>32</v>
      </c>
      <c r="B212" s="3" t="s">
        <v>114</v>
      </c>
      <c r="C212" s="3" t="s">
        <v>23</v>
      </c>
      <c r="D212" s="3" t="s">
        <v>54</v>
      </c>
      <c r="E212" s="3" t="s">
        <v>47</v>
      </c>
      <c r="F212" s="3">
        <v>0.0</v>
      </c>
      <c r="G212" s="3" t="s">
        <v>362</v>
      </c>
      <c r="H212" s="3">
        <v>3659.0</v>
      </c>
      <c r="I212" s="3" t="s">
        <v>27</v>
      </c>
      <c r="J212" s="3">
        <v>0.0</v>
      </c>
      <c r="K212" s="3">
        <v>0.112903225806</v>
      </c>
      <c r="L212" s="3">
        <v>10518.7017999</v>
      </c>
      <c r="M212" s="3">
        <v>49.0</v>
      </c>
      <c r="N212" s="3">
        <v>20.0</v>
      </c>
      <c r="O212" s="3">
        <v>1333.0</v>
      </c>
      <c r="P212" s="3">
        <v>15.0037509377</v>
      </c>
      <c r="Q212" s="3">
        <v>2744.93623406</v>
      </c>
      <c r="R212" s="3">
        <v>182.95</v>
      </c>
      <c r="S212" s="3">
        <v>0.0</v>
      </c>
      <c r="T212" s="3" t="s">
        <v>27</v>
      </c>
      <c r="U212" s="3" t="s">
        <v>414</v>
      </c>
    </row>
    <row r="213">
      <c r="A213" s="3" t="s">
        <v>32</v>
      </c>
      <c r="B213" s="3" t="s">
        <v>114</v>
      </c>
      <c r="C213" s="3" t="s">
        <v>23</v>
      </c>
      <c r="D213" s="3" t="s">
        <v>54</v>
      </c>
      <c r="E213" s="3" t="s">
        <v>47</v>
      </c>
      <c r="F213" s="3">
        <v>100.0</v>
      </c>
      <c r="G213" s="3" t="s">
        <v>364</v>
      </c>
      <c r="H213" s="3">
        <v>3509.0</v>
      </c>
      <c r="I213" s="3" t="s">
        <v>27</v>
      </c>
      <c r="J213" s="3">
        <v>0.0</v>
      </c>
      <c r="K213" s="3">
        <v>0.0729082864039</v>
      </c>
      <c r="L213" s="3">
        <v>11614.5277896</v>
      </c>
      <c r="M213" s="3">
        <v>28.0</v>
      </c>
      <c r="N213" s="3">
        <v>17.0</v>
      </c>
      <c r="O213" s="3">
        <v>1243.0</v>
      </c>
      <c r="P213" s="3">
        <v>13.6765888978</v>
      </c>
      <c r="Q213" s="3">
        <v>2823.00884956</v>
      </c>
      <c r="R213" s="3">
        <v>206.411764706</v>
      </c>
      <c r="S213" s="3">
        <v>0.0</v>
      </c>
      <c r="T213" s="3" t="s">
        <v>27</v>
      </c>
      <c r="U213" s="3" t="s">
        <v>415</v>
      </c>
    </row>
    <row r="214">
      <c r="A214" s="3" t="s">
        <v>32</v>
      </c>
      <c r="B214" s="3" t="s">
        <v>114</v>
      </c>
      <c r="C214" s="3" t="s">
        <v>23</v>
      </c>
      <c r="D214" s="3" t="s">
        <v>54</v>
      </c>
      <c r="E214" s="3" t="s">
        <v>47</v>
      </c>
      <c r="F214" s="3">
        <v>100.0</v>
      </c>
      <c r="G214" s="3" t="s">
        <v>366</v>
      </c>
      <c r="H214" s="3">
        <v>1926.0</v>
      </c>
      <c r="I214" s="3" t="s">
        <v>27</v>
      </c>
      <c r="J214" s="3">
        <v>0.0</v>
      </c>
      <c r="K214" s="3">
        <v>0.0337457817773</v>
      </c>
      <c r="L214" s="3">
        <v>7002.11058044</v>
      </c>
      <c r="M214" s="3">
        <v>28.0</v>
      </c>
      <c r="N214" s="3">
        <v>8.0</v>
      </c>
      <c r="O214" s="3">
        <v>889.0</v>
      </c>
      <c r="P214" s="3">
        <v>8.99887514061</v>
      </c>
      <c r="Q214" s="3">
        <v>2166.4791901</v>
      </c>
      <c r="R214" s="3">
        <v>240.75</v>
      </c>
      <c r="S214" s="3">
        <v>0.0</v>
      </c>
      <c r="T214" s="3" t="s">
        <v>27</v>
      </c>
      <c r="U214" s="3" t="s">
        <v>416</v>
      </c>
    </row>
    <row r="215">
      <c r="A215" s="3" t="s">
        <v>32</v>
      </c>
      <c r="B215" s="3" t="s">
        <v>114</v>
      </c>
      <c r="C215" s="3" t="s">
        <v>23</v>
      </c>
      <c r="D215" s="3" t="s">
        <v>54</v>
      </c>
      <c r="E215" s="3" t="s">
        <v>47</v>
      </c>
      <c r="F215" s="3">
        <v>100.0</v>
      </c>
      <c r="G215" s="3" t="s">
        <v>368</v>
      </c>
      <c r="H215" s="3">
        <v>3025.0</v>
      </c>
      <c r="I215" s="3" t="s">
        <v>27</v>
      </c>
      <c r="J215" s="3">
        <v>0.0</v>
      </c>
      <c r="K215" s="3">
        <v>0.139944275583</v>
      </c>
      <c r="L215" s="3">
        <v>8395.95011544</v>
      </c>
      <c r="M215" s="3">
        <v>32.0</v>
      </c>
      <c r="N215" s="3">
        <v>20.0</v>
      </c>
      <c r="O215" s="3">
        <v>987.0</v>
      </c>
      <c r="P215" s="3">
        <v>20.2634245187</v>
      </c>
      <c r="Q215" s="3">
        <v>3064.84295846</v>
      </c>
      <c r="R215" s="3">
        <v>151.25</v>
      </c>
      <c r="S215" s="3">
        <v>0.0</v>
      </c>
      <c r="T215" s="3" t="s">
        <v>27</v>
      </c>
      <c r="U215" s="3" t="s">
        <v>417</v>
      </c>
    </row>
    <row r="216">
      <c r="A216" s="3" t="s">
        <v>32</v>
      </c>
      <c r="B216" s="3" t="s">
        <v>114</v>
      </c>
      <c r="C216" s="3" t="s">
        <v>23</v>
      </c>
      <c r="D216" s="3" t="s">
        <v>54</v>
      </c>
      <c r="E216" s="3" t="s">
        <v>51</v>
      </c>
      <c r="F216" s="3">
        <v>0.0</v>
      </c>
      <c r="G216" s="3" t="s">
        <v>362</v>
      </c>
      <c r="H216" s="3">
        <v>1991.0</v>
      </c>
      <c r="I216" s="3" t="s">
        <v>27</v>
      </c>
      <c r="J216" s="3">
        <v>0.0</v>
      </c>
      <c r="K216" s="3">
        <v>0.0309418145957</v>
      </c>
      <c r="L216" s="3">
        <v>7025.09745741</v>
      </c>
      <c r="M216" s="3">
        <v>40.0</v>
      </c>
      <c r="N216" s="3">
        <v>12.0</v>
      </c>
      <c r="O216" s="3">
        <v>1014.0</v>
      </c>
      <c r="P216" s="3">
        <v>11.8343195266</v>
      </c>
      <c r="Q216" s="3">
        <v>1963.51084813</v>
      </c>
      <c r="R216" s="3">
        <v>165.916666667</v>
      </c>
      <c r="S216" s="3">
        <v>0.0</v>
      </c>
      <c r="T216" s="3" t="s">
        <v>27</v>
      </c>
      <c r="U216" s="3" t="s">
        <v>418</v>
      </c>
    </row>
    <row r="217">
      <c r="A217" s="3" t="s">
        <v>32</v>
      </c>
      <c r="B217" s="3" t="s">
        <v>114</v>
      </c>
      <c r="C217" s="3" t="s">
        <v>23</v>
      </c>
      <c r="D217" s="3" t="s">
        <v>54</v>
      </c>
      <c r="E217" s="3" t="s">
        <v>51</v>
      </c>
      <c r="F217" s="3">
        <v>100.0</v>
      </c>
      <c r="G217" s="3" t="s">
        <v>364</v>
      </c>
      <c r="H217" s="3">
        <v>2626.0</v>
      </c>
      <c r="I217" s="3" t="s">
        <v>27</v>
      </c>
      <c r="J217" s="3">
        <v>0.0</v>
      </c>
      <c r="K217" s="3">
        <v>0.1762485482</v>
      </c>
      <c r="L217" s="3">
        <v>6657.60533929</v>
      </c>
      <c r="M217" s="3">
        <v>40.0</v>
      </c>
      <c r="N217" s="3">
        <v>20.0</v>
      </c>
      <c r="O217" s="3">
        <v>861.0</v>
      </c>
      <c r="P217" s="3">
        <v>23.2288037166</v>
      </c>
      <c r="Q217" s="3">
        <v>3049.94192799</v>
      </c>
      <c r="R217" s="3">
        <v>131.3</v>
      </c>
      <c r="S217" s="3">
        <v>0.0</v>
      </c>
      <c r="T217" s="3" t="s">
        <v>27</v>
      </c>
      <c r="U217" s="3" t="s">
        <v>419</v>
      </c>
    </row>
    <row r="218">
      <c r="A218" s="3" t="s">
        <v>32</v>
      </c>
      <c r="B218" s="3" t="s">
        <v>114</v>
      </c>
      <c r="C218" s="3" t="s">
        <v>23</v>
      </c>
      <c r="D218" s="3" t="s">
        <v>54</v>
      </c>
      <c r="E218" s="3" t="s">
        <v>51</v>
      </c>
      <c r="F218" s="3">
        <v>100.0</v>
      </c>
      <c r="G218" s="3" t="s">
        <v>366</v>
      </c>
      <c r="H218" s="3">
        <v>2948.0</v>
      </c>
      <c r="I218" s="3" t="s">
        <v>27</v>
      </c>
      <c r="J218" s="3">
        <v>0.0</v>
      </c>
      <c r="K218" s="3">
        <v>0.130349686848</v>
      </c>
      <c r="L218" s="3">
        <v>7851.51379848</v>
      </c>
      <c r="M218" s="3">
        <v>60.0</v>
      </c>
      <c r="N218" s="3">
        <v>20.0</v>
      </c>
      <c r="O218" s="3">
        <v>958.0</v>
      </c>
      <c r="P218" s="3">
        <v>20.8768267223</v>
      </c>
      <c r="Q218" s="3">
        <v>3077.24425887</v>
      </c>
      <c r="R218" s="3">
        <v>147.4</v>
      </c>
      <c r="S218" s="3">
        <v>0.0</v>
      </c>
      <c r="T218" s="3" t="s">
        <v>27</v>
      </c>
      <c r="U218" s="3" t="s">
        <v>420</v>
      </c>
    </row>
    <row r="219">
      <c r="A219" s="3" t="s">
        <v>32</v>
      </c>
      <c r="B219" s="3" t="s">
        <v>114</v>
      </c>
      <c r="C219" s="3" t="s">
        <v>23</v>
      </c>
      <c r="D219" s="3" t="s">
        <v>54</v>
      </c>
      <c r="E219" s="3" t="s">
        <v>51</v>
      </c>
      <c r="F219" s="3">
        <v>100.0</v>
      </c>
      <c r="G219" s="3" t="s">
        <v>368</v>
      </c>
      <c r="H219" s="3">
        <v>2510.0</v>
      </c>
      <c r="I219" s="3" t="s">
        <v>27</v>
      </c>
      <c r="J219" s="3">
        <v>0.0</v>
      </c>
      <c r="K219" s="3">
        <v>0.143822393822</v>
      </c>
      <c r="L219" s="3">
        <v>6606.32056475</v>
      </c>
      <c r="M219" s="3">
        <v>40.0</v>
      </c>
      <c r="N219" s="3">
        <v>20.0</v>
      </c>
      <c r="O219" s="3">
        <v>777.0</v>
      </c>
      <c r="P219" s="3">
        <v>25.74002574</v>
      </c>
      <c r="Q219" s="3">
        <v>3230.37323037</v>
      </c>
      <c r="R219" s="3">
        <v>125.5</v>
      </c>
      <c r="S219" s="3">
        <v>0.0</v>
      </c>
      <c r="T219" s="3" t="s">
        <v>27</v>
      </c>
      <c r="U219" s="3" t="s">
        <v>421</v>
      </c>
    </row>
    <row r="220">
      <c r="A220" s="3" t="s">
        <v>32</v>
      </c>
      <c r="B220" s="3" t="s">
        <v>114</v>
      </c>
      <c r="C220" s="3" t="s">
        <v>23</v>
      </c>
      <c r="D220" s="3" t="s">
        <v>72</v>
      </c>
      <c r="E220" s="3" t="s">
        <v>25</v>
      </c>
      <c r="F220" s="3">
        <v>0.0</v>
      </c>
      <c r="G220" s="3" t="s">
        <v>362</v>
      </c>
      <c r="H220" s="3">
        <v>942.0</v>
      </c>
      <c r="I220" s="3" t="s">
        <v>27</v>
      </c>
      <c r="J220" s="3">
        <v>0.0</v>
      </c>
      <c r="K220" s="3">
        <v>0.265575501584</v>
      </c>
      <c r="L220" s="3">
        <v>918.007369041</v>
      </c>
      <c r="M220" s="3">
        <v>34.0</v>
      </c>
      <c r="N220" s="3">
        <v>7.0</v>
      </c>
      <c r="O220" s="3">
        <v>947.0</v>
      </c>
      <c r="P220" s="3">
        <v>7.39176346357</v>
      </c>
      <c r="Q220" s="3">
        <v>994.720168955</v>
      </c>
      <c r="R220" s="3">
        <v>134.571428571</v>
      </c>
      <c r="S220" s="3">
        <v>0.0</v>
      </c>
      <c r="T220" s="3" t="s">
        <v>27</v>
      </c>
      <c r="U220" s="3" t="s">
        <v>422</v>
      </c>
    </row>
    <row r="221">
      <c r="A221" s="3" t="s">
        <v>32</v>
      </c>
      <c r="B221" s="3" t="s">
        <v>114</v>
      </c>
      <c r="C221" s="3" t="s">
        <v>23</v>
      </c>
      <c r="D221" s="3" t="s">
        <v>72</v>
      </c>
      <c r="E221" s="3" t="s">
        <v>25</v>
      </c>
      <c r="F221" s="3">
        <v>100.0</v>
      </c>
      <c r="G221" s="3" t="s">
        <v>364</v>
      </c>
      <c r="H221" s="3">
        <v>1328.0</v>
      </c>
      <c r="I221" s="3" t="s">
        <v>27</v>
      </c>
      <c r="J221" s="3">
        <v>0.0</v>
      </c>
      <c r="K221" s="3">
        <v>0.244195688226</v>
      </c>
      <c r="L221" s="3">
        <v>1331.35572004</v>
      </c>
      <c r="M221" s="3">
        <v>170.0</v>
      </c>
      <c r="N221" s="3">
        <v>9.0</v>
      </c>
      <c r="O221" s="3">
        <v>1206.0</v>
      </c>
      <c r="P221" s="3">
        <v>7.46268656716</v>
      </c>
      <c r="Q221" s="3">
        <v>1101.16086235</v>
      </c>
      <c r="R221" s="3">
        <v>147.555555556</v>
      </c>
      <c r="S221" s="3">
        <v>0.0</v>
      </c>
      <c r="T221" s="3" t="s">
        <v>27</v>
      </c>
      <c r="U221" s="3" t="s">
        <v>423</v>
      </c>
    </row>
    <row r="222">
      <c r="A222" s="3" t="s">
        <v>32</v>
      </c>
      <c r="B222" s="3" t="s">
        <v>114</v>
      </c>
      <c r="C222" s="3" t="s">
        <v>23</v>
      </c>
      <c r="D222" s="3" t="s">
        <v>72</v>
      </c>
      <c r="E222" s="3" t="s">
        <v>25</v>
      </c>
      <c r="F222" s="3">
        <v>100.0</v>
      </c>
      <c r="G222" s="3" t="s">
        <v>366</v>
      </c>
      <c r="H222" s="3">
        <v>1278.0</v>
      </c>
      <c r="I222" s="3" t="s">
        <v>27</v>
      </c>
      <c r="J222" s="3">
        <v>622.0</v>
      </c>
      <c r="K222" s="3">
        <v>0.26186440678</v>
      </c>
      <c r="L222" s="3">
        <v>52645.3217576</v>
      </c>
      <c r="M222" s="3">
        <v>90.0</v>
      </c>
      <c r="N222" s="3">
        <v>6.0</v>
      </c>
      <c r="O222" s="3">
        <v>1180.0</v>
      </c>
      <c r="P222" s="3">
        <v>5.08474576271</v>
      </c>
      <c r="Q222" s="3">
        <v>1083.05084746</v>
      </c>
      <c r="R222" s="3">
        <v>213.0</v>
      </c>
      <c r="S222" s="3">
        <v>0.486697965571</v>
      </c>
      <c r="T222" s="3" t="s">
        <v>27</v>
      </c>
      <c r="U222" s="3" t="s">
        <v>424</v>
      </c>
    </row>
    <row r="223">
      <c r="A223" s="3" t="s">
        <v>32</v>
      </c>
      <c r="B223" s="3" t="s">
        <v>114</v>
      </c>
      <c r="C223" s="3" t="s">
        <v>23</v>
      </c>
      <c r="D223" s="3" t="s">
        <v>72</v>
      </c>
      <c r="E223" s="3" t="s">
        <v>25</v>
      </c>
      <c r="F223" s="3">
        <v>100.0</v>
      </c>
      <c r="G223" s="3" t="s">
        <v>368</v>
      </c>
      <c r="H223" s="3">
        <v>1185.0</v>
      </c>
      <c r="I223" s="3" t="s">
        <v>27</v>
      </c>
      <c r="J223" s="3">
        <v>0.0</v>
      </c>
      <c r="K223" s="3">
        <v>0.259107468124</v>
      </c>
      <c r="L223" s="3">
        <v>1162.66066718</v>
      </c>
      <c r="M223" s="3">
        <v>129.0</v>
      </c>
      <c r="N223" s="3">
        <v>8.0</v>
      </c>
      <c r="O223" s="3">
        <v>1098.0</v>
      </c>
      <c r="P223" s="3">
        <v>7.28597449909</v>
      </c>
      <c r="Q223" s="3">
        <v>1079.23497268</v>
      </c>
      <c r="R223" s="3">
        <v>148.125</v>
      </c>
      <c r="S223" s="3">
        <v>0.0</v>
      </c>
      <c r="T223" s="3" t="s">
        <v>27</v>
      </c>
      <c r="U223" s="3" t="s">
        <v>425</v>
      </c>
    </row>
    <row r="224">
      <c r="A224" s="3" t="s">
        <v>32</v>
      </c>
      <c r="B224" s="3" t="s">
        <v>114</v>
      </c>
      <c r="C224" s="3" t="s">
        <v>23</v>
      </c>
      <c r="D224" s="3" t="s">
        <v>72</v>
      </c>
      <c r="E224" s="3" t="s">
        <v>34</v>
      </c>
      <c r="F224" s="3">
        <v>0.0</v>
      </c>
      <c r="G224" s="3" t="s">
        <v>362</v>
      </c>
      <c r="H224" s="3">
        <v>2249.0</v>
      </c>
      <c r="I224" s="3" t="s">
        <v>27</v>
      </c>
      <c r="J224" s="3">
        <v>0.0</v>
      </c>
      <c r="K224" s="3">
        <v>0.249775985663</v>
      </c>
      <c r="L224" s="3">
        <v>3510.65417266</v>
      </c>
      <c r="M224" s="3">
        <v>24.0</v>
      </c>
      <c r="N224" s="3">
        <v>5.0</v>
      </c>
      <c r="O224" s="3">
        <v>744.0</v>
      </c>
      <c r="P224" s="3">
        <v>6.72043010753</v>
      </c>
      <c r="Q224" s="3">
        <v>3022.84946237</v>
      </c>
      <c r="R224" s="3">
        <v>449.8</v>
      </c>
      <c r="S224" s="3">
        <v>0.0</v>
      </c>
      <c r="T224" s="3" t="s">
        <v>27</v>
      </c>
      <c r="U224" s="3" t="s">
        <v>426</v>
      </c>
    </row>
    <row r="225">
      <c r="A225" s="3" t="s">
        <v>32</v>
      </c>
      <c r="B225" s="3" t="s">
        <v>114</v>
      </c>
      <c r="C225" s="3" t="s">
        <v>23</v>
      </c>
      <c r="D225" s="3" t="s">
        <v>72</v>
      </c>
      <c r="E225" s="3" t="s">
        <v>34</v>
      </c>
      <c r="F225" s="3">
        <v>100.0</v>
      </c>
      <c r="G225" s="3" t="s">
        <v>364</v>
      </c>
      <c r="H225" s="3">
        <v>1879.0</v>
      </c>
      <c r="I225" s="3" t="s">
        <v>27</v>
      </c>
      <c r="J225" s="3">
        <v>1.0</v>
      </c>
      <c r="K225" s="3">
        <v>0.328220858896</v>
      </c>
      <c r="L225" s="3">
        <v>2780.44257712</v>
      </c>
      <c r="M225" s="3">
        <v>43.0</v>
      </c>
      <c r="N225" s="3">
        <v>2.0</v>
      </c>
      <c r="O225" s="3">
        <v>652.0</v>
      </c>
      <c r="P225" s="3">
        <v>3.06748466258</v>
      </c>
      <c r="Q225" s="3">
        <v>2881.90184049</v>
      </c>
      <c r="R225" s="3">
        <v>939.5</v>
      </c>
      <c r="S225" s="3">
        <v>5.32197977648E-4</v>
      </c>
      <c r="T225" s="3" t="s">
        <v>27</v>
      </c>
      <c r="U225" s="3" t="s">
        <v>427</v>
      </c>
    </row>
    <row r="226">
      <c r="A226" s="3" t="s">
        <v>32</v>
      </c>
      <c r="B226" s="3" t="s">
        <v>114</v>
      </c>
      <c r="C226" s="3" t="s">
        <v>23</v>
      </c>
      <c r="D226" s="3" t="s">
        <v>72</v>
      </c>
      <c r="E226" s="3" t="s">
        <v>34</v>
      </c>
      <c r="F226" s="3">
        <v>100.0</v>
      </c>
      <c r="G226" s="3" t="s">
        <v>368</v>
      </c>
      <c r="H226" s="3">
        <v>3568.0</v>
      </c>
      <c r="I226" s="3" t="s">
        <v>27</v>
      </c>
      <c r="J226" s="3">
        <v>1.0</v>
      </c>
      <c r="K226" s="3">
        <v>0.228533094812</v>
      </c>
      <c r="L226" s="3">
        <v>5612.41795492</v>
      </c>
      <c r="M226" s="3">
        <v>43.0</v>
      </c>
      <c r="N226" s="3">
        <v>7.0</v>
      </c>
      <c r="O226" s="3">
        <v>1118.0</v>
      </c>
      <c r="P226" s="3">
        <v>6.26118067979</v>
      </c>
      <c r="Q226" s="3">
        <v>3191.41323792</v>
      </c>
      <c r="R226" s="3">
        <v>509.714285714</v>
      </c>
      <c r="S226" s="3">
        <v>2.80269058296E-4</v>
      </c>
      <c r="T226" s="3" t="s">
        <v>27</v>
      </c>
      <c r="U226" s="3" t="s">
        <v>428</v>
      </c>
    </row>
    <row r="227">
      <c r="A227" s="3" t="s">
        <v>32</v>
      </c>
      <c r="B227" s="3" t="s">
        <v>114</v>
      </c>
      <c r="C227" s="3" t="s">
        <v>23</v>
      </c>
      <c r="D227" s="3" t="s">
        <v>72</v>
      </c>
      <c r="E227" s="3" t="s">
        <v>39</v>
      </c>
      <c r="F227" s="3">
        <v>0.0</v>
      </c>
      <c r="G227" s="3" t="s">
        <v>362</v>
      </c>
      <c r="H227" s="3">
        <v>1074.0</v>
      </c>
      <c r="I227" s="3" t="s">
        <v>27</v>
      </c>
      <c r="J227" s="3">
        <v>0.0</v>
      </c>
      <c r="K227" s="3">
        <v>0.170377541142</v>
      </c>
      <c r="L227" s="3">
        <v>1388.57082343</v>
      </c>
      <c r="M227" s="3">
        <v>39.0</v>
      </c>
      <c r="N227" s="3">
        <v>5.0</v>
      </c>
      <c r="O227" s="3">
        <v>1033.0</v>
      </c>
      <c r="P227" s="3">
        <v>4.84027105518</v>
      </c>
      <c r="Q227" s="3">
        <v>1039.69022265</v>
      </c>
      <c r="R227" s="3">
        <v>214.8</v>
      </c>
      <c r="S227" s="3">
        <v>0.0</v>
      </c>
      <c r="T227" s="3" t="s">
        <v>27</v>
      </c>
      <c r="U227" s="3" t="s">
        <v>429</v>
      </c>
    </row>
    <row r="228">
      <c r="A228" s="3" t="s">
        <v>32</v>
      </c>
      <c r="B228" s="3" t="s">
        <v>114</v>
      </c>
      <c r="C228" s="3" t="s">
        <v>23</v>
      </c>
      <c r="D228" s="3" t="s">
        <v>72</v>
      </c>
      <c r="E228" s="3" t="s">
        <v>39</v>
      </c>
      <c r="F228" s="3">
        <v>100.0</v>
      </c>
      <c r="G228" s="3" t="s">
        <v>364</v>
      </c>
      <c r="H228" s="3">
        <v>2291.0</v>
      </c>
      <c r="I228" s="3" t="s">
        <v>27</v>
      </c>
      <c r="J228" s="3">
        <v>0.0</v>
      </c>
      <c r="K228" s="3">
        <v>0.283917682927</v>
      </c>
      <c r="L228" s="3">
        <v>3297.45912123</v>
      </c>
      <c r="M228" s="3">
        <v>57.0</v>
      </c>
      <c r="N228" s="3">
        <v>9.0</v>
      </c>
      <c r="O228" s="3">
        <v>1312.0</v>
      </c>
      <c r="P228" s="3">
        <v>6.85975609756</v>
      </c>
      <c r="Q228" s="3">
        <v>1746.18902439</v>
      </c>
      <c r="R228" s="3">
        <v>254.555555556</v>
      </c>
      <c r="S228" s="3">
        <v>0.0</v>
      </c>
      <c r="T228" s="3" t="s">
        <v>27</v>
      </c>
      <c r="U228" s="3" t="s">
        <v>430</v>
      </c>
    </row>
    <row r="229">
      <c r="A229" s="3" t="s">
        <v>32</v>
      </c>
      <c r="B229" s="3" t="s">
        <v>114</v>
      </c>
      <c r="C229" s="3" t="s">
        <v>23</v>
      </c>
      <c r="D229" s="3" t="s">
        <v>72</v>
      </c>
      <c r="E229" s="3" t="s">
        <v>39</v>
      </c>
      <c r="F229" s="3">
        <v>100.0</v>
      </c>
      <c r="G229" s="3" t="s">
        <v>368</v>
      </c>
      <c r="H229" s="3">
        <v>2942.0</v>
      </c>
      <c r="I229" s="3" t="s">
        <v>27</v>
      </c>
      <c r="J229" s="3">
        <v>1.0</v>
      </c>
      <c r="K229" s="3">
        <v>0.220016207455</v>
      </c>
      <c r="L229" s="3">
        <v>4426.53639555</v>
      </c>
      <c r="M229" s="3">
        <v>57.0</v>
      </c>
      <c r="N229" s="3">
        <v>13.0</v>
      </c>
      <c r="O229" s="3">
        <v>1851.0</v>
      </c>
      <c r="P229" s="3">
        <v>7.02323068612</v>
      </c>
      <c r="Q229" s="3">
        <v>1589.41112912</v>
      </c>
      <c r="R229" s="3">
        <v>226.307692308</v>
      </c>
      <c r="S229" s="3">
        <v>3.39904826649E-4</v>
      </c>
      <c r="T229" s="3" t="s">
        <v>27</v>
      </c>
      <c r="U229" s="3" t="s">
        <v>431</v>
      </c>
    </row>
    <row r="230">
      <c r="A230" s="3" t="s">
        <v>32</v>
      </c>
      <c r="B230" s="3" t="s">
        <v>114</v>
      </c>
      <c r="C230" s="3" t="s">
        <v>23</v>
      </c>
      <c r="D230" s="3" t="s">
        <v>72</v>
      </c>
      <c r="E230" s="3" t="s">
        <v>43</v>
      </c>
      <c r="F230" s="3">
        <v>0.0</v>
      </c>
      <c r="G230" s="3" t="s">
        <v>362</v>
      </c>
      <c r="H230" s="3">
        <v>2114.0</v>
      </c>
      <c r="I230" s="3" t="s">
        <v>27</v>
      </c>
      <c r="J230" s="3">
        <v>0.0</v>
      </c>
      <c r="K230" s="3">
        <v>0.12696306127</v>
      </c>
      <c r="L230" s="3">
        <v>3970.49666476</v>
      </c>
      <c r="M230" s="3">
        <v>41.0</v>
      </c>
      <c r="N230" s="3">
        <v>18.0</v>
      </c>
      <c r="O230" s="3">
        <v>1507.0</v>
      </c>
      <c r="P230" s="3">
        <v>11.9442601194</v>
      </c>
      <c r="Q230" s="3">
        <v>1402.78699403</v>
      </c>
      <c r="R230" s="3">
        <v>117.444444444</v>
      </c>
      <c r="S230" s="3">
        <v>0.0</v>
      </c>
      <c r="T230" s="3" t="s">
        <v>27</v>
      </c>
      <c r="U230" s="3" t="s">
        <v>432</v>
      </c>
    </row>
    <row r="231">
      <c r="A231" s="3" t="s">
        <v>32</v>
      </c>
      <c r="B231" s="3" t="s">
        <v>114</v>
      </c>
      <c r="C231" s="3" t="s">
        <v>23</v>
      </c>
      <c r="D231" s="3" t="s">
        <v>72</v>
      </c>
      <c r="E231" s="3" t="s">
        <v>43</v>
      </c>
      <c r="F231" s="3">
        <v>100.0</v>
      </c>
      <c r="G231" s="3" t="s">
        <v>364</v>
      </c>
      <c r="H231" s="3">
        <v>2620.0</v>
      </c>
      <c r="I231" s="3" t="s">
        <v>27</v>
      </c>
      <c r="J231" s="3">
        <v>0.0</v>
      </c>
      <c r="K231" s="3">
        <v>0.13610916725</v>
      </c>
      <c r="L231" s="3">
        <v>4968.60016394</v>
      </c>
      <c r="M231" s="3">
        <v>48.0</v>
      </c>
      <c r="N231" s="3">
        <v>12.0</v>
      </c>
      <c r="O231" s="3">
        <v>1429.0</v>
      </c>
      <c r="P231" s="3">
        <v>8.39748075577</v>
      </c>
      <c r="Q231" s="3">
        <v>1833.44996501</v>
      </c>
      <c r="R231" s="3">
        <v>218.333333333</v>
      </c>
      <c r="S231" s="3">
        <v>0.0</v>
      </c>
      <c r="T231" s="3" t="s">
        <v>27</v>
      </c>
      <c r="U231" s="3" t="s">
        <v>433</v>
      </c>
    </row>
    <row r="232">
      <c r="A232" s="3" t="s">
        <v>32</v>
      </c>
      <c r="B232" s="3" t="s">
        <v>114</v>
      </c>
      <c r="C232" s="3" t="s">
        <v>23</v>
      </c>
      <c r="D232" s="3" t="s">
        <v>72</v>
      </c>
      <c r="E232" s="3" t="s">
        <v>43</v>
      </c>
      <c r="F232" s="3">
        <v>100.0</v>
      </c>
      <c r="G232" s="3" t="s">
        <v>368</v>
      </c>
      <c r="H232" s="3">
        <v>4777.0</v>
      </c>
      <c r="I232" s="3" t="s">
        <v>27</v>
      </c>
      <c r="J232" s="3">
        <v>1.0</v>
      </c>
      <c r="K232" s="3">
        <v>0.189484126984</v>
      </c>
      <c r="L232" s="3">
        <v>8070.9275279</v>
      </c>
      <c r="M232" s="3">
        <v>48.0</v>
      </c>
      <c r="N232" s="3">
        <v>17.0</v>
      </c>
      <c r="O232" s="3">
        <v>2352.0</v>
      </c>
      <c r="P232" s="3">
        <v>7.22789115646</v>
      </c>
      <c r="Q232" s="3">
        <v>2031.03741497</v>
      </c>
      <c r="R232" s="3">
        <v>281.0</v>
      </c>
      <c r="S232" s="3">
        <v>2.09336403601E-4</v>
      </c>
      <c r="T232" s="3" t="s">
        <v>27</v>
      </c>
      <c r="U232" s="3" t="s">
        <v>434</v>
      </c>
    </row>
    <row r="233">
      <c r="A233" s="3" t="s">
        <v>32</v>
      </c>
      <c r="B233" s="3" t="s">
        <v>114</v>
      </c>
      <c r="C233" s="3" t="s">
        <v>23</v>
      </c>
      <c r="D233" s="3" t="s">
        <v>72</v>
      </c>
      <c r="E233" s="3" t="s">
        <v>47</v>
      </c>
      <c r="F233" s="3">
        <v>0.0</v>
      </c>
      <c r="G233" s="3" t="s">
        <v>362</v>
      </c>
      <c r="H233" s="3">
        <v>2851.0</v>
      </c>
      <c r="I233" s="3" t="s">
        <v>27</v>
      </c>
      <c r="J233" s="3">
        <v>1.0</v>
      </c>
      <c r="K233" s="3">
        <v>0.129578754579</v>
      </c>
      <c r="L233" s="3">
        <v>7544.77281618</v>
      </c>
      <c r="M233" s="3">
        <v>46.0</v>
      </c>
      <c r="N233" s="3">
        <v>16.0</v>
      </c>
      <c r="O233" s="3">
        <v>1911.0</v>
      </c>
      <c r="P233" s="3">
        <v>8.37257980115</v>
      </c>
      <c r="Q233" s="3">
        <v>1491.88906332</v>
      </c>
      <c r="R233" s="3">
        <v>178.1875</v>
      </c>
      <c r="S233" s="3">
        <v>3.50754121361E-4</v>
      </c>
      <c r="T233" s="3" t="s">
        <v>27</v>
      </c>
      <c r="U233" s="3" t="s">
        <v>435</v>
      </c>
    </row>
    <row r="234">
      <c r="A234" s="3" t="s">
        <v>32</v>
      </c>
      <c r="B234" s="3" t="s">
        <v>114</v>
      </c>
      <c r="C234" s="3" t="s">
        <v>23</v>
      </c>
      <c r="D234" s="3" t="s">
        <v>72</v>
      </c>
      <c r="E234" s="3" t="s">
        <v>47</v>
      </c>
      <c r="F234" s="3">
        <v>100.0</v>
      </c>
      <c r="G234" s="3" t="s">
        <v>364</v>
      </c>
      <c r="H234" s="3">
        <v>4049.0</v>
      </c>
      <c r="I234" s="3" t="s">
        <v>27</v>
      </c>
      <c r="J234" s="3">
        <v>0.0</v>
      </c>
      <c r="K234" s="3">
        <v>0.262338560886</v>
      </c>
      <c r="L234" s="3">
        <v>6940.95103788</v>
      </c>
      <c r="M234" s="3">
        <v>49.0</v>
      </c>
      <c r="N234" s="3">
        <v>6.0</v>
      </c>
      <c r="O234" s="3">
        <v>1084.0</v>
      </c>
      <c r="P234" s="3">
        <v>5.53505535055</v>
      </c>
      <c r="Q234" s="3">
        <v>3735.2398524</v>
      </c>
      <c r="R234" s="3">
        <v>674.833333333</v>
      </c>
      <c r="S234" s="3">
        <v>0.0</v>
      </c>
      <c r="T234" s="3" t="s">
        <v>27</v>
      </c>
      <c r="U234" s="3" t="s">
        <v>436</v>
      </c>
    </row>
    <row r="235">
      <c r="A235" s="3" t="s">
        <v>32</v>
      </c>
      <c r="B235" s="3" t="s">
        <v>114</v>
      </c>
      <c r="C235" s="3" t="s">
        <v>23</v>
      </c>
      <c r="D235" s="3" t="s">
        <v>72</v>
      </c>
      <c r="E235" s="3" t="s">
        <v>47</v>
      </c>
      <c r="F235" s="3">
        <v>100.0</v>
      </c>
      <c r="G235" s="3" t="s">
        <v>368</v>
      </c>
      <c r="H235" s="3">
        <v>3573.0</v>
      </c>
      <c r="I235" s="3" t="s">
        <v>27</v>
      </c>
      <c r="J235" s="3">
        <v>0.0</v>
      </c>
      <c r="K235" s="3">
        <v>0.164769410391</v>
      </c>
      <c r="L235" s="3">
        <v>8219.30408883</v>
      </c>
      <c r="M235" s="3">
        <v>49.0</v>
      </c>
      <c r="N235" s="3">
        <v>16.0</v>
      </c>
      <c r="O235" s="3">
        <v>1713.0</v>
      </c>
      <c r="P235" s="3">
        <v>9.34033858727</v>
      </c>
      <c r="Q235" s="3">
        <v>2085.81436077</v>
      </c>
      <c r="R235" s="3">
        <v>223.3125</v>
      </c>
      <c r="S235" s="3">
        <v>0.0</v>
      </c>
      <c r="T235" s="3" t="s">
        <v>27</v>
      </c>
      <c r="U235" s="3" t="s">
        <v>437</v>
      </c>
    </row>
    <row r="236">
      <c r="A236" s="3" t="s">
        <v>32</v>
      </c>
      <c r="B236" s="3" t="s">
        <v>114</v>
      </c>
      <c r="C236" s="3" t="s">
        <v>23</v>
      </c>
      <c r="D236" s="3" t="s">
        <v>72</v>
      </c>
      <c r="E236" s="3" t="s">
        <v>51</v>
      </c>
      <c r="F236" s="3">
        <v>0.0</v>
      </c>
      <c r="G236" s="3" t="s">
        <v>362</v>
      </c>
      <c r="H236" s="3">
        <v>2921.0</v>
      </c>
      <c r="I236" s="3" t="s">
        <v>27</v>
      </c>
      <c r="J236" s="3">
        <v>0.0</v>
      </c>
      <c r="K236" s="3">
        <v>0.1691360601</v>
      </c>
      <c r="L236" s="3">
        <v>6313.53795362</v>
      </c>
      <c r="M236" s="3">
        <v>40.0</v>
      </c>
      <c r="N236" s="3">
        <v>16.0</v>
      </c>
      <c r="O236" s="3">
        <v>1198.0</v>
      </c>
      <c r="P236" s="3">
        <v>13.3555926544</v>
      </c>
      <c r="Q236" s="3">
        <v>2438.23038397</v>
      </c>
      <c r="R236" s="3">
        <v>182.5625</v>
      </c>
      <c r="S236" s="3">
        <v>0.0</v>
      </c>
      <c r="T236" s="3" t="s">
        <v>27</v>
      </c>
      <c r="U236" s="3" t="s">
        <v>438</v>
      </c>
    </row>
    <row r="237">
      <c r="A237" s="3" t="s">
        <v>32</v>
      </c>
      <c r="B237" s="3" t="s">
        <v>114</v>
      </c>
      <c r="C237" s="3" t="s">
        <v>23</v>
      </c>
      <c r="D237" s="3" t="s">
        <v>72</v>
      </c>
      <c r="E237" s="3" t="s">
        <v>51</v>
      </c>
      <c r="F237" s="3">
        <v>100.0</v>
      </c>
      <c r="G237" s="3" t="s">
        <v>364</v>
      </c>
      <c r="H237" s="3">
        <v>2069.0</v>
      </c>
      <c r="I237" s="3" t="s">
        <v>27</v>
      </c>
      <c r="J237" s="3">
        <v>1.0</v>
      </c>
      <c r="K237" s="3">
        <v>0.120494551551</v>
      </c>
      <c r="L237" s="3">
        <v>4488.46759057</v>
      </c>
      <c r="M237" s="3">
        <v>37.0</v>
      </c>
      <c r="N237" s="3">
        <v>16.0</v>
      </c>
      <c r="O237" s="3">
        <v>1193.0</v>
      </c>
      <c r="P237" s="3">
        <v>13.4115674769</v>
      </c>
      <c r="Q237" s="3">
        <v>1734.28331936</v>
      </c>
      <c r="R237" s="3">
        <v>129.3125</v>
      </c>
      <c r="S237" s="3">
        <v>4.83325277912E-4</v>
      </c>
      <c r="T237" s="3" t="s">
        <v>27</v>
      </c>
      <c r="U237" s="3" t="s">
        <v>439</v>
      </c>
    </row>
    <row r="238">
      <c r="A238" s="3" t="s">
        <v>32</v>
      </c>
      <c r="B238" s="3" t="s">
        <v>114</v>
      </c>
      <c r="C238" s="3" t="s">
        <v>23</v>
      </c>
      <c r="D238" s="3" t="s">
        <v>72</v>
      </c>
      <c r="E238" s="3" t="s">
        <v>51</v>
      </c>
      <c r="F238" s="3">
        <v>100.0</v>
      </c>
      <c r="G238" s="3" t="s">
        <v>368</v>
      </c>
      <c r="H238" s="3">
        <v>2366.0</v>
      </c>
      <c r="I238" s="3" t="s">
        <v>27</v>
      </c>
      <c r="J238" s="3">
        <v>0.0</v>
      </c>
      <c r="K238" s="3">
        <v>0.0850840336134</v>
      </c>
      <c r="L238" s="3">
        <v>5483.51698041</v>
      </c>
      <c r="M238" s="3">
        <v>37.0</v>
      </c>
      <c r="N238" s="3">
        <v>17.0</v>
      </c>
      <c r="O238" s="3">
        <v>1071.0</v>
      </c>
      <c r="P238" s="3">
        <v>15.873015873</v>
      </c>
      <c r="Q238" s="3">
        <v>2209.1503268</v>
      </c>
      <c r="R238" s="3">
        <v>139.176470588</v>
      </c>
      <c r="S238" s="3">
        <v>0.0</v>
      </c>
      <c r="T238" s="3" t="s">
        <v>27</v>
      </c>
      <c r="U238" s="3" t="s">
        <v>440</v>
      </c>
    </row>
    <row r="239">
      <c r="A239" s="3" t="s">
        <v>32</v>
      </c>
      <c r="B239" s="3" t="s">
        <v>114</v>
      </c>
      <c r="C239" s="3" t="s">
        <v>23</v>
      </c>
      <c r="D239" s="3" t="s">
        <v>64</v>
      </c>
      <c r="E239" s="3" t="s">
        <v>25</v>
      </c>
      <c r="F239" s="3">
        <v>0.0</v>
      </c>
      <c r="G239" s="3" t="s">
        <v>362</v>
      </c>
      <c r="H239" s="3">
        <v>182.0</v>
      </c>
      <c r="I239" s="3" t="s">
        <v>27</v>
      </c>
      <c r="J239" s="3">
        <v>0.0</v>
      </c>
      <c r="K239" s="3">
        <v>0.092523364486</v>
      </c>
      <c r="L239" s="3">
        <v>426.504696131</v>
      </c>
      <c r="M239" s="3">
        <v>35.0</v>
      </c>
      <c r="N239" s="3">
        <v>1.0</v>
      </c>
      <c r="O239" s="3">
        <v>535.0</v>
      </c>
      <c r="P239" s="3">
        <v>1.8691588785</v>
      </c>
      <c r="Q239" s="3">
        <v>340.186915888</v>
      </c>
      <c r="R239" s="3">
        <v>182.0</v>
      </c>
      <c r="S239" s="3">
        <v>0.0</v>
      </c>
      <c r="T239" s="3" t="s">
        <v>27</v>
      </c>
      <c r="U239" s="3" t="s">
        <v>441</v>
      </c>
    </row>
    <row r="240">
      <c r="A240" s="3" t="s">
        <v>32</v>
      </c>
      <c r="B240" s="3" t="s">
        <v>114</v>
      </c>
      <c r="C240" s="3" t="s">
        <v>23</v>
      </c>
      <c r="D240" s="3" t="s">
        <v>64</v>
      </c>
      <c r="E240" s="3" t="s">
        <v>25</v>
      </c>
      <c r="F240" s="3">
        <v>100.0</v>
      </c>
      <c r="G240" s="3" t="s">
        <v>368</v>
      </c>
      <c r="H240" s="3">
        <v>1357.0</v>
      </c>
      <c r="I240" s="3" t="s">
        <v>27</v>
      </c>
      <c r="J240" s="3">
        <v>0.0</v>
      </c>
      <c r="K240" s="3">
        <v>0.107711138311</v>
      </c>
      <c r="L240" s="3">
        <v>3114.20164728</v>
      </c>
      <c r="M240" s="3">
        <v>76.0</v>
      </c>
      <c r="N240" s="3">
        <v>15.0</v>
      </c>
      <c r="O240" s="3">
        <v>1634.0</v>
      </c>
      <c r="P240" s="3">
        <v>9.17992656059</v>
      </c>
      <c r="Q240" s="3">
        <v>830.477356181</v>
      </c>
      <c r="R240" s="3">
        <v>90.4666666667</v>
      </c>
      <c r="S240" s="3">
        <v>0.0</v>
      </c>
      <c r="T240" s="3" t="s">
        <v>27</v>
      </c>
      <c r="U240" s="3" t="s">
        <v>442</v>
      </c>
    </row>
    <row r="241">
      <c r="A241" s="3" t="s">
        <v>32</v>
      </c>
      <c r="B241" s="3" t="s">
        <v>114</v>
      </c>
      <c r="C241" s="3" t="s">
        <v>23</v>
      </c>
      <c r="D241" s="3" t="s">
        <v>64</v>
      </c>
      <c r="E241" s="3" t="s">
        <v>34</v>
      </c>
      <c r="F241" s="3">
        <v>0.0</v>
      </c>
      <c r="G241" s="3" t="s">
        <v>362</v>
      </c>
      <c r="H241" s="3">
        <v>934.0</v>
      </c>
      <c r="I241" s="3" t="s">
        <v>27</v>
      </c>
      <c r="J241" s="3">
        <v>0.0</v>
      </c>
      <c r="K241" s="3">
        <v>0.14897039897</v>
      </c>
      <c r="L241" s="3">
        <v>2821.08772469</v>
      </c>
      <c r="M241" s="3">
        <v>24.0</v>
      </c>
      <c r="N241" s="3">
        <v>4.0</v>
      </c>
      <c r="O241" s="3">
        <v>1036.0</v>
      </c>
      <c r="P241" s="3">
        <v>3.861003861</v>
      </c>
      <c r="Q241" s="3">
        <v>901.544401544</v>
      </c>
      <c r="R241" s="3">
        <v>233.5</v>
      </c>
      <c r="S241" s="3">
        <v>0.0</v>
      </c>
      <c r="T241" s="3" t="s">
        <v>27</v>
      </c>
      <c r="U241" s="3" t="s">
        <v>443</v>
      </c>
    </row>
    <row r="242">
      <c r="A242" s="3" t="s">
        <v>32</v>
      </c>
      <c r="B242" s="3" t="s">
        <v>114</v>
      </c>
      <c r="C242" s="3" t="s">
        <v>23</v>
      </c>
      <c r="D242" s="3" t="s">
        <v>64</v>
      </c>
      <c r="E242" s="3" t="s">
        <v>39</v>
      </c>
      <c r="F242" s="3">
        <v>0.0</v>
      </c>
      <c r="G242" s="3" t="s">
        <v>362</v>
      </c>
      <c r="H242" s="3">
        <v>161.0</v>
      </c>
      <c r="I242" s="3" t="s">
        <v>27</v>
      </c>
      <c r="J242" s="3">
        <v>0.0</v>
      </c>
      <c r="K242" s="3">
        <v>0.1025</v>
      </c>
      <c r="L242" s="3">
        <v>461.788787365</v>
      </c>
      <c r="N242" s="3">
        <v>0.0</v>
      </c>
      <c r="O242" s="3">
        <v>500.0</v>
      </c>
      <c r="P242" s="3">
        <v>0.0</v>
      </c>
      <c r="Q242" s="3">
        <v>322.0</v>
      </c>
      <c r="S242" s="3">
        <v>0.0</v>
      </c>
      <c r="T242" s="3" t="s">
        <v>27</v>
      </c>
      <c r="U242" s="3" t="s">
        <v>444</v>
      </c>
    </row>
    <row r="243">
      <c r="A243" s="3" t="s">
        <v>32</v>
      </c>
      <c r="B243" s="3" t="s">
        <v>114</v>
      </c>
      <c r="C243" s="3" t="s">
        <v>23</v>
      </c>
      <c r="D243" s="3" t="s">
        <v>64</v>
      </c>
      <c r="E243" s="3" t="s">
        <v>43</v>
      </c>
      <c r="F243" s="3">
        <v>0.0</v>
      </c>
      <c r="G243" s="3" t="s">
        <v>362</v>
      </c>
      <c r="H243" s="3">
        <v>1103.0</v>
      </c>
      <c r="I243" s="3" t="s">
        <v>27</v>
      </c>
      <c r="J243" s="3">
        <v>0.0</v>
      </c>
      <c r="K243" s="3">
        <v>0.0808148645623</v>
      </c>
      <c r="L243" s="3">
        <v>3480.11308551</v>
      </c>
      <c r="M243" s="3">
        <v>41.0</v>
      </c>
      <c r="N243" s="3">
        <v>9.0</v>
      </c>
      <c r="O243" s="3">
        <v>1489.0</v>
      </c>
      <c r="P243" s="3">
        <v>6.04432505037</v>
      </c>
      <c r="Q243" s="3">
        <v>740.765614506</v>
      </c>
      <c r="R243" s="3">
        <v>122.555555556</v>
      </c>
      <c r="S243" s="3">
        <v>0.0</v>
      </c>
      <c r="T243" s="3" t="s">
        <v>27</v>
      </c>
      <c r="U243" s="3" t="s">
        <v>445</v>
      </c>
    </row>
    <row r="244">
      <c r="A244" s="3" t="s">
        <v>32</v>
      </c>
      <c r="B244" s="3" t="s">
        <v>114</v>
      </c>
      <c r="C244" s="3" t="s">
        <v>23</v>
      </c>
      <c r="D244" s="3" t="s">
        <v>64</v>
      </c>
      <c r="E244" s="3" t="s">
        <v>47</v>
      </c>
      <c r="F244" s="3">
        <v>0.0</v>
      </c>
      <c r="G244" s="3" t="s">
        <v>362</v>
      </c>
      <c r="H244" s="3">
        <v>1189.0</v>
      </c>
      <c r="I244" s="3" t="s">
        <v>27</v>
      </c>
      <c r="J244" s="3">
        <v>0.0</v>
      </c>
      <c r="K244" s="3">
        <v>0.117583436341</v>
      </c>
      <c r="L244" s="3">
        <v>4737.10631418</v>
      </c>
      <c r="M244" s="3">
        <v>46.0</v>
      </c>
      <c r="N244" s="3">
        <v>6.0</v>
      </c>
      <c r="O244" s="3">
        <v>809.0</v>
      </c>
      <c r="P244" s="3">
        <v>7.41656365884</v>
      </c>
      <c r="Q244" s="3">
        <v>1469.71569839</v>
      </c>
      <c r="R244" s="3">
        <v>198.166666667</v>
      </c>
      <c r="S244" s="3">
        <v>0.0</v>
      </c>
      <c r="T244" s="3" t="s">
        <v>27</v>
      </c>
      <c r="U244" s="3" t="s">
        <v>446</v>
      </c>
    </row>
    <row r="245">
      <c r="A245" s="3" t="s">
        <v>32</v>
      </c>
      <c r="B245" s="3" t="s">
        <v>114</v>
      </c>
      <c r="C245" s="3" t="s">
        <v>23</v>
      </c>
      <c r="D245" s="3" t="s">
        <v>64</v>
      </c>
      <c r="E245" s="3" t="s">
        <v>51</v>
      </c>
      <c r="F245" s="3">
        <v>0.0</v>
      </c>
      <c r="G245" s="3" t="s">
        <v>362</v>
      </c>
      <c r="H245" s="3">
        <v>835.0</v>
      </c>
      <c r="I245" s="3" t="s">
        <v>27</v>
      </c>
      <c r="J245" s="3">
        <v>0.0</v>
      </c>
      <c r="K245" s="3">
        <v>0.0642744479495</v>
      </c>
      <c r="L245" s="3">
        <v>3436.20307899</v>
      </c>
      <c r="M245" s="3">
        <v>40.0</v>
      </c>
      <c r="N245" s="3">
        <v>6.0</v>
      </c>
      <c r="O245" s="3">
        <v>951.0</v>
      </c>
      <c r="P245" s="3">
        <v>6.30914826498</v>
      </c>
      <c r="Q245" s="3">
        <v>878.023133544</v>
      </c>
      <c r="R245" s="3">
        <v>139.166666667</v>
      </c>
      <c r="S245" s="3">
        <v>0.0</v>
      </c>
      <c r="T245" s="3" t="s">
        <v>27</v>
      </c>
      <c r="U245" s="3" t="s">
        <v>447</v>
      </c>
    </row>
    <row r="246">
      <c r="A246" s="3" t="s">
        <v>32</v>
      </c>
      <c r="B246" s="3" t="s">
        <v>114</v>
      </c>
      <c r="C246" s="3" t="s">
        <v>23</v>
      </c>
      <c r="D246" s="3" t="s">
        <v>102</v>
      </c>
      <c r="E246" s="3" t="s">
        <v>25</v>
      </c>
      <c r="F246" s="3">
        <v>0.0</v>
      </c>
      <c r="G246" s="3" t="s">
        <v>362</v>
      </c>
      <c r="H246" s="3">
        <v>95.0</v>
      </c>
      <c r="I246" s="3" t="s">
        <v>27</v>
      </c>
      <c r="J246" s="3">
        <v>0.0</v>
      </c>
      <c r="K246" s="3">
        <v>0.119626168224</v>
      </c>
      <c r="L246" s="3">
        <v>404.219730616</v>
      </c>
      <c r="M246" s="3">
        <v>35.0</v>
      </c>
      <c r="N246" s="3">
        <v>1.0</v>
      </c>
      <c r="O246" s="3">
        <v>535.0</v>
      </c>
      <c r="P246" s="3">
        <v>1.8691588785</v>
      </c>
      <c r="Q246" s="3">
        <v>177.570093458</v>
      </c>
      <c r="R246" s="3">
        <v>95.0</v>
      </c>
      <c r="S246" s="3">
        <v>0.0</v>
      </c>
      <c r="T246" s="3" t="s">
        <v>27</v>
      </c>
      <c r="U246" s="3" t="s">
        <v>448</v>
      </c>
    </row>
    <row r="247">
      <c r="A247" s="3" t="s">
        <v>32</v>
      </c>
      <c r="B247" s="3" t="s">
        <v>114</v>
      </c>
      <c r="C247" s="3" t="s">
        <v>23</v>
      </c>
      <c r="D247" s="3" t="s">
        <v>102</v>
      </c>
      <c r="E247" s="3" t="s">
        <v>34</v>
      </c>
      <c r="F247" s="3">
        <v>0.0</v>
      </c>
      <c r="G247" s="3" t="s">
        <v>362</v>
      </c>
      <c r="H247" s="3">
        <v>2167.0</v>
      </c>
      <c r="I247" s="3" t="s">
        <v>27</v>
      </c>
      <c r="J247" s="3">
        <v>0.0</v>
      </c>
      <c r="K247" s="3">
        <v>0.169797979798</v>
      </c>
      <c r="L247" s="3">
        <v>12284.0227804</v>
      </c>
      <c r="M247" s="3">
        <v>24.0</v>
      </c>
      <c r="N247" s="3">
        <v>12.0</v>
      </c>
      <c r="O247" s="3">
        <v>1650.0</v>
      </c>
      <c r="P247" s="3">
        <v>7.27272727273</v>
      </c>
      <c r="Q247" s="3">
        <v>1313.33333333</v>
      </c>
      <c r="R247" s="3">
        <v>180.583333333</v>
      </c>
      <c r="S247" s="3">
        <v>0.0</v>
      </c>
      <c r="T247" s="3" t="s">
        <v>27</v>
      </c>
      <c r="U247" s="3" t="s">
        <v>449</v>
      </c>
    </row>
    <row r="248">
      <c r="A248" s="3" t="s">
        <v>32</v>
      </c>
      <c r="B248" s="3" t="s">
        <v>114</v>
      </c>
      <c r="C248" s="3" t="s">
        <v>23</v>
      </c>
      <c r="D248" s="3" t="s">
        <v>102</v>
      </c>
      <c r="E248" s="3" t="s">
        <v>39</v>
      </c>
      <c r="F248" s="3">
        <v>0.0</v>
      </c>
      <c r="G248" s="3" t="s">
        <v>362</v>
      </c>
      <c r="H248" s="3">
        <v>207.0</v>
      </c>
      <c r="I248" s="3" t="s">
        <v>27</v>
      </c>
      <c r="J248" s="3">
        <v>0.0</v>
      </c>
      <c r="K248" s="3">
        <v>0.10708041958</v>
      </c>
      <c r="L248" s="3">
        <v>1125.11981416</v>
      </c>
      <c r="M248" s="3">
        <v>72.0</v>
      </c>
      <c r="N248" s="3">
        <v>1.0</v>
      </c>
      <c r="O248" s="3">
        <v>572.0</v>
      </c>
      <c r="P248" s="3">
        <v>1.74825174825</v>
      </c>
      <c r="Q248" s="3">
        <v>361.888111888</v>
      </c>
      <c r="R248" s="3">
        <v>207.0</v>
      </c>
      <c r="S248" s="3">
        <v>0.0</v>
      </c>
      <c r="T248" s="3" t="s">
        <v>27</v>
      </c>
      <c r="U248" s="3" t="s">
        <v>450</v>
      </c>
    </row>
    <row r="249">
      <c r="A249" s="3" t="s">
        <v>32</v>
      </c>
      <c r="B249" s="3" t="s">
        <v>114</v>
      </c>
      <c r="C249" s="3" t="s">
        <v>23</v>
      </c>
      <c r="D249" s="3" t="s">
        <v>102</v>
      </c>
      <c r="E249" s="3" t="s">
        <v>43</v>
      </c>
      <c r="F249" s="3">
        <v>0.0</v>
      </c>
      <c r="G249" s="3" t="s">
        <v>362</v>
      </c>
      <c r="H249" s="3">
        <v>1084.0</v>
      </c>
      <c r="I249" s="3" t="s">
        <v>27</v>
      </c>
      <c r="J249" s="3">
        <v>0.0</v>
      </c>
      <c r="K249" s="3">
        <v>0.0860453648915</v>
      </c>
      <c r="L249" s="3">
        <v>7388.73460054</v>
      </c>
      <c r="M249" s="3">
        <v>41.0</v>
      </c>
      <c r="N249" s="3">
        <v>10.0</v>
      </c>
      <c r="O249" s="3">
        <v>1352.0</v>
      </c>
      <c r="P249" s="3">
        <v>7.39644970414</v>
      </c>
      <c r="Q249" s="3">
        <v>801.775147929</v>
      </c>
      <c r="R249" s="3">
        <v>108.4</v>
      </c>
      <c r="S249" s="3">
        <v>0.0</v>
      </c>
      <c r="T249" s="3" t="s">
        <v>27</v>
      </c>
      <c r="U249" s="3" t="s">
        <v>451</v>
      </c>
    </row>
    <row r="250">
      <c r="A250" s="3" t="s">
        <v>32</v>
      </c>
      <c r="B250" s="3" t="s">
        <v>114</v>
      </c>
      <c r="C250" s="3" t="s">
        <v>23</v>
      </c>
      <c r="D250" s="3" t="s">
        <v>102</v>
      </c>
      <c r="E250" s="3" t="s">
        <v>47</v>
      </c>
      <c r="F250" s="3">
        <v>0.0</v>
      </c>
      <c r="G250" s="3" t="s">
        <v>362</v>
      </c>
      <c r="H250" s="3">
        <v>1158.0</v>
      </c>
      <c r="I250" s="3" t="s">
        <v>27</v>
      </c>
      <c r="J250" s="3">
        <v>0.0</v>
      </c>
      <c r="K250" s="3">
        <v>0.16393442623</v>
      </c>
      <c r="L250" s="3">
        <v>9276.23914027</v>
      </c>
      <c r="M250" s="3">
        <v>46.0</v>
      </c>
      <c r="N250" s="3">
        <v>4.0</v>
      </c>
      <c r="O250" s="3">
        <v>610.0</v>
      </c>
      <c r="P250" s="3">
        <v>6.55737704918</v>
      </c>
      <c r="Q250" s="3">
        <v>1898.36065574</v>
      </c>
      <c r="R250" s="3">
        <v>289.5</v>
      </c>
      <c r="S250" s="3">
        <v>0.0</v>
      </c>
      <c r="T250" s="3" t="s">
        <v>27</v>
      </c>
      <c r="U250" s="3" t="s">
        <v>452</v>
      </c>
    </row>
    <row r="251">
      <c r="A251" s="3" t="s">
        <v>32</v>
      </c>
      <c r="B251" s="3" t="s">
        <v>114</v>
      </c>
      <c r="C251" s="3" t="s">
        <v>23</v>
      </c>
      <c r="D251" s="3" t="s">
        <v>102</v>
      </c>
      <c r="E251" s="3" t="s">
        <v>51</v>
      </c>
      <c r="F251" s="3">
        <v>0.0</v>
      </c>
      <c r="G251" s="3" t="s">
        <v>362</v>
      </c>
      <c r="H251" s="3">
        <v>391.0</v>
      </c>
      <c r="I251" s="3" t="s">
        <v>27</v>
      </c>
      <c r="J251" s="3">
        <v>0.0</v>
      </c>
      <c r="K251" s="3">
        <v>0.0658623417722</v>
      </c>
      <c r="L251" s="3">
        <v>2852.35229921</v>
      </c>
      <c r="M251" s="3">
        <v>32.0</v>
      </c>
      <c r="N251" s="3">
        <v>4.0</v>
      </c>
      <c r="O251" s="3">
        <v>632.0</v>
      </c>
      <c r="P251" s="3">
        <v>6.32911392405</v>
      </c>
      <c r="Q251" s="3">
        <v>618.670886076</v>
      </c>
      <c r="R251" s="3">
        <v>97.75</v>
      </c>
      <c r="S251" s="3">
        <v>0.0</v>
      </c>
      <c r="T251" s="3" t="s">
        <v>27</v>
      </c>
      <c r="U251" s="3" t="s">
        <v>453</v>
      </c>
    </row>
    <row r="252">
      <c r="A252" s="3" t="s">
        <v>32</v>
      </c>
      <c r="B252" s="3" t="s">
        <v>114</v>
      </c>
      <c r="C252" s="3" t="s">
        <v>23</v>
      </c>
      <c r="D252" s="3" t="s">
        <v>118</v>
      </c>
      <c r="E252" s="3" t="s">
        <v>25</v>
      </c>
      <c r="F252" s="3">
        <v>0.0</v>
      </c>
      <c r="G252" s="3" t="s">
        <v>362</v>
      </c>
      <c r="H252" s="3">
        <v>182.0</v>
      </c>
      <c r="I252" s="3" t="s">
        <v>27</v>
      </c>
      <c r="J252" s="3">
        <v>0.0</v>
      </c>
      <c r="K252" s="3">
        <v>0.092523364486</v>
      </c>
      <c r="L252" s="3">
        <v>364.649878025</v>
      </c>
      <c r="M252" s="3">
        <v>35.0</v>
      </c>
      <c r="N252" s="3">
        <v>1.0</v>
      </c>
      <c r="O252" s="3">
        <v>535.0</v>
      </c>
      <c r="P252" s="3">
        <v>1.8691588785</v>
      </c>
      <c r="Q252" s="3">
        <v>340.186915888</v>
      </c>
      <c r="R252" s="3">
        <v>182.0</v>
      </c>
      <c r="S252" s="3">
        <v>0.0</v>
      </c>
      <c r="T252" s="3" t="s">
        <v>27</v>
      </c>
      <c r="U252" s="3" t="s">
        <v>454</v>
      </c>
    </row>
    <row r="253">
      <c r="A253" s="3" t="s">
        <v>32</v>
      </c>
      <c r="B253" s="3" t="s">
        <v>114</v>
      </c>
      <c r="C253" s="3" t="s">
        <v>23</v>
      </c>
      <c r="D253" s="3" t="s">
        <v>118</v>
      </c>
      <c r="E253" s="3" t="s">
        <v>34</v>
      </c>
      <c r="F253" s="3">
        <v>0.0</v>
      </c>
      <c r="G253" s="3" t="s">
        <v>362</v>
      </c>
      <c r="H253" s="3">
        <v>2114.0</v>
      </c>
      <c r="I253" s="3" t="s">
        <v>27</v>
      </c>
      <c r="J253" s="3">
        <v>0.0</v>
      </c>
      <c r="K253" s="3">
        <v>0.133245382586</v>
      </c>
      <c r="L253" s="3">
        <v>5450.19249749</v>
      </c>
      <c r="M253" s="3">
        <v>24.0</v>
      </c>
      <c r="N253" s="3">
        <v>9.0</v>
      </c>
      <c r="O253" s="3">
        <v>1137.0</v>
      </c>
      <c r="P253" s="3">
        <v>7.91556728232</v>
      </c>
      <c r="Q253" s="3">
        <v>1859.27880387</v>
      </c>
      <c r="R253" s="3">
        <v>234.888888889</v>
      </c>
      <c r="S253" s="3">
        <v>0.0</v>
      </c>
      <c r="T253" s="3" t="s">
        <v>27</v>
      </c>
      <c r="U253" s="3" t="s">
        <v>455</v>
      </c>
    </row>
    <row r="254">
      <c r="A254" s="3" t="s">
        <v>32</v>
      </c>
      <c r="B254" s="3" t="s">
        <v>114</v>
      </c>
      <c r="C254" s="3" t="s">
        <v>23</v>
      </c>
      <c r="D254" s="3" t="s">
        <v>118</v>
      </c>
      <c r="E254" s="3" t="s">
        <v>39</v>
      </c>
      <c r="F254" s="3">
        <v>0.0</v>
      </c>
      <c r="G254" s="3" t="s">
        <v>362</v>
      </c>
      <c r="H254" s="3">
        <v>399.0</v>
      </c>
      <c r="I254" s="3" t="s">
        <v>27</v>
      </c>
      <c r="J254" s="3">
        <v>0.0</v>
      </c>
      <c r="K254" s="3">
        <v>0.10483014862</v>
      </c>
      <c r="L254" s="3">
        <v>1005.14129567</v>
      </c>
      <c r="M254" s="3">
        <v>72.0</v>
      </c>
      <c r="N254" s="3">
        <v>2.0</v>
      </c>
      <c r="O254" s="3">
        <v>942.0</v>
      </c>
      <c r="P254" s="3">
        <v>2.12314225053</v>
      </c>
      <c r="Q254" s="3">
        <v>423.566878981</v>
      </c>
      <c r="R254" s="3">
        <v>199.5</v>
      </c>
      <c r="S254" s="3">
        <v>0.0</v>
      </c>
      <c r="T254" s="3" t="s">
        <v>27</v>
      </c>
      <c r="U254" s="3" t="s">
        <v>456</v>
      </c>
    </row>
    <row r="255">
      <c r="A255" s="3" t="s">
        <v>32</v>
      </c>
      <c r="B255" s="3" t="s">
        <v>114</v>
      </c>
      <c r="C255" s="3" t="s">
        <v>23</v>
      </c>
      <c r="D255" s="3" t="s">
        <v>118</v>
      </c>
      <c r="E255" s="3" t="s">
        <v>43</v>
      </c>
      <c r="F255" s="3">
        <v>0.0</v>
      </c>
      <c r="G255" s="3" t="s">
        <v>362</v>
      </c>
      <c r="H255" s="3">
        <v>1801.0</v>
      </c>
      <c r="I255" s="3" t="s">
        <v>27</v>
      </c>
      <c r="J255" s="3">
        <v>0.0</v>
      </c>
      <c r="K255" s="3">
        <v>0.0573166826769</v>
      </c>
      <c r="L255" s="3">
        <v>4848.58894753</v>
      </c>
      <c r="M255" s="3">
        <v>41.0</v>
      </c>
      <c r="N255" s="3">
        <v>9.0</v>
      </c>
      <c r="O255" s="3">
        <v>1041.0</v>
      </c>
      <c r="P255" s="3">
        <v>8.64553314121</v>
      </c>
      <c r="Q255" s="3">
        <v>1730.06724304</v>
      </c>
      <c r="R255" s="3">
        <v>200.111111111</v>
      </c>
      <c r="S255" s="3">
        <v>0.0</v>
      </c>
      <c r="T255" s="3" t="s">
        <v>27</v>
      </c>
      <c r="U255" s="3" t="s">
        <v>457</v>
      </c>
    </row>
    <row r="256">
      <c r="A256" s="3" t="s">
        <v>32</v>
      </c>
      <c r="B256" s="3" t="s">
        <v>114</v>
      </c>
      <c r="C256" s="3" t="s">
        <v>23</v>
      </c>
      <c r="D256" s="3" t="s">
        <v>118</v>
      </c>
      <c r="E256" s="3" t="s">
        <v>47</v>
      </c>
      <c r="F256" s="3">
        <v>0.0</v>
      </c>
      <c r="G256" s="3" t="s">
        <v>362</v>
      </c>
      <c r="H256" s="3">
        <v>1362.0</v>
      </c>
      <c r="I256" s="3" t="s">
        <v>27</v>
      </c>
      <c r="J256" s="3">
        <v>0.0</v>
      </c>
      <c r="K256" s="3">
        <v>0.148612593383</v>
      </c>
      <c r="L256" s="3">
        <v>4947.01760244</v>
      </c>
      <c r="M256" s="3">
        <v>49.0</v>
      </c>
      <c r="N256" s="3">
        <v>5.0</v>
      </c>
      <c r="O256" s="3">
        <v>937.0</v>
      </c>
      <c r="P256" s="3">
        <v>5.33617929562</v>
      </c>
      <c r="Q256" s="3">
        <v>1453.57524013</v>
      </c>
      <c r="R256" s="3">
        <v>272.4</v>
      </c>
      <c r="S256" s="3">
        <v>0.0</v>
      </c>
      <c r="T256" s="3" t="s">
        <v>27</v>
      </c>
      <c r="U256" s="3" t="s">
        <v>458</v>
      </c>
    </row>
    <row r="257">
      <c r="A257" s="3" t="s">
        <v>32</v>
      </c>
      <c r="B257" s="3" t="s">
        <v>114</v>
      </c>
      <c r="C257" s="3" t="s">
        <v>23</v>
      </c>
      <c r="D257" s="3" t="s">
        <v>118</v>
      </c>
      <c r="E257" s="3" t="s">
        <v>51</v>
      </c>
      <c r="F257" s="3">
        <v>0.0</v>
      </c>
      <c r="G257" s="3" t="s">
        <v>362</v>
      </c>
      <c r="H257" s="3">
        <v>614.0</v>
      </c>
      <c r="I257" s="3" t="s">
        <v>27</v>
      </c>
      <c r="J257" s="3">
        <v>0.0</v>
      </c>
      <c r="K257" s="3">
        <v>0.06852248394</v>
      </c>
      <c r="L257" s="3">
        <v>2319.5971036</v>
      </c>
      <c r="M257" s="3">
        <v>32.0</v>
      </c>
      <c r="N257" s="3">
        <v>5.0</v>
      </c>
      <c r="O257" s="3">
        <v>934.0</v>
      </c>
      <c r="P257" s="3">
        <v>5.35331905782</v>
      </c>
      <c r="Q257" s="3">
        <v>657.3875803</v>
      </c>
      <c r="R257" s="3">
        <v>122.8</v>
      </c>
      <c r="S257" s="3">
        <v>0.0</v>
      </c>
      <c r="T257" s="3" t="s">
        <v>27</v>
      </c>
      <c r="U257" s="3" t="s">
        <v>459</v>
      </c>
    </row>
    <row r="258">
      <c r="A258" s="3" t="s">
        <v>460</v>
      </c>
      <c r="B258" s="3" t="s">
        <v>22</v>
      </c>
      <c r="C258" s="3" t="s">
        <v>35</v>
      </c>
      <c r="D258" s="3" t="s">
        <v>24</v>
      </c>
      <c r="E258" s="3" t="s">
        <v>25</v>
      </c>
      <c r="F258" s="3">
        <v>0.0</v>
      </c>
      <c r="G258" s="3" t="s">
        <v>461</v>
      </c>
      <c r="H258" s="3">
        <v>260.0</v>
      </c>
      <c r="I258" s="3">
        <v>34.0</v>
      </c>
      <c r="J258" s="3">
        <v>0.0</v>
      </c>
      <c r="K258" s="3">
        <v>0.0</v>
      </c>
      <c r="L258" s="3">
        <v>972.804250002</v>
      </c>
      <c r="N258" s="3">
        <v>0.0</v>
      </c>
      <c r="O258" s="3">
        <v>500.0</v>
      </c>
      <c r="P258" s="3">
        <v>0.0</v>
      </c>
      <c r="Q258" s="3">
        <v>520.0</v>
      </c>
      <c r="S258" s="3">
        <v>0.0</v>
      </c>
      <c r="T258" s="3">
        <v>0.130769230769</v>
      </c>
      <c r="U258" s="3" t="s">
        <v>462</v>
      </c>
    </row>
    <row r="259">
      <c r="A259" s="3" t="s">
        <v>460</v>
      </c>
      <c r="B259" s="3" t="s">
        <v>22</v>
      </c>
      <c r="C259" s="3" t="s">
        <v>35</v>
      </c>
      <c r="D259" s="3" t="s">
        <v>24</v>
      </c>
      <c r="E259" s="3" t="s">
        <v>34</v>
      </c>
      <c r="F259" s="3">
        <v>0.0</v>
      </c>
      <c r="G259" s="3" t="s">
        <v>461</v>
      </c>
      <c r="H259" s="3">
        <v>491.0</v>
      </c>
      <c r="I259" s="3">
        <v>0.0</v>
      </c>
      <c r="J259" s="3">
        <v>0.0</v>
      </c>
      <c r="K259" s="3">
        <v>0.0</v>
      </c>
      <c r="L259" s="3">
        <v>2639.14088011</v>
      </c>
      <c r="N259" s="3">
        <v>0.0</v>
      </c>
      <c r="O259" s="3">
        <v>500.0</v>
      </c>
      <c r="P259" s="3">
        <v>0.0</v>
      </c>
      <c r="Q259" s="3">
        <v>982.0</v>
      </c>
      <c r="S259" s="3">
        <v>0.0</v>
      </c>
      <c r="T259" s="3">
        <v>0.0</v>
      </c>
      <c r="U259" s="3" t="s">
        <v>463</v>
      </c>
    </row>
    <row r="260">
      <c r="A260" s="3" t="s">
        <v>460</v>
      </c>
      <c r="B260" s="3" t="s">
        <v>22</v>
      </c>
      <c r="C260" s="3" t="s">
        <v>35</v>
      </c>
      <c r="D260" s="3" t="s">
        <v>24</v>
      </c>
      <c r="E260" s="3" t="s">
        <v>39</v>
      </c>
      <c r="F260" s="3">
        <v>0.0</v>
      </c>
      <c r="G260" s="3" t="s">
        <v>461</v>
      </c>
      <c r="H260" s="3">
        <v>298.0</v>
      </c>
      <c r="I260" s="3">
        <v>76.0</v>
      </c>
      <c r="J260" s="3">
        <v>204.0</v>
      </c>
      <c r="K260" s="3">
        <v>0.0</v>
      </c>
      <c r="L260" s="3">
        <v>909.102766991</v>
      </c>
      <c r="N260" s="3">
        <v>0.0</v>
      </c>
      <c r="O260" s="3">
        <v>500.0</v>
      </c>
      <c r="P260" s="3">
        <v>0.0</v>
      </c>
      <c r="Q260" s="3">
        <v>596.0</v>
      </c>
      <c r="S260" s="3">
        <v>0.684563758389</v>
      </c>
      <c r="T260" s="3">
        <v>0.255033557047</v>
      </c>
      <c r="U260" s="3" t="s">
        <v>464</v>
      </c>
    </row>
    <row r="261">
      <c r="A261" s="3" t="s">
        <v>460</v>
      </c>
      <c r="B261" s="3" t="s">
        <v>22</v>
      </c>
      <c r="C261" s="3" t="s">
        <v>35</v>
      </c>
      <c r="D261" s="3" t="s">
        <v>24</v>
      </c>
      <c r="E261" s="3" t="s">
        <v>43</v>
      </c>
      <c r="F261" s="3">
        <v>0.0</v>
      </c>
      <c r="G261" s="3" t="s">
        <v>461</v>
      </c>
      <c r="H261" s="3">
        <v>405.0</v>
      </c>
      <c r="I261" s="3">
        <v>88.0</v>
      </c>
      <c r="J261" s="3">
        <v>140.0</v>
      </c>
      <c r="K261" s="3">
        <v>0.00133333333333</v>
      </c>
      <c r="L261" s="3">
        <v>1528.05666876</v>
      </c>
      <c r="N261" s="3">
        <v>0.0</v>
      </c>
      <c r="O261" s="3">
        <v>500.0</v>
      </c>
      <c r="P261" s="3">
        <v>0.0</v>
      </c>
      <c r="Q261" s="3">
        <v>810.0</v>
      </c>
      <c r="S261" s="3">
        <v>0.345679012346</v>
      </c>
      <c r="T261" s="3">
        <v>0.217283950617</v>
      </c>
      <c r="U261" s="3" t="s">
        <v>465</v>
      </c>
    </row>
    <row r="262">
      <c r="A262" s="3" t="s">
        <v>460</v>
      </c>
      <c r="B262" s="3" t="s">
        <v>22</v>
      </c>
      <c r="C262" s="3" t="s">
        <v>35</v>
      </c>
      <c r="D262" s="3" t="s">
        <v>24</v>
      </c>
      <c r="E262" s="3" t="s">
        <v>47</v>
      </c>
      <c r="F262" s="3">
        <v>0.0</v>
      </c>
      <c r="G262" s="3" t="s">
        <v>461</v>
      </c>
      <c r="H262" s="3">
        <v>300.0</v>
      </c>
      <c r="I262" s="3">
        <v>26.0</v>
      </c>
      <c r="J262" s="3">
        <v>71.0</v>
      </c>
      <c r="K262" s="3">
        <v>0.0115</v>
      </c>
      <c r="L262" s="3">
        <v>1671.70819473</v>
      </c>
      <c r="N262" s="3">
        <v>0.0</v>
      </c>
      <c r="O262" s="3">
        <v>500.0</v>
      </c>
      <c r="P262" s="3">
        <v>0.0</v>
      </c>
      <c r="Q262" s="3">
        <v>600.0</v>
      </c>
      <c r="S262" s="3">
        <v>0.236666666667</v>
      </c>
      <c r="T262" s="3">
        <v>0.0866666666667</v>
      </c>
      <c r="U262" s="3" t="s">
        <v>466</v>
      </c>
    </row>
    <row r="263">
      <c r="A263" s="3" t="s">
        <v>460</v>
      </c>
      <c r="B263" s="3" t="s">
        <v>22</v>
      </c>
      <c r="C263" s="3" t="s">
        <v>35</v>
      </c>
      <c r="D263" s="3" t="s">
        <v>24</v>
      </c>
      <c r="E263" s="3" t="s">
        <v>51</v>
      </c>
      <c r="F263" s="3">
        <v>0.0</v>
      </c>
      <c r="G263" s="3" t="s">
        <v>461</v>
      </c>
      <c r="H263" s="3">
        <v>368.0</v>
      </c>
      <c r="I263" s="3">
        <v>91.0</v>
      </c>
      <c r="J263" s="3">
        <v>185.0</v>
      </c>
      <c r="K263" s="3">
        <v>0.0375</v>
      </c>
      <c r="L263" s="3">
        <v>1750.29891968</v>
      </c>
      <c r="N263" s="3">
        <v>0.0</v>
      </c>
      <c r="O263" s="3">
        <v>500.0</v>
      </c>
      <c r="P263" s="3">
        <v>0.0</v>
      </c>
      <c r="Q263" s="3">
        <v>736.0</v>
      </c>
      <c r="S263" s="3">
        <v>0.502717391304</v>
      </c>
      <c r="T263" s="3">
        <v>0.247282608696</v>
      </c>
      <c r="U263" s="3" t="s">
        <v>467</v>
      </c>
    </row>
    <row r="264">
      <c r="A264" s="3" t="s">
        <v>460</v>
      </c>
      <c r="B264" s="3" t="s">
        <v>22</v>
      </c>
      <c r="C264" s="3" t="s">
        <v>35</v>
      </c>
      <c r="D264" s="3" t="s">
        <v>54</v>
      </c>
      <c r="E264" s="3" t="s">
        <v>25</v>
      </c>
      <c r="F264" s="3">
        <v>0.0</v>
      </c>
      <c r="G264" s="3" t="s">
        <v>461</v>
      </c>
      <c r="H264" s="3">
        <v>146.0</v>
      </c>
      <c r="I264" s="3">
        <v>0.0</v>
      </c>
      <c r="J264" s="3">
        <v>0.0</v>
      </c>
      <c r="K264" s="3">
        <v>0.117</v>
      </c>
      <c r="L264" s="3">
        <v>663.840190649</v>
      </c>
      <c r="N264" s="3">
        <v>0.0</v>
      </c>
      <c r="O264" s="3">
        <v>500.0</v>
      </c>
      <c r="P264" s="3">
        <v>0.0</v>
      </c>
      <c r="Q264" s="3">
        <v>292.0</v>
      </c>
      <c r="S264" s="3">
        <v>0.0</v>
      </c>
      <c r="T264" s="3">
        <v>0.0</v>
      </c>
      <c r="U264" s="3" t="s">
        <v>468</v>
      </c>
    </row>
    <row r="265">
      <c r="A265" s="3" t="s">
        <v>460</v>
      </c>
      <c r="B265" s="3" t="s">
        <v>22</v>
      </c>
      <c r="C265" s="3" t="s">
        <v>35</v>
      </c>
      <c r="D265" s="3" t="s">
        <v>54</v>
      </c>
      <c r="E265" s="3" t="s">
        <v>34</v>
      </c>
      <c r="F265" s="3">
        <v>0.0</v>
      </c>
      <c r="G265" s="3" t="s">
        <v>461</v>
      </c>
      <c r="H265" s="3">
        <v>1282.0</v>
      </c>
      <c r="I265" s="3">
        <v>7.0</v>
      </c>
      <c r="J265" s="3">
        <v>505.0</v>
      </c>
      <c r="K265" s="3">
        <v>0.181555555556</v>
      </c>
      <c r="L265" s="3">
        <v>10783.7704554</v>
      </c>
      <c r="M265" s="3">
        <v>161.0</v>
      </c>
      <c r="N265" s="3">
        <v>5.0</v>
      </c>
      <c r="O265" s="3">
        <v>1500.0</v>
      </c>
      <c r="P265" s="3">
        <v>3.33333333333</v>
      </c>
      <c r="Q265" s="3">
        <v>854.666666667</v>
      </c>
      <c r="R265" s="3">
        <v>256.4</v>
      </c>
      <c r="S265" s="3">
        <v>0.39391575663</v>
      </c>
      <c r="T265" s="3">
        <v>0.00546021840874</v>
      </c>
      <c r="U265" s="3" t="s">
        <v>469</v>
      </c>
    </row>
    <row r="266">
      <c r="A266" s="3" t="s">
        <v>460</v>
      </c>
      <c r="B266" s="3" t="s">
        <v>22</v>
      </c>
      <c r="C266" s="3" t="s">
        <v>35</v>
      </c>
      <c r="D266" s="3" t="s">
        <v>54</v>
      </c>
      <c r="E266" s="3" t="s">
        <v>39</v>
      </c>
      <c r="F266" s="3">
        <v>0.0</v>
      </c>
      <c r="G266" s="3" t="s">
        <v>461</v>
      </c>
      <c r="H266" s="3">
        <v>349.0</v>
      </c>
      <c r="I266" s="3">
        <v>0.0</v>
      </c>
      <c r="J266" s="3">
        <v>56.0</v>
      </c>
      <c r="K266" s="3">
        <v>0.1235</v>
      </c>
      <c r="L266" s="3">
        <v>2160.85673261</v>
      </c>
      <c r="N266" s="3">
        <v>0.0</v>
      </c>
      <c r="O266" s="3">
        <v>500.0</v>
      </c>
      <c r="P266" s="3">
        <v>0.0</v>
      </c>
      <c r="Q266" s="3">
        <v>698.0</v>
      </c>
      <c r="S266" s="3">
        <v>0.160458452722</v>
      </c>
      <c r="T266" s="3">
        <v>0.0</v>
      </c>
      <c r="U266" s="3" t="s">
        <v>470</v>
      </c>
    </row>
    <row r="267">
      <c r="A267" s="3" t="s">
        <v>460</v>
      </c>
      <c r="B267" s="3" t="s">
        <v>22</v>
      </c>
      <c r="C267" s="3" t="s">
        <v>35</v>
      </c>
      <c r="D267" s="3" t="s">
        <v>54</v>
      </c>
      <c r="E267" s="3" t="s">
        <v>43</v>
      </c>
      <c r="F267" s="3">
        <v>0.0</v>
      </c>
      <c r="G267" s="3" t="s">
        <v>461</v>
      </c>
      <c r="H267" s="3">
        <v>384.0</v>
      </c>
      <c r="I267" s="3">
        <v>2.0</v>
      </c>
      <c r="J267" s="3">
        <v>114.0</v>
      </c>
      <c r="K267" s="3">
        <v>0.155333333333</v>
      </c>
      <c r="L267" s="3">
        <v>2813.36717176</v>
      </c>
      <c r="N267" s="3">
        <v>0.0</v>
      </c>
      <c r="O267" s="3">
        <v>500.0</v>
      </c>
      <c r="P267" s="3">
        <v>0.0</v>
      </c>
      <c r="Q267" s="3">
        <v>768.0</v>
      </c>
      <c r="S267" s="3">
        <v>0.296875</v>
      </c>
      <c r="T267" s="3">
        <v>0.00520833333333</v>
      </c>
      <c r="U267" s="3" t="s">
        <v>471</v>
      </c>
    </row>
    <row r="268">
      <c r="A268" s="3" t="s">
        <v>460</v>
      </c>
      <c r="B268" s="3" t="s">
        <v>22</v>
      </c>
      <c r="C268" s="3" t="s">
        <v>35</v>
      </c>
      <c r="D268" s="3" t="s">
        <v>54</v>
      </c>
      <c r="E268" s="3" t="s">
        <v>47</v>
      </c>
      <c r="F268" s="3">
        <v>0.0</v>
      </c>
      <c r="G268" s="3" t="s">
        <v>461</v>
      </c>
      <c r="H268" s="3">
        <v>976.0</v>
      </c>
      <c r="I268" s="3">
        <v>7.0</v>
      </c>
      <c r="J268" s="3">
        <v>271.0</v>
      </c>
      <c r="K268" s="3">
        <v>0.174165120594</v>
      </c>
      <c r="L268" s="3">
        <v>11447.6114104</v>
      </c>
      <c r="M268" s="3">
        <v>108.0</v>
      </c>
      <c r="N268" s="3">
        <v>4.0</v>
      </c>
      <c r="O268" s="3">
        <v>1078.0</v>
      </c>
      <c r="P268" s="3">
        <v>3.71057513915</v>
      </c>
      <c r="Q268" s="3">
        <v>905.380333952</v>
      </c>
      <c r="R268" s="3">
        <v>244.0</v>
      </c>
      <c r="S268" s="3">
        <v>0.277663934426</v>
      </c>
      <c r="T268" s="3">
        <v>0.00717213114754</v>
      </c>
      <c r="U268" s="3" t="s">
        <v>472</v>
      </c>
    </row>
    <row r="269">
      <c r="A269" s="3" t="s">
        <v>460</v>
      </c>
      <c r="B269" s="3" t="s">
        <v>22</v>
      </c>
      <c r="C269" s="3" t="s">
        <v>35</v>
      </c>
      <c r="D269" s="3" t="s">
        <v>54</v>
      </c>
      <c r="E269" s="3" t="s">
        <v>51</v>
      </c>
      <c r="F269" s="3">
        <v>0.0</v>
      </c>
      <c r="G269" s="3" t="s">
        <v>461</v>
      </c>
      <c r="H269" s="3">
        <v>616.0</v>
      </c>
      <c r="I269" s="3">
        <v>0.0</v>
      </c>
      <c r="J269" s="3">
        <v>215.0</v>
      </c>
      <c r="K269" s="3">
        <v>0.16087962963</v>
      </c>
      <c r="L269" s="3">
        <v>5278.67874432</v>
      </c>
      <c r="M269" s="3">
        <v>256.0</v>
      </c>
      <c r="N269" s="3">
        <v>1.0</v>
      </c>
      <c r="O269" s="3">
        <v>756.0</v>
      </c>
      <c r="P269" s="3">
        <v>1.32275132275</v>
      </c>
      <c r="Q269" s="3">
        <v>814.814814815</v>
      </c>
      <c r="R269" s="3">
        <v>616.0</v>
      </c>
      <c r="S269" s="3">
        <v>0.349025974026</v>
      </c>
      <c r="T269" s="3">
        <v>0.0</v>
      </c>
      <c r="U269" s="3" t="s">
        <v>473</v>
      </c>
    </row>
    <row r="270">
      <c r="A270" s="3" t="s">
        <v>460</v>
      </c>
      <c r="B270" s="3" t="s">
        <v>22</v>
      </c>
      <c r="C270" s="3" t="s">
        <v>35</v>
      </c>
      <c r="D270" s="3" t="s">
        <v>72</v>
      </c>
      <c r="E270" s="3" t="s">
        <v>25</v>
      </c>
      <c r="F270" s="3">
        <v>0.0</v>
      </c>
      <c r="G270" s="3" t="s">
        <v>461</v>
      </c>
      <c r="H270" s="3">
        <v>775.0</v>
      </c>
      <c r="I270" s="3">
        <v>2.0</v>
      </c>
      <c r="J270" s="3">
        <v>1.0</v>
      </c>
      <c r="K270" s="3">
        <v>0.15811965812</v>
      </c>
      <c r="L270" s="3">
        <v>2066.1480422</v>
      </c>
      <c r="M270" s="3">
        <v>54.0</v>
      </c>
      <c r="N270" s="3">
        <v>9.0</v>
      </c>
      <c r="O270" s="3">
        <v>1989.0</v>
      </c>
      <c r="P270" s="3">
        <v>4.52488687783</v>
      </c>
      <c r="Q270" s="3">
        <v>389.643036702</v>
      </c>
      <c r="R270" s="3">
        <v>86.1111111111</v>
      </c>
      <c r="S270" s="3">
        <v>0.00129032258065</v>
      </c>
      <c r="T270" s="3">
        <v>0.00258064516129</v>
      </c>
      <c r="U270" s="3" t="s">
        <v>474</v>
      </c>
    </row>
    <row r="271">
      <c r="A271" s="3" t="s">
        <v>460</v>
      </c>
      <c r="B271" s="3" t="s">
        <v>22</v>
      </c>
      <c r="C271" s="3" t="s">
        <v>35</v>
      </c>
      <c r="D271" s="3" t="s">
        <v>72</v>
      </c>
      <c r="E271" s="3" t="s">
        <v>34</v>
      </c>
      <c r="F271" s="3">
        <v>0.0</v>
      </c>
      <c r="G271" s="3" t="s">
        <v>461</v>
      </c>
      <c r="H271" s="3">
        <v>2585.0</v>
      </c>
      <c r="I271" s="3">
        <v>1.0</v>
      </c>
      <c r="J271" s="3">
        <v>25.0</v>
      </c>
      <c r="K271" s="3">
        <v>0.205268389662</v>
      </c>
      <c r="L271" s="3">
        <v>12036.8783948</v>
      </c>
      <c r="M271" s="3">
        <v>71.0</v>
      </c>
      <c r="N271" s="3">
        <v>15.0</v>
      </c>
      <c r="O271" s="3">
        <v>3018.0</v>
      </c>
      <c r="P271" s="3">
        <v>4.97017892644</v>
      </c>
      <c r="Q271" s="3">
        <v>856.527501657</v>
      </c>
      <c r="R271" s="3">
        <v>172.333333333</v>
      </c>
      <c r="S271" s="3">
        <v>0.00967117988395</v>
      </c>
      <c r="T271" s="3">
        <v>3.86847195358E-4</v>
      </c>
      <c r="U271" s="3" t="s">
        <v>475</v>
      </c>
    </row>
    <row r="272">
      <c r="A272" s="3" t="s">
        <v>460</v>
      </c>
      <c r="B272" s="3" t="s">
        <v>22</v>
      </c>
      <c r="C272" s="3" t="s">
        <v>35</v>
      </c>
      <c r="D272" s="3" t="s">
        <v>72</v>
      </c>
      <c r="E272" s="3" t="s">
        <v>39</v>
      </c>
      <c r="F272" s="3">
        <v>0.0</v>
      </c>
      <c r="G272" s="3" t="s">
        <v>461</v>
      </c>
      <c r="H272" s="3">
        <v>172.0</v>
      </c>
      <c r="I272" s="3">
        <v>0.0</v>
      </c>
      <c r="J272" s="3">
        <v>0.0</v>
      </c>
      <c r="K272" s="3">
        <v>0.102</v>
      </c>
      <c r="L272" s="3">
        <v>509.600653887</v>
      </c>
      <c r="N272" s="3">
        <v>0.0</v>
      </c>
      <c r="O272" s="3">
        <v>500.0</v>
      </c>
      <c r="P272" s="3">
        <v>0.0</v>
      </c>
      <c r="Q272" s="3">
        <v>344.0</v>
      </c>
      <c r="S272" s="3">
        <v>0.0</v>
      </c>
      <c r="T272" s="3">
        <v>0.0</v>
      </c>
      <c r="U272" s="3" t="s">
        <v>476</v>
      </c>
    </row>
    <row r="273">
      <c r="A273" s="3" t="s">
        <v>460</v>
      </c>
      <c r="B273" s="3" t="s">
        <v>22</v>
      </c>
      <c r="C273" s="3" t="s">
        <v>35</v>
      </c>
      <c r="D273" s="3" t="s">
        <v>72</v>
      </c>
      <c r="E273" s="3" t="s">
        <v>43</v>
      </c>
      <c r="F273" s="3">
        <v>0.0</v>
      </c>
      <c r="G273" s="3" t="s">
        <v>461</v>
      </c>
      <c r="H273" s="3">
        <v>1463.0</v>
      </c>
      <c r="I273" s="3">
        <v>0.0</v>
      </c>
      <c r="J273" s="3">
        <v>5.0</v>
      </c>
      <c r="K273" s="3">
        <v>0.103741496599</v>
      </c>
      <c r="L273" s="3">
        <v>5583.53348255</v>
      </c>
      <c r="M273" s="3">
        <v>38.0</v>
      </c>
      <c r="N273" s="3">
        <v>16.0</v>
      </c>
      <c r="O273" s="3">
        <v>2254.0</v>
      </c>
      <c r="P273" s="3">
        <v>7.09849157054</v>
      </c>
      <c r="Q273" s="3">
        <v>649.068322981</v>
      </c>
      <c r="R273" s="3">
        <v>91.4375</v>
      </c>
      <c r="S273" s="3">
        <v>0.00341763499658</v>
      </c>
      <c r="T273" s="3">
        <v>0.0</v>
      </c>
      <c r="U273" s="3" t="s">
        <v>477</v>
      </c>
    </row>
    <row r="274">
      <c r="A274" s="3" t="s">
        <v>460</v>
      </c>
      <c r="B274" s="3" t="s">
        <v>22</v>
      </c>
      <c r="C274" s="3" t="s">
        <v>35</v>
      </c>
      <c r="D274" s="3" t="s">
        <v>72</v>
      </c>
      <c r="E274" s="3" t="s">
        <v>47</v>
      </c>
      <c r="F274" s="3">
        <v>0.0</v>
      </c>
      <c r="G274" s="3" t="s">
        <v>461</v>
      </c>
      <c r="H274" s="3">
        <v>1295.0</v>
      </c>
      <c r="I274" s="3">
        <v>3.0</v>
      </c>
      <c r="J274" s="3">
        <v>24.0</v>
      </c>
      <c r="K274" s="3">
        <v>0.164343683839</v>
      </c>
      <c r="L274" s="3">
        <v>8965.84096479</v>
      </c>
      <c r="M274" s="3">
        <v>52.0</v>
      </c>
      <c r="N274" s="3">
        <v>8.0</v>
      </c>
      <c r="O274" s="3">
        <v>1417.0</v>
      </c>
      <c r="P274" s="3">
        <v>5.64573041637</v>
      </c>
      <c r="Q274" s="3">
        <v>913.90261115</v>
      </c>
      <c r="R274" s="3">
        <v>161.875</v>
      </c>
      <c r="S274" s="3">
        <v>0.0185328185328</v>
      </c>
      <c r="T274" s="3">
        <v>0.0023166023166</v>
      </c>
      <c r="U274" s="3" t="s">
        <v>478</v>
      </c>
    </row>
    <row r="275">
      <c r="A275" s="3" t="s">
        <v>460</v>
      </c>
      <c r="B275" s="3" t="s">
        <v>22</v>
      </c>
      <c r="C275" s="3" t="s">
        <v>35</v>
      </c>
      <c r="D275" s="3" t="s">
        <v>72</v>
      </c>
      <c r="E275" s="3" t="s">
        <v>51</v>
      </c>
      <c r="F275" s="3">
        <v>0.0</v>
      </c>
      <c r="G275" s="3" t="s">
        <v>461</v>
      </c>
      <c r="H275" s="3">
        <v>1758.0</v>
      </c>
      <c r="I275" s="3">
        <v>1.0</v>
      </c>
      <c r="J275" s="3">
        <v>24.0</v>
      </c>
      <c r="K275" s="3">
        <v>0.0853302456706</v>
      </c>
      <c r="L275" s="3">
        <v>8247.30260348</v>
      </c>
      <c r="M275" s="3">
        <v>30.0</v>
      </c>
      <c r="N275" s="3">
        <v>14.0</v>
      </c>
      <c r="O275" s="3">
        <v>2483.0</v>
      </c>
      <c r="P275" s="3">
        <v>5.63834071687</v>
      </c>
      <c r="Q275" s="3">
        <v>708.01449859</v>
      </c>
      <c r="R275" s="3">
        <v>125.571428571</v>
      </c>
      <c r="S275" s="3">
        <v>0.0136518771331</v>
      </c>
      <c r="T275" s="3">
        <v>5.68828213879E-4</v>
      </c>
      <c r="U275" s="3" t="s">
        <v>479</v>
      </c>
    </row>
    <row r="276">
      <c r="A276" s="3" t="s">
        <v>460</v>
      </c>
      <c r="B276" s="3" t="s">
        <v>22</v>
      </c>
      <c r="C276" s="3" t="s">
        <v>23</v>
      </c>
      <c r="D276" s="3" t="s">
        <v>24</v>
      </c>
      <c r="E276" s="3" t="s">
        <v>25</v>
      </c>
      <c r="F276" s="3">
        <v>0.0</v>
      </c>
      <c r="G276" s="3" t="s">
        <v>480</v>
      </c>
      <c r="H276" s="3">
        <v>417.0</v>
      </c>
      <c r="I276" s="3" t="s">
        <v>27</v>
      </c>
      <c r="J276" s="3">
        <v>2.0</v>
      </c>
      <c r="K276" s="3">
        <v>0.019</v>
      </c>
      <c r="L276" s="3">
        <v>1054.63310146</v>
      </c>
      <c r="N276" s="3">
        <v>0.0</v>
      </c>
      <c r="O276" s="3">
        <v>500.0</v>
      </c>
      <c r="P276" s="3">
        <v>0.0</v>
      </c>
      <c r="Q276" s="3">
        <v>834.0</v>
      </c>
      <c r="S276" s="3">
        <v>0.00479616306954</v>
      </c>
      <c r="T276" s="3" t="s">
        <v>27</v>
      </c>
      <c r="U276" s="3" t="s">
        <v>481</v>
      </c>
    </row>
    <row r="277">
      <c r="A277" s="3" t="s">
        <v>460</v>
      </c>
      <c r="B277" s="3" t="s">
        <v>22</v>
      </c>
      <c r="C277" s="3" t="s">
        <v>23</v>
      </c>
      <c r="D277" s="3" t="s">
        <v>24</v>
      </c>
      <c r="E277" s="3" t="s">
        <v>34</v>
      </c>
      <c r="F277" s="3">
        <v>0.0</v>
      </c>
      <c r="G277" s="3" t="s">
        <v>480</v>
      </c>
      <c r="H277" s="3">
        <v>424.0</v>
      </c>
      <c r="I277" s="3" t="s">
        <v>27</v>
      </c>
      <c r="J277" s="3">
        <v>329.0</v>
      </c>
      <c r="K277" s="3">
        <v>0.178</v>
      </c>
      <c r="L277" s="3">
        <v>674.462373257</v>
      </c>
      <c r="N277" s="3">
        <v>0.0</v>
      </c>
      <c r="O277" s="3">
        <v>500.0</v>
      </c>
      <c r="P277" s="3">
        <v>0.0</v>
      </c>
      <c r="Q277" s="3">
        <v>848.0</v>
      </c>
      <c r="S277" s="3">
        <v>0.775943396226</v>
      </c>
      <c r="T277" s="3" t="s">
        <v>27</v>
      </c>
      <c r="U277" s="3" t="s">
        <v>482</v>
      </c>
    </row>
    <row r="278">
      <c r="A278" s="3" t="s">
        <v>460</v>
      </c>
      <c r="B278" s="3" t="s">
        <v>22</v>
      </c>
      <c r="C278" s="3" t="s">
        <v>23</v>
      </c>
      <c r="D278" s="3" t="s">
        <v>24</v>
      </c>
      <c r="E278" s="3" t="s">
        <v>39</v>
      </c>
      <c r="F278" s="3">
        <v>0.0</v>
      </c>
      <c r="G278" s="3" t="s">
        <v>480</v>
      </c>
      <c r="H278" s="3">
        <v>358.0</v>
      </c>
      <c r="I278" s="3" t="s">
        <v>27</v>
      </c>
      <c r="J278" s="3">
        <v>254.0</v>
      </c>
      <c r="K278" s="3">
        <v>0.0845</v>
      </c>
      <c r="L278" s="3">
        <v>493.936107159</v>
      </c>
      <c r="N278" s="3">
        <v>0.0</v>
      </c>
      <c r="O278" s="3">
        <v>500.0</v>
      </c>
      <c r="P278" s="3">
        <v>0.0</v>
      </c>
      <c r="Q278" s="3">
        <v>716.0</v>
      </c>
      <c r="S278" s="3">
        <v>0.709497206704</v>
      </c>
      <c r="T278" s="3" t="s">
        <v>27</v>
      </c>
      <c r="U278" s="3" t="s">
        <v>483</v>
      </c>
    </row>
    <row r="279">
      <c r="A279" s="3" t="s">
        <v>460</v>
      </c>
      <c r="B279" s="3" t="s">
        <v>22</v>
      </c>
      <c r="C279" s="3" t="s">
        <v>23</v>
      </c>
      <c r="D279" s="3" t="s">
        <v>24</v>
      </c>
      <c r="E279" s="3" t="s">
        <v>43</v>
      </c>
      <c r="F279" s="3">
        <v>0.0</v>
      </c>
      <c r="G279" s="3" t="s">
        <v>480</v>
      </c>
      <c r="H279" s="3">
        <v>409.0</v>
      </c>
      <c r="I279" s="3" t="s">
        <v>27</v>
      </c>
      <c r="J279" s="3">
        <v>268.0</v>
      </c>
      <c r="K279" s="3">
        <v>0.126333333333</v>
      </c>
      <c r="L279" s="3">
        <v>631.144761324</v>
      </c>
      <c r="N279" s="3">
        <v>0.0</v>
      </c>
      <c r="O279" s="3">
        <v>500.0</v>
      </c>
      <c r="P279" s="3">
        <v>0.0</v>
      </c>
      <c r="Q279" s="3">
        <v>818.0</v>
      </c>
      <c r="S279" s="3">
        <v>0.655256723716</v>
      </c>
      <c r="T279" s="3" t="s">
        <v>27</v>
      </c>
      <c r="U279" s="3" t="s">
        <v>484</v>
      </c>
    </row>
    <row r="280">
      <c r="A280" s="3" t="s">
        <v>460</v>
      </c>
      <c r="B280" s="3" t="s">
        <v>22</v>
      </c>
      <c r="C280" s="3" t="s">
        <v>23</v>
      </c>
      <c r="D280" s="3" t="s">
        <v>24</v>
      </c>
      <c r="E280" s="3" t="s">
        <v>47</v>
      </c>
      <c r="F280" s="3">
        <v>0.0</v>
      </c>
      <c r="G280" s="3" t="s">
        <v>480</v>
      </c>
      <c r="H280" s="3">
        <v>689.0</v>
      </c>
      <c r="I280" s="3" t="s">
        <v>27</v>
      </c>
      <c r="J280" s="3">
        <v>548.0</v>
      </c>
      <c r="K280" s="3">
        <v>0.182391008174</v>
      </c>
      <c r="L280" s="3">
        <v>1301.84705496</v>
      </c>
      <c r="M280" s="3">
        <v>234.0</v>
      </c>
      <c r="N280" s="3">
        <v>1.0</v>
      </c>
      <c r="O280" s="3">
        <v>734.0</v>
      </c>
      <c r="P280" s="3">
        <v>1.36239782016</v>
      </c>
      <c r="Q280" s="3">
        <v>938.692098093</v>
      </c>
      <c r="R280" s="3">
        <v>689.0</v>
      </c>
      <c r="S280" s="3">
        <v>0.795355587808</v>
      </c>
      <c r="T280" s="3" t="s">
        <v>27</v>
      </c>
      <c r="U280" s="3" t="s">
        <v>485</v>
      </c>
    </row>
    <row r="281">
      <c r="A281" s="3" t="s">
        <v>460</v>
      </c>
      <c r="B281" s="3" t="s">
        <v>22</v>
      </c>
      <c r="C281" s="3" t="s">
        <v>23</v>
      </c>
      <c r="D281" s="3" t="s">
        <v>24</v>
      </c>
      <c r="E281" s="3" t="s">
        <v>51</v>
      </c>
      <c r="F281" s="3">
        <v>0.0</v>
      </c>
      <c r="G281" s="3" t="s">
        <v>480</v>
      </c>
      <c r="H281" s="3">
        <v>422.0</v>
      </c>
      <c r="I281" s="3" t="s">
        <v>27</v>
      </c>
      <c r="J281" s="3">
        <v>289.0</v>
      </c>
      <c r="K281" s="3">
        <v>0.06775</v>
      </c>
      <c r="L281" s="3">
        <v>740.495167494</v>
      </c>
      <c r="N281" s="3">
        <v>0.0</v>
      </c>
      <c r="O281" s="3">
        <v>500.0</v>
      </c>
      <c r="P281" s="3">
        <v>0.0</v>
      </c>
      <c r="Q281" s="3">
        <v>844.0</v>
      </c>
      <c r="S281" s="3">
        <v>0.684834123223</v>
      </c>
      <c r="T281" s="3" t="s">
        <v>27</v>
      </c>
      <c r="U281" s="3" t="s">
        <v>488</v>
      </c>
    </row>
    <row r="282">
      <c r="A282" s="3" t="s">
        <v>460</v>
      </c>
      <c r="B282" s="3" t="s">
        <v>22</v>
      </c>
      <c r="C282" s="3" t="s">
        <v>23</v>
      </c>
      <c r="D282" s="3" t="s">
        <v>54</v>
      </c>
      <c r="E282" s="3" t="s">
        <v>25</v>
      </c>
      <c r="F282" s="3">
        <v>0.0</v>
      </c>
      <c r="G282" s="3" t="s">
        <v>480</v>
      </c>
      <c r="H282" s="3">
        <v>295.0</v>
      </c>
      <c r="I282" s="3" t="s">
        <v>27</v>
      </c>
      <c r="J282" s="3">
        <v>21.0</v>
      </c>
      <c r="K282" s="3">
        <v>0.182</v>
      </c>
      <c r="L282" s="3">
        <v>1943.90173554</v>
      </c>
      <c r="N282" s="3">
        <v>0.0</v>
      </c>
      <c r="O282" s="3">
        <v>500.0</v>
      </c>
      <c r="P282" s="3">
        <v>0.0</v>
      </c>
      <c r="Q282" s="3">
        <v>590.0</v>
      </c>
      <c r="S282" s="3">
        <v>0.071186440678</v>
      </c>
      <c r="T282" s="3" t="s">
        <v>27</v>
      </c>
      <c r="U282" s="3" t="s">
        <v>489</v>
      </c>
    </row>
    <row r="283">
      <c r="A283" s="3" t="s">
        <v>460</v>
      </c>
      <c r="B283" s="3" t="s">
        <v>22</v>
      </c>
      <c r="C283" s="3" t="s">
        <v>23</v>
      </c>
      <c r="D283" s="3" t="s">
        <v>54</v>
      </c>
      <c r="E283" s="3" t="s">
        <v>34</v>
      </c>
      <c r="F283" s="3">
        <v>0.0</v>
      </c>
      <c r="G283" s="3" t="s">
        <v>480</v>
      </c>
      <c r="H283" s="3">
        <v>445.0</v>
      </c>
      <c r="I283" s="3" t="s">
        <v>27</v>
      </c>
      <c r="J283" s="3">
        <v>475.0</v>
      </c>
      <c r="K283" s="3">
        <v>0.351666666667</v>
      </c>
      <c r="L283" s="3">
        <v>3837.24883842</v>
      </c>
      <c r="N283" s="3">
        <v>0.0</v>
      </c>
      <c r="O283" s="3">
        <v>500.0</v>
      </c>
      <c r="P283" s="3">
        <v>0.0</v>
      </c>
      <c r="Q283" s="3">
        <v>890.0</v>
      </c>
      <c r="S283" s="3">
        <v>1.06741573034</v>
      </c>
      <c r="T283" s="3" t="s">
        <v>27</v>
      </c>
      <c r="U283" s="3" t="s">
        <v>490</v>
      </c>
    </row>
    <row r="284">
      <c r="A284" s="3" t="s">
        <v>460</v>
      </c>
      <c r="B284" s="3" t="s">
        <v>22</v>
      </c>
      <c r="C284" s="3" t="s">
        <v>23</v>
      </c>
      <c r="D284" s="3" t="s">
        <v>54</v>
      </c>
      <c r="E284" s="3" t="s">
        <v>39</v>
      </c>
      <c r="F284" s="3">
        <v>0.0</v>
      </c>
      <c r="G284" s="3" t="s">
        <v>480</v>
      </c>
      <c r="H284" s="3">
        <v>271.0</v>
      </c>
      <c r="I284" s="3" t="s">
        <v>27</v>
      </c>
      <c r="J284" s="3">
        <v>56.0</v>
      </c>
      <c r="K284" s="3">
        <v>0.129</v>
      </c>
      <c r="L284" s="3">
        <v>1654.15617371</v>
      </c>
      <c r="N284" s="3">
        <v>0.0</v>
      </c>
      <c r="O284" s="3">
        <v>500.0</v>
      </c>
      <c r="P284" s="3">
        <v>0.0</v>
      </c>
      <c r="Q284" s="3">
        <v>542.0</v>
      </c>
      <c r="S284" s="3">
        <v>0.206642066421</v>
      </c>
      <c r="T284" s="3" t="s">
        <v>27</v>
      </c>
      <c r="U284" s="3" t="s">
        <v>491</v>
      </c>
    </row>
    <row r="285">
      <c r="A285" s="3" t="s">
        <v>460</v>
      </c>
      <c r="B285" s="3" t="s">
        <v>22</v>
      </c>
      <c r="C285" s="3" t="s">
        <v>23</v>
      </c>
      <c r="D285" s="3" t="s">
        <v>54</v>
      </c>
      <c r="E285" s="3" t="s">
        <v>43</v>
      </c>
      <c r="F285" s="3">
        <v>0.0</v>
      </c>
      <c r="G285" s="3" t="s">
        <v>480</v>
      </c>
      <c r="H285" s="3">
        <v>1758.0</v>
      </c>
      <c r="I285" s="3" t="s">
        <v>27</v>
      </c>
      <c r="J285" s="3">
        <v>671.0</v>
      </c>
      <c r="K285" s="3">
        <v>0.147723869422</v>
      </c>
      <c r="L285" s="3">
        <v>11450.0588758</v>
      </c>
      <c r="M285" s="3">
        <v>164.0</v>
      </c>
      <c r="N285" s="3">
        <v>20.0</v>
      </c>
      <c r="O285" s="3">
        <v>2226.0</v>
      </c>
      <c r="P285" s="3">
        <v>8.98472596586</v>
      </c>
      <c r="Q285" s="3">
        <v>789.757412399</v>
      </c>
      <c r="R285" s="3">
        <v>87.9</v>
      </c>
      <c r="S285" s="3">
        <v>0.381683731513</v>
      </c>
      <c r="T285" s="3" t="s">
        <v>27</v>
      </c>
      <c r="U285" s="3" t="s">
        <v>492</v>
      </c>
    </row>
    <row r="286">
      <c r="A286" s="3" t="s">
        <v>460</v>
      </c>
      <c r="B286" s="3" t="s">
        <v>22</v>
      </c>
      <c r="C286" s="3" t="s">
        <v>23</v>
      </c>
      <c r="D286" s="3" t="s">
        <v>54</v>
      </c>
      <c r="E286" s="3" t="s">
        <v>47</v>
      </c>
      <c r="F286" s="3">
        <v>0.0</v>
      </c>
      <c r="G286" s="3" t="s">
        <v>480</v>
      </c>
      <c r="H286" s="3">
        <v>1989.0</v>
      </c>
      <c r="I286" s="3" t="s">
        <v>27</v>
      </c>
      <c r="J286" s="3">
        <v>1437.0</v>
      </c>
      <c r="K286" s="3">
        <v>0.174899598394</v>
      </c>
      <c r="L286" s="3">
        <v>15927.1483929</v>
      </c>
      <c r="M286" s="3">
        <v>109.0</v>
      </c>
      <c r="N286" s="3">
        <v>20.0</v>
      </c>
      <c r="O286" s="3">
        <v>2490.0</v>
      </c>
      <c r="P286" s="3">
        <v>8.03212851406</v>
      </c>
      <c r="Q286" s="3">
        <v>798.795180723</v>
      </c>
      <c r="R286" s="3">
        <v>99.45</v>
      </c>
      <c r="S286" s="3">
        <v>0.722473604827</v>
      </c>
      <c r="T286" s="3" t="s">
        <v>27</v>
      </c>
      <c r="U286" s="3" t="s">
        <v>493</v>
      </c>
    </row>
    <row r="287">
      <c r="A287" s="3" t="s">
        <v>460</v>
      </c>
      <c r="B287" s="3" t="s">
        <v>22</v>
      </c>
      <c r="C287" s="3" t="s">
        <v>23</v>
      </c>
      <c r="D287" s="3" t="s">
        <v>54</v>
      </c>
      <c r="E287" s="3" t="s">
        <v>51</v>
      </c>
      <c r="F287" s="3">
        <v>0.0</v>
      </c>
      <c r="G287" s="3" t="s">
        <v>480</v>
      </c>
      <c r="H287" s="3">
        <v>1299.0</v>
      </c>
      <c r="I287" s="3" t="s">
        <v>27</v>
      </c>
      <c r="J287" s="3">
        <v>405.0</v>
      </c>
      <c r="K287" s="3">
        <v>0.104016940452</v>
      </c>
      <c r="L287" s="3">
        <v>8700.79621458</v>
      </c>
      <c r="M287" s="3">
        <v>32.0</v>
      </c>
      <c r="N287" s="3">
        <v>20.0</v>
      </c>
      <c r="O287" s="3">
        <v>1948.0</v>
      </c>
      <c r="P287" s="3">
        <v>10.2669404517</v>
      </c>
      <c r="Q287" s="3">
        <v>666.837782341</v>
      </c>
      <c r="R287" s="3">
        <v>64.95</v>
      </c>
      <c r="S287" s="3">
        <v>0.311778290993</v>
      </c>
      <c r="T287" s="3" t="s">
        <v>27</v>
      </c>
      <c r="U287" s="3" t="s">
        <v>494</v>
      </c>
    </row>
    <row r="288">
      <c r="A288" s="3" t="s">
        <v>460</v>
      </c>
      <c r="B288" s="3" t="s">
        <v>22</v>
      </c>
      <c r="C288" s="3" t="s">
        <v>23</v>
      </c>
      <c r="D288" s="3" t="s">
        <v>72</v>
      </c>
      <c r="E288" s="3" t="s">
        <v>25</v>
      </c>
      <c r="F288" s="3">
        <v>0.0</v>
      </c>
      <c r="G288" s="3" t="s">
        <v>480</v>
      </c>
      <c r="H288" s="3">
        <v>1706.0</v>
      </c>
      <c r="I288" s="3" t="s">
        <v>27</v>
      </c>
      <c r="J288" s="3">
        <v>512.0</v>
      </c>
      <c r="K288" s="3">
        <v>0.202559576346</v>
      </c>
      <c r="L288" s="3">
        <v>4942.2343173</v>
      </c>
      <c r="M288" s="3">
        <v>326.0</v>
      </c>
      <c r="N288" s="3">
        <v>11.0</v>
      </c>
      <c r="O288" s="3">
        <v>3399.0</v>
      </c>
      <c r="P288" s="3">
        <v>3.23624595469</v>
      </c>
      <c r="Q288" s="3">
        <v>501.912327155</v>
      </c>
      <c r="R288" s="3">
        <v>155.090909091</v>
      </c>
      <c r="S288" s="3">
        <v>0.300117233294</v>
      </c>
      <c r="T288" s="3" t="s">
        <v>27</v>
      </c>
      <c r="U288" s="3" t="s">
        <v>495</v>
      </c>
    </row>
    <row r="289">
      <c r="A289" s="3" t="s">
        <v>460</v>
      </c>
      <c r="B289" s="3" t="s">
        <v>22</v>
      </c>
      <c r="C289" s="3" t="s">
        <v>23</v>
      </c>
      <c r="D289" s="3" t="s">
        <v>72</v>
      </c>
      <c r="E289" s="3" t="s">
        <v>34</v>
      </c>
      <c r="F289" s="3">
        <v>0.0</v>
      </c>
      <c r="G289" s="3" t="s">
        <v>480</v>
      </c>
      <c r="H289" s="3">
        <v>1652.0</v>
      </c>
      <c r="I289" s="3" t="s">
        <v>27</v>
      </c>
      <c r="J289" s="3">
        <v>1229.0</v>
      </c>
      <c r="K289" s="3">
        <v>0.275925925926</v>
      </c>
      <c r="L289" s="3">
        <v>8512.42551255</v>
      </c>
      <c r="M289" s="3">
        <v>84.0</v>
      </c>
      <c r="N289" s="3">
        <v>7.0</v>
      </c>
      <c r="O289" s="3">
        <v>1890.0</v>
      </c>
      <c r="P289" s="3">
        <v>3.7037037037</v>
      </c>
      <c r="Q289" s="3">
        <v>874.074074074</v>
      </c>
      <c r="R289" s="3">
        <v>236.0</v>
      </c>
      <c r="S289" s="3">
        <v>0.743946731235</v>
      </c>
      <c r="T289" s="3" t="s">
        <v>27</v>
      </c>
      <c r="U289" s="3" t="s">
        <v>496</v>
      </c>
    </row>
    <row r="290">
      <c r="A290" s="3" t="s">
        <v>460</v>
      </c>
      <c r="B290" s="3" t="s">
        <v>22</v>
      </c>
      <c r="C290" s="3" t="s">
        <v>23</v>
      </c>
      <c r="D290" s="3" t="s">
        <v>72</v>
      </c>
      <c r="E290" s="3" t="s">
        <v>39</v>
      </c>
      <c r="F290" s="3">
        <v>0.0</v>
      </c>
      <c r="G290" s="3" t="s">
        <v>480</v>
      </c>
      <c r="H290" s="3">
        <v>829.0</v>
      </c>
      <c r="I290" s="3" t="s">
        <v>27</v>
      </c>
      <c r="J290" s="3">
        <v>639.0</v>
      </c>
      <c r="K290" s="3">
        <v>0.200256191289</v>
      </c>
      <c r="L290" s="3">
        <v>2931.73224783</v>
      </c>
      <c r="M290" s="3">
        <v>91.0</v>
      </c>
      <c r="N290" s="3">
        <v>4.0</v>
      </c>
      <c r="O290" s="3">
        <v>1171.0</v>
      </c>
      <c r="P290" s="3">
        <v>3.41588385995</v>
      </c>
      <c r="Q290" s="3">
        <v>707.941929974</v>
      </c>
      <c r="R290" s="3">
        <v>207.25</v>
      </c>
      <c r="S290" s="3">
        <v>0.770808202654</v>
      </c>
      <c r="T290" s="3" t="s">
        <v>27</v>
      </c>
      <c r="U290" s="3" t="s">
        <v>497</v>
      </c>
    </row>
    <row r="291">
      <c r="A291" s="3" t="s">
        <v>460</v>
      </c>
      <c r="B291" s="3" t="s">
        <v>22</v>
      </c>
      <c r="C291" s="3" t="s">
        <v>23</v>
      </c>
      <c r="D291" s="3" t="s">
        <v>72</v>
      </c>
      <c r="E291" s="3" t="s">
        <v>43</v>
      </c>
      <c r="F291" s="3">
        <v>0.0</v>
      </c>
      <c r="G291" s="3" t="s">
        <v>480</v>
      </c>
      <c r="H291" s="3">
        <v>693.0</v>
      </c>
      <c r="I291" s="3" t="s">
        <v>27</v>
      </c>
      <c r="J291" s="3">
        <v>371.0</v>
      </c>
      <c r="K291" s="3">
        <v>0.134443541836</v>
      </c>
      <c r="L291" s="3">
        <v>2874.89664555</v>
      </c>
      <c r="M291" s="3">
        <v>58.0</v>
      </c>
      <c r="N291" s="3">
        <v>7.0</v>
      </c>
      <c r="O291" s="3">
        <v>1231.0</v>
      </c>
      <c r="P291" s="3">
        <v>5.68643379366</v>
      </c>
      <c r="Q291" s="3">
        <v>562.956945573</v>
      </c>
      <c r="R291" s="3">
        <v>99.0</v>
      </c>
      <c r="S291" s="3">
        <v>0.535353535354</v>
      </c>
      <c r="T291" s="3" t="s">
        <v>27</v>
      </c>
      <c r="U291" s="3" t="s">
        <v>498</v>
      </c>
    </row>
    <row r="292">
      <c r="A292" s="3" t="s">
        <v>460</v>
      </c>
      <c r="B292" s="3" t="s">
        <v>22</v>
      </c>
      <c r="C292" s="3" t="s">
        <v>23</v>
      </c>
      <c r="D292" s="3" t="s">
        <v>72</v>
      </c>
      <c r="E292" s="3" t="s">
        <v>47</v>
      </c>
      <c r="F292" s="3">
        <v>0.0</v>
      </c>
      <c r="G292" s="3" t="s">
        <v>480</v>
      </c>
      <c r="H292" s="3">
        <v>1205.0</v>
      </c>
      <c r="I292" s="3" t="s">
        <v>27</v>
      </c>
      <c r="J292" s="3">
        <v>779.0</v>
      </c>
      <c r="K292" s="3">
        <v>0.202822311289</v>
      </c>
      <c r="L292" s="3">
        <v>6418.67001748</v>
      </c>
      <c r="M292" s="3">
        <v>169.0</v>
      </c>
      <c r="N292" s="3">
        <v>7.0</v>
      </c>
      <c r="O292" s="3">
        <v>1497.0</v>
      </c>
      <c r="P292" s="3">
        <v>4.67601870407</v>
      </c>
      <c r="Q292" s="3">
        <v>804.943219773</v>
      </c>
      <c r="R292" s="3">
        <v>172.142857143</v>
      </c>
      <c r="S292" s="3">
        <v>0.646473029046</v>
      </c>
      <c r="T292" s="3" t="s">
        <v>27</v>
      </c>
      <c r="U292" s="3" t="s">
        <v>499</v>
      </c>
    </row>
    <row r="293">
      <c r="A293" s="3" t="s">
        <v>460</v>
      </c>
      <c r="B293" s="3" t="s">
        <v>22</v>
      </c>
      <c r="C293" s="3" t="s">
        <v>23</v>
      </c>
      <c r="D293" s="3" t="s">
        <v>72</v>
      </c>
      <c r="E293" s="3" t="s">
        <v>51</v>
      </c>
      <c r="F293" s="3">
        <v>0.0</v>
      </c>
      <c r="G293" s="3" t="s">
        <v>480</v>
      </c>
      <c r="H293" s="3">
        <v>1232.0</v>
      </c>
      <c r="I293" s="3" t="s">
        <v>27</v>
      </c>
      <c r="J293" s="3">
        <v>775.0</v>
      </c>
      <c r="K293" s="3">
        <v>0.0975529100529</v>
      </c>
      <c r="L293" s="3">
        <v>5538.48381305</v>
      </c>
      <c r="M293" s="3">
        <v>65.0</v>
      </c>
      <c r="N293" s="3">
        <v>13.0</v>
      </c>
      <c r="O293" s="3">
        <v>2268.0</v>
      </c>
      <c r="P293" s="3">
        <v>5.73192239859</v>
      </c>
      <c r="Q293" s="3">
        <v>543.209876543</v>
      </c>
      <c r="R293" s="3">
        <v>94.7692307692</v>
      </c>
      <c r="S293" s="3">
        <v>0.629058441558</v>
      </c>
      <c r="T293" s="3" t="s">
        <v>27</v>
      </c>
      <c r="U293" s="3" t="s">
        <v>500</v>
      </c>
    </row>
    <row r="294">
      <c r="A294" s="3" t="s">
        <v>460</v>
      </c>
      <c r="B294" s="3" t="s">
        <v>114</v>
      </c>
      <c r="C294" s="3" t="s">
        <v>35</v>
      </c>
      <c r="D294" s="3" t="s">
        <v>24</v>
      </c>
      <c r="E294" s="3" t="s">
        <v>25</v>
      </c>
      <c r="F294" s="3">
        <v>0.0</v>
      </c>
      <c r="G294" s="3" t="s">
        <v>461</v>
      </c>
      <c r="H294" s="3">
        <v>592.0</v>
      </c>
      <c r="I294" s="3">
        <v>0.0</v>
      </c>
      <c r="J294" s="3">
        <v>0.0</v>
      </c>
      <c r="K294" s="3">
        <v>0.00505902192243</v>
      </c>
      <c r="L294" s="3">
        <v>632.258664131</v>
      </c>
      <c r="M294" s="3">
        <v>93.0</v>
      </c>
      <c r="N294" s="3">
        <v>1.0</v>
      </c>
      <c r="O294" s="3">
        <v>593.0</v>
      </c>
      <c r="P294" s="3">
        <v>1.68634064081</v>
      </c>
      <c r="Q294" s="3">
        <v>998.313659359</v>
      </c>
      <c r="R294" s="3">
        <v>592.0</v>
      </c>
      <c r="S294" s="3">
        <v>0.0</v>
      </c>
      <c r="T294" s="3">
        <v>0.0</v>
      </c>
      <c r="U294" s="3" t="s">
        <v>501</v>
      </c>
    </row>
    <row r="295">
      <c r="A295" s="3" t="s">
        <v>460</v>
      </c>
      <c r="B295" s="3" t="s">
        <v>114</v>
      </c>
      <c r="C295" s="3" t="s">
        <v>35</v>
      </c>
      <c r="D295" s="3" t="s">
        <v>24</v>
      </c>
      <c r="E295" s="3" t="s">
        <v>34</v>
      </c>
      <c r="F295" s="3">
        <v>0.0</v>
      </c>
      <c r="G295" s="3" t="s">
        <v>461</v>
      </c>
      <c r="H295" s="3">
        <v>1954.0</v>
      </c>
      <c r="I295" s="3">
        <v>0.0</v>
      </c>
      <c r="J295" s="3">
        <v>0.0</v>
      </c>
      <c r="K295" s="3">
        <v>0.0727757277573</v>
      </c>
      <c r="L295" s="3">
        <v>2588.83282638</v>
      </c>
      <c r="M295" s="3">
        <v>23.0</v>
      </c>
      <c r="N295" s="3">
        <v>3.0</v>
      </c>
      <c r="O295" s="3">
        <v>813.0</v>
      </c>
      <c r="P295" s="3">
        <v>3.69003690037</v>
      </c>
      <c r="Q295" s="3">
        <v>2403.44403444</v>
      </c>
      <c r="R295" s="3">
        <v>651.333333333</v>
      </c>
      <c r="S295" s="3">
        <v>0.0</v>
      </c>
      <c r="T295" s="3">
        <v>0.0</v>
      </c>
      <c r="U295" s="3" t="s">
        <v>502</v>
      </c>
    </row>
    <row r="296">
      <c r="A296" s="3" t="s">
        <v>460</v>
      </c>
      <c r="B296" s="3" t="s">
        <v>114</v>
      </c>
      <c r="C296" s="3" t="s">
        <v>35</v>
      </c>
      <c r="D296" s="3" t="s">
        <v>24</v>
      </c>
      <c r="E296" s="3" t="s">
        <v>39</v>
      </c>
      <c r="F296" s="3">
        <v>0.0</v>
      </c>
      <c r="G296" s="3" t="s">
        <v>461</v>
      </c>
      <c r="H296" s="3">
        <v>1312.0</v>
      </c>
      <c r="I296" s="3">
        <v>0.0</v>
      </c>
      <c r="J296" s="3">
        <v>0.0</v>
      </c>
      <c r="K296" s="3">
        <v>0.0213709677419</v>
      </c>
      <c r="L296" s="3">
        <v>1683.77764773</v>
      </c>
      <c r="M296" s="3">
        <v>46.0</v>
      </c>
      <c r="N296" s="3">
        <v>3.0</v>
      </c>
      <c r="O296" s="3">
        <v>620.0</v>
      </c>
      <c r="P296" s="3">
        <v>4.83870967742</v>
      </c>
      <c r="Q296" s="3">
        <v>2116.12903226</v>
      </c>
      <c r="R296" s="3">
        <v>437.333333333</v>
      </c>
      <c r="S296" s="3">
        <v>0.0</v>
      </c>
      <c r="T296" s="3">
        <v>0.0</v>
      </c>
      <c r="U296" s="3" t="s">
        <v>503</v>
      </c>
    </row>
    <row r="297">
      <c r="A297" s="3" t="s">
        <v>460</v>
      </c>
      <c r="B297" s="3" t="s">
        <v>114</v>
      </c>
      <c r="C297" s="3" t="s">
        <v>35</v>
      </c>
      <c r="D297" s="3" t="s">
        <v>24</v>
      </c>
      <c r="E297" s="3" t="s">
        <v>43</v>
      </c>
      <c r="F297" s="3">
        <v>0.0</v>
      </c>
      <c r="G297" s="3" t="s">
        <v>461</v>
      </c>
      <c r="H297" s="3">
        <v>3646.0</v>
      </c>
      <c r="I297" s="3">
        <v>0.0</v>
      </c>
      <c r="J297" s="3">
        <v>0.0</v>
      </c>
      <c r="K297" s="3">
        <v>0.0383432212701</v>
      </c>
      <c r="L297" s="3">
        <v>4254.4590168</v>
      </c>
      <c r="M297" s="3">
        <v>24.0</v>
      </c>
      <c r="N297" s="3">
        <v>5.0</v>
      </c>
      <c r="O297" s="3">
        <v>1517.0</v>
      </c>
      <c r="P297" s="3">
        <v>3.29597890574</v>
      </c>
      <c r="Q297" s="3">
        <v>2403.42781806</v>
      </c>
      <c r="R297" s="3">
        <v>729.2</v>
      </c>
      <c r="S297" s="3">
        <v>0.0</v>
      </c>
      <c r="T297" s="3">
        <v>0.0</v>
      </c>
      <c r="U297" s="3" t="s">
        <v>504</v>
      </c>
    </row>
    <row r="298">
      <c r="A298" s="3" t="s">
        <v>460</v>
      </c>
      <c r="B298" s="3" t="s">
        <v>114</v>
      </c>
      <c r="C298" s="3" t="s">
        <v>35</v>
      </c>
      <c r="D298" s="3" t="s">
        <v>24</v>
      </c>
      <c r="E298" s="3" t="s">
        <v>47</v>
      </c>
      <c r="F298" s="3">
        <v>0.0</v>
      </c>
      <c r="G298" s="3" t="s">
        <v>461</v>
      </c>
      <c r="H298" s="3">
        <v>1333.0</v>
      </c>
      <c r="I298" s="3">
        <v>0.0</v>
      </c>
      <c r="J298" s="3">
        <v>0.0</v>
      </c>
      <c r="K298" s="3">
        <v>0.00710702341137</v>
      </c>
      <c r="L298" s="3">
        <v>2037.28613877</v>
      </c>
      <c r="M298" s="3">
        <v>66.0</v>
      </c>
      <c r="N298" s="3">
        <v>3.0</v>
      </c>
      <c r="O298" s="3">
        <v>598.0</v>
      </c>
      <c r="P298" s="3">
        <v>5.01672240803</v>
      </c>
      <c r="Q298" s="3">
        <v>2229.09698997</v>
      </c>
      <c r="R298" s="3">
        <v>444.333333333</v>
      </c>
      <c r="S298" s="3">
        <v>0.0</v>
      </c>
      <c r="T298" s="3">
        <v>0.0</v>
      </c>
      <c r="U298" s="3" t="s">
        <v>505</v>
      </c>
    </row>
    <row r="299">
      <c r="A299" s="3" t="s">
        <v>460</v>
      </c>
      <c r="B299" s="3" t="s">
        <v>114</v>
      </c>
      <c r="C299" s="3" t="s">
        <v>35</v>
      </c>
      <c r="D299" s="3" t="s">
        <v>24</v>
      </c>
      <c r="E299" s="3" t="s">
        <v>51</v>
      </c>
      <c r="F299" s="3">
        <v>0.0</v>
      </c>
      <c r="G299" s="3" t="s">
        <v>461</v>
      </c>
      <c r="H299" s="3">
        <v>2341.0</v>
      </c>
      <c r="I299" s="3">
        <v>0.0</v>
      </c>
      <c r="J299" s="3">
        <v>0.0</v>
      </c>
      <c r="K299" s="3">
        <v>0.00357142857143</v>
      </c>
      <c r="L299" s="3">
        <v>3449.40560937</v>
      </c>
      <c r="M299" s="3">
        <v>29.0</v>
      </c>
      <c r="N299" s="3">
        <v>3.0</v>
      </c>
      <c r="O299" s="3">
        <v>595.0</v>
      </c>
      <c r="P299" s="3">
        <v>5.04201680672</v>
      </c>
      <c r="Q299" s="3">
        <v>3934.45378151</v>
      </c>
      <c r="R299" s="3">
        <v>780.333333333</v>
      </c>
      <c r="S299" s="3">
        <v>0.0</v>
      </c>
      <c r="T299" s="3">
        <v>0.0</v>
      </c>
      <c r="U299" s="3" t="s">
        <v>506</v>
      </c>
    </row>
    <row r="300">
      <c r="A300" s="3" t="s">
        <v>460</v>
      </c>
      <c r="B300" s="3" t="s">
        <v>114</v>
      </c>
      <c r="C300" s="3" t="s">
        <v>35</v>
      </c>
      <c r="D300" s="3" t="s">
        <v>54</v>
      </c>
      <c r="E300" s="3" t="s">
        <v>25</v>
      </c>
      <c r="F300" s="3">
        <v>0.0</v>
      </c>
      <c r="G300" s="3" t="s">
        <v>461</v>
      </c>
      <c r="H300" s="3">
        <v>329.0</v>
      </c>
      <c r="I300" s="3">
        <v>0.0</v>
      </c>
      <c r="J300" s="3">
        <v>0.0</v>
      </c>
      <c r="K300" s="3">
        <v>0.11452991453</v>
      </c>
      <c r="L300" s="3">
        <v>1031.5107913</v>
      </c>
      <c r="M300" s="3">
        <v>35.0</v>
      </c>
      <c r="N300" s="3">
        <v>2.0</v>
      </c>
      <c r="O300" s="3">
        <v>585.0</v>
      </c>
      <c r="P300" s="3">
        <v>3.4188034188</v>
      </c>
      <c r="Q300" s="3">
        <v>562.393162393</v>
      </c>
      <c r="R300" s="3">
        <v>164.5</v>
      </c>
      <c r="S300" s="3">
        <v>0.0</v>
      </c>
      <c r="T300" s="3">
        <v>0.0</v>
      </c>
      <c r="U300" s="3" t="s">
        <v>507</v>
      </c>
    </row>
    <row r="301">
      <c r="A301" s="3" t="s">
        <v>460</v>
      </c>
      <c r="B301" s="3" t="s">
        <v>114</v>
      </c>
      <c r="C301" s="3" t="s">
        <v>35</v>
      </c>
      <c r="D301" s="3" t="s">
        <v>54</v>
      </c>
      <c r="E301" s="3" t="s">
        <v>34</v>
      </c>
      <c r="F301" s="3">
        <v>0.0</v>
      </c>
      <c r="G301" s="3" t="s">
        <v>461</v>
      </c>
      <c r="H301" s="3">
        <v>6167.0</v>
      </c>
      <c r="I301" s="3">
        <v>0.0</v>
      </c>
      <c r="J301" s="3">
        <v>0.0</v>
      </c>
      <c r="K301" s="3">
        <v>0.16881136212</v>
      </c>
      <c r="L301" s="3">
        <v>21981.7029741</v>
      </c>
      <c r="M301" s="3">
        <v>34.0</v>
      </c>
      <c r="N301" s="3">
        <v>17.0</v>
      </c>
      <c r="O301" s="3">
        <v>3497.0</v>
      </c>
      <c r="P301" s="3">
        <v>4.86130969402</v>
      </c>
      <c r="Q301" s="3">
        <v>1763.51158136</v>
      </c>
      <c r="R301" s="3">
        <v>362.764705882</v>
      </c>
      <c r="S301" s="3">
        <v>0.0</v>
      </c>
      <c r="T301" s="3">
        <v>0.0</v>
      </c>
      <c r="U301" s="3" t="s">
        <v>508</v>
      </c>
    </row>
    <row r="302">
      <c r="A302" s="3" t="s">
        <v>460</v>
      </c>
      <c r="B302" s="3" t="s">
        <v>114</v>
      </c>
      <c r="C302" s="3" t="s">
        <v>35</v>
      </c>
      <c r="D302" s="3" t="s">
        <v>54</v>
      </c>
      <c r="E302" s="3" t="s">
        <v>39</v>
      </c>
      <c r="F302" s="3">
        <v>0.0</v>
      </c>
      <c r="G302" s="3" t="s">
        <v>461</v>
      </c>
      <c r="H302" s="3">
        <v>426.0</v>
      </c>
      <c r="I302" s="3">
        <v>0.0</v>
      </c>
      <c r="J302" s="3">
        <v>0.0</v>
      </c>
      <c r="K302" s="3">
        <v>0.0885689354276</v>
      </c>
      <c r="L302" s="3">
        <v>1495.95685792</v>
      </c>
      <c r="M302" s="3">
        <v>39.0</v>
      </c>
      <c r="N302" s="3">
        <v>2.0</v>
      </c>
      <c r="O302" s="3">
        <v>573.0</v>
      </c>
      <c r="P302" s="3">
        <v>3.49040139616</v>
      </c>
      <c r="Q302" s="3">
        <v>743.455497382</v>
      </c>
      <c r="R302" s="3">
        <v>213.0</v>
      </c>
      <c r="S302" s="3">
        <v>0.0</v>
      </c>
      <c r="T302" s="3">
        <v>0.0</v>
      </c>
      <c r="U302" s="3" t="s">
        <v>509</v>
      </c>
    </row>
    <row r="303">
      <c r="A303" s="3" t="s">
        <v>460</v>
      </c>
      <c r="B303" s="3" t="s">
        <v>114</v>
      </c>
      <c r="C303" s="3" t="s">
        <v>35</v>
      </c>
      <c r="D303" s="3" t="s">
        <v>54</v>
      </c>
      <c r="E303" s="3" t="s">
        <v>43</v>
      </c>
      <c r="F303" s="3">
        <v>0.0</v>
      </c>
      <c r="G303" s="3" t="s">
        <v>461</v>
      </c>
      <c r="H303" s="3">
        <v>3161.0</v>
      </c>
      <c r="I303" s="3">
        <v>0.0</v>
      </c>
      <c r="J303" s="3">
        <v>0.0</v>
      </c>
      <c r="K303" s="3">
        <v>0.111579088113</v>
      </c>
      <c r="L303" s="3">
        <v>11940.8189375</v>
      </c>
      <c r="M303" s="3">
        <v>58.0</v>
      </c>
      <c r="N303" s="3">
        <v>10.0</v>
      </c>
      <c r="O303" s="3">
        <v>2493.0</v>
      </c>
      <c r="P303" s="3">
        <v>4.01123144805</v>
      </c>
      <c r="Q303" s="3">
        <v>1267.95026073</v>
      </c>
      <c r="R303" s="3">
        <v>316.1</v>
      </c>
      <c r="S303" s="3">
        <v>0.0</v>
      </c>
      <c r="T303" s="3">
        <v>0.0</v>
      </c>
      <c r="U303" s="3" t="s">
        <v>510</v>
      </c>
    </row>
    <row r="304">
      <c r="A304" s="3" t="s">
        <v>460</v>
      </c>
      <c r="B304" s="3" t="s">
        <v>114</v>
      </c>
      <c r="C304" s="3" t="s">
        <v>35</v>
      </c>
      <c r="D304" s="3" t="s">
        <v>54</v>
      </c>
      <c r="E304" s="3" t="s">
        <v>47</v>
      </c>
      <c r="F304" s="3">
        <v>0.0</v>
      </c>
      <c r="G304" s="3" t="s">
        <v>461</v>
      </c>
      <c r="H304" s="3">
        <v>2717.0</v>
      </c>
      <c r="I304" s="3">
        <v>0.0</v>
      </c>
      <c r="J304" s="3">
        <v>0.0</v>
      </c>
      <c r="K304" s="3">
        <v>0.146179039301</v>
      </c>
      <c r="L304" s="3">
        <v>12210.8362787</v>
      </c>
      <c r="M304" s="3">
        <v>46.0</v>
      </c>
      <c r="N304" s="3">
        <v>7.0</v>
      </c>
      <c r="O304" s="3">
        <v>1145.0</v>
      </c>
      <c r="P304" s="3">
        <v>6.1135371179</v>
      </c>
      <c r="Q304" s="3">
        <v>2372.92576419</v>
      </c>
      <c r="R304" s="3">
        <v>388.142857143</v>
      </c>
      <c r="S304" s="3">
        <v>0.0</v>
      </c>
      <c r="T304" s="3">
        <v>0.0</v>
      </c>
      <c r="U304" s="3" t="s">
        <v>511</v>
      </c>
    </row>
    <row r="305">
      <c r="A305" s="3" t="s">
        <v>460</v>
      </c>
      <c r="B305" s="3" t="s">
        <v>114</v>
      </c>
      <c r="C305" s="3" t="s">
        <v>35</v>
      </c>
      <c r="D305" s="3" t="s">
        <v>54</v>
      </c>
      <c r="E305" s="3" t="s">
        <v>51</v>
      </c>
      <c r="F305" s="3">
        <v>0.0</v>
      </c>
      <c r="G305" s="3" t="s">
        <v>461</v>
      </c>
      <c r="H305" s="3">
        <v>848.0</v>
      </c>
      <c r="I305" s="3">
        <v>0.0</v>
      </c>
      <c r="J305" s="3">
        <v>0.0</v>
      </c>
      <c r="K305" s="3">
        <v>0.0644003378378</v>
      </c>
      <c r="L305" s="3">
        <v>4176.18474245</v>
      </c>
      <c r="M305" s="3">
        <v>40.0</v>
      </c>
      <c r="N305" s="3">
        <v>3.0</v>
      </c>
      <c r="O305" s="3">
        <v>592.0</v>
      </c>
      <c r="P305" s="3">
        <v>5.06756756757</v>
      </c>
      <c r="Q305" s="3">
        <v>1432.43243243</v>
      </c>
      <c r="R305" s="3">
        <v>282.666666667</v>
      </c>
      <c r="S305" s="3">
        <v>0.0</v>
      </c>
      <c r="T305" s="3">
        <v>0.0</v>
      </c>
      <c r="U305" s="3" t="s">
        <v>512</v>
      </c>
    </row>
    <row r="306">
      <c r="A306" s="3" t="s">
        <v>460</v>
      </c>
      <c r="B306" s="3" t="s">
        <v>114</v>
      </c>
      <c r="C306" s="3" t="s">
        <v>35</v>
      </c>
      <c r="D306" s="3" t="s">
        <v>72</v>
      </c>
      <c r="E306" s="3" t="s">
        <v>25</v>
      </c>
      <c r="F306" s="3">
        <v>0.0</v>
      </c>
      <c r="G306" s="3" t="s">
        <v>461</v>
      </c>
      <c r="H306" s="3">
        <v>243.0</v>
      </c>
      <c r="I306" s="3">
        <v>0.0</v>
      </c>
      <c r="J306" s="3">
        <v>1.0</v>
      </c>
      <c r="K306" s="3">
        <v>0.0758426966292</v>
      </c>
      <c r="L306" s="3">
        <v>428.785202265</v>
      </c>
      <c r="M306" s="3">
        <v>34.0</v>
      </c>
      <c r="N306" s="3">
        <v>1.0</v>
      </c>
      <c r="O306" s="3">
        <v>534.0</v>
      </c>
      <c r="P306" s="3">
        <v>1.87265917603</v>
      </c>
      <c r="Q306" s="3">
        <v>455.056179775</v>
      </c>
      <c r="R306" s="3">
        <v>243.0</v>
      </c>
      <c r="S306" s="3">
        <v>0.00411522633745</v>
      </c>
      <c r="T306" s="3">
        <v>0.0</v>
      </c>
      <c r="U306" s="3" t="s">
        <v>513</v>
      </c>
    </row>
    <row r="307">
      <c r="A307" s="3" t="s">
        <v>460</v>
      </c>
      <c r="B307" s="3" t="s">
        <v>114</v>
      </c>
      <c r="C307" s="3" t="s">
        <v>35</v>
      </c>
      <c r="D307" s="3" t="s">
        <v>72</v>
      </c>
      <c r="E307" s="3" t="s">
        <v>34</v>
      </c>
      <c r="F307" s="3">
        <v>0.0</v>
      </c>
      <c r="G307" s="3" t="s">
        <v>461</v>
      </c>
      <c r="H307" s="3">
        <v>2166.0</v>
      </c>
      <c r="I307" s="3">
        <v>0.0</v>
      </c>
      <c r="J307" s="3">
        <v>28.0</v>
      </c>
      <c r="K307" s="3">
        <v>0.446808510638</v>
      </c>
      <c r="L307" s="3">
        <v>4310.32383299</v>
      </c>
      <c r="M307" s="3">
        <v>24.0</v>
      </c>
      <c r="N307" s="3">
        <v>4.0</v>
      </c>
      <c r="O307" s="3">
        <v>705.0</v>
      </c>
      <c r="P307" s="3">
        <v>5.67375886525</v>
      </c>
      <c r="Q307" s="3">
        <v>3072.34042553</v>
      </c>
      <c r="R307" s="3">
        <v>541.5</v>
      </c>
      <c r="S307" s="3">
        <v>0.0129270544783</v>
      </c>
      <c r="T307" s="3">
        <v>0.0</v>
      </c>
      <c r="U307" s="3" t="s">
        <v>514</v>
      </c>
    </row>
    <row r="308">
      <c r="A308" s="3" t="s">
        <v>460</v>
      </c>
      <c r="B308" s="3" t="s">
        <v>114</v>
      </c>
      <c r="C308" s="3" t="s">
        <v>35</v>
      </c>
      <c r="D308" s="3" t="s">
        <v>72</v>
      </c>
      <c r="E308" s="3" t="s">
        <v>39</v>
      </c>
      <c r="F308" s="3">
        <v>0.0</v>
      </c>
      <c r="G308" s="3" t="s">
        <v>461</v>
      </c>
      <c r="H308" s="3">
        <v>139.0</v>
      </c>
      <c r="I308" s="3">
        <v>0.0</v>
      </c>
      <c r="J308" s="3">
        <v>0.0</v>
      </c>
      <c r="K308" s="3">
        <v>0.094</v>
      </c>
      <c r="L308" s="3">
        <v>330.54473424</v>
      </c>
      <c r="N308" s="3">
        <v>0.0</v>
      </c>
      <c r="O308" s="3">
        <v>500.0</v>
      </c>
      <c r="P308" s="3">
        <v>0.0</v>
      </c>
      <c r="Q308" s="3">
        <v>278.0</v>
      </c>
      <c r="S308" s="3">
        <v>0.0</v>
      </c>
      <c r="T308" s="3">
        <v>0.0</v>
      </c>
      <c r="U308" s="3" t="s">
        <v>515</v>
      </c>
    </row>
    <row r="309">
      <c r="A309" s="3" t="s">
        <v>460</v>
      </c>
      <c r="B309" s="3" t="s">
        <v>114</v>
      </c>
      <c r="C309" s="3" t="s">
        <v>35</v>
      </c>
      <c r="D309" s="3" t="s">
        <v>72</v>
      </c>
      <c r="E309" s="3" t="s">
        <v>43</v>
      </c>
      <c r="F309" s="3">
        <v>0.0</v>
      </c>
      <c r="G309" s="3" t="s">
        <v>461</v>
      </c>
      <c r="H309" s="3">
        <v>990.0</v>
      </c>
      <c r="I309" s="3">
        <v>0.0</v>
      </c>
      <c r="J309" s="3">
        <v>0.0</v>
      </c>
      <c r="K309" s="3">
        <v>0.146756978654</v>
      </c>
      <c r="L309" s="3">
        <v>2773.81998849</v>
      </c>
      <c r="M309" s="3">
        <v>41.0</v>
      </c>
      <c r="N309" s="3">
        <v>6.0</v>
      </c>
      <c r="O309" s="3">
        <v>812.0</v>
      </c>
      <c r="P309" s="3">
        <v>7.38916256158</v>
      </c>
      <c r="Q309" s="3">
        <v>1219.21182266</v>
      </c>
      <c r="R309" s="3">
        <v>165.0</v>
      </c>
      <c r="S309" s="3">
        <v>0.0</v>
      </c>
      <c r="T309" s="3">
        <v>0.0</v>
      </c>
      <c r="U309" s="3" t="s">
        <v>516</v>
      </c>
    </row>
    <row r="310">
      <c r="A310" s="3" t="s">
        <v>460</v>
      </c>
      <c r="B310" s="3" t="s">
        <v>114</v>
      </c>
      <c r="C310" s="3" t="s">
        <v>35</v>
      </c>
      <c r="D310" s="3" t="s">
        <v>72</v>
      </c>
      <c r="E310" s="3" t="s">
        <v>47</v>
      </c>
      <c r="F310" s="3">
        <v>0.0</v>
      </c>
      <c r="G310" s="3" t="s">
        <v>461</v>
      </c>
      <c r="H310" s="3">
        <v>1224.0</v>
      </c>
      <c r="I310" s="3">
        <v>0.0</v>
      </c>
      <c r="J310" s="3">
        <v>7.0</v>
      </c>
      <c r="K310" s="3">
        <v>0.123210023866</v>
      </c>
      <c r="L310" s="3">
        <v>4329.18594337</v>
      </c>
      <c r="M310" s="3">
        <v>46.0</v>
      </c>
      <c r="N310" s="3">
        <v>7.0</v>
      </c>
      <c r="O310" s="3">
        <v>838.0</v>
      </c>
      <c r="P310" s="3">
        <v>8.35322195704</v>
      </c>
      <c r="Q310" s="3">
        <v>1460.62052506</v>
      </c>
      <c r="R310" s="3">
        <v>174.857142857</v>
      </c>
      <c r="S310" s="3">
        <v>0.00571895424837</v>
      </c>
      <c r="T310" s="3">
        <v>0.0</v>
      </c>
      <c r="U310" s="3" t="s">
        <v>517</v>
      </c>
    </row>
    <row r="311">
      <c r="A311" s="3" t="s">
        <v>460</v>
      </c>
      <c r="B311" s="3" t="s">
        <v>114</v>
      </c>
      <c r="C311" s="3" t="s">
        <v>35</v>
      </c>
      <c r="D311" s="3" t="s">
        <v>72</v>
      </c>
      <c r="E311" s="3" t="s">
        <v>51</v>
      </c>
      <c r="F311" s="3">
        <v>0.0</v>
      </c>
      <c r="G311" s="3" t="s">
        <v>461</v>
      </c>
      <c r="H311" s="3">
        <v>608.0</v>
      </c>
      <c r="I311" s="3">
        <v>0.0</v>
      </c>
      <c r="J311" s="3">
        <v>3.0</v>
      </c>
      <c r="K311" s="3">
        <v>0.0756622516556</v>
      </c>
      <c r="L311" s="3">
        <v>2338.45288014</v>
      </c>
      <c r="M311" s="3">
        <v>39.0</v>
      </c>
      <c r="N311" s="3">
        <v>5.0</v>
      </c>
      <c r="O311" s="3">
        <v>755.0</v>
      </c>
      <c r="P311" s="3">
        <v>6.62251655629</v>
      </c>
      <c r="Q311" s="3">
        <v>805.298013245</v>
      </c>
      <c r="R311" s="3">
        <v>121.6</v>
      </c>
      <c r="S311" s="3">
        <v>0.00493421052632</v>
      </c>
      <c r="T311" s="3">
        <v>0.0</v>
      </c>
      <c r="U311" s="3" t="s">
        <v>518</v>
      </c>
    </row>
    <row r="312">
      <c r="A312" s="3" t="s">
        <v>460</v>
      </c>
      <c r="B312" s="3" t="s">
        <v>114</v>
      </c>
      <c r="C312" s="3" t="s">
        <v>35</v>
      </c>
      <c r="D312" s="3" t="s">
        <v>64</v>
      </c>
      <c r="E312" s="3" t="s">
        <v>25</v>
      </c>
      <c r="F312" s="3">
        <v>0.0</v>
      </c>
      <c r="G312" s="3" t="s">
        <v>461</v>
      </c>
      <c r="H312" s="3">
        <v>1687.0</v>
      </c>
      <c r="I312" s="3">
        <v>0.0</v>
      </c>
      <c r="J312" s="3">
        <v>0.0</v>
      </c>
      <c r="K312" s="3">
        <v>0.0843220338983</v>
      </c>
      <c r="L312" s="3">
        <v>5413.00906515</v>
      </c>
      <c r="M312" s="3">
        <v>35.0</v>
      </c>
      <c r="N312" s="3">
        <v>6.0</v>
      </c>
      <c r="O312" s="3">
        <v>1180.0</v>
      </c>
      <c r="P312" s="3">
        <v>5.08474576271</v>
      </c>
      <c r="Q312" s="3">
        <v>1429.66101695</v>
      </c>
      <c r="R312" s="3">
        <v>281.166666667</v>
      </c>
      <c r="S312" s="3">
        <v>0.0</v>
      </c>
      <c r="T312" s="3">
        <v>0.0</v>
      </c>
      <c r="U312" s="3" t="s">
        <v>519</v>
      </c>
    </row>
    <row r="313">
      <c r="A313" s="3" t="s">
        <v>460</v>
      </c>
      <c r="B313" s="3" t="s">
        <v>114</v>
      </c>
      <c r="C313" s="3" t="s">
        <v>35</v>
      </c>
      <c r="D313" s="3" t="s">
        <v>64</v>
      </c>
      <c r="E313" s="3" t="s">
        <v>34</v>
      </c>
      <c r="F313" s="3">
        <v>0.0</v>
      </c>
      <c r="G313" s="3" t="s">
        <v>461</v>
      </c>
      <c r="H313" s="3">
        <v>2021.0</v>
      </c>
      <c r="I313" s="3">
        <v>0.0</v>
      </c>
      <c r="J313" s="3">
        <v>0.0</v>
      </c>
      <c r="K313" s="3">
        <v>0.322333333333</v>
      </c>
      <c r="L313" s="3">
        <v>6094.14487839</v>
      </c>
      <c r="N313" s="3">
        <v>0.0</v>
      </c>
      <c r="O313" s="3">
        <v>500.0</v>
      </c>
      <c r="P313" s="3">
        <v>0.0</v>
      </c>
      <c r="Q313" s="3">
        <v>4042.0</v>
      </c>
      <c r="S313" s="3">
        <v>0.0</v>
      </c>
      <c r="T313" s="3">
        <v>0.0</v>
      </c>
      <c r="U313" s="3" t="s">
        <v>520</v>
      </c>
    </row>
    <row r="314">
      <c r="A314" s="3" t="s">
        <v>460</v>
      </c>
      <c r="B314" s="3" t="s">
        <v>114</v>
      </c>
      <c r="C314" s="3" t="s">
        <v>35</v>
      </c>
      <c r="D314" s="3" t="s">
        <v>64</v>
      </c>
      <c r="E314" s="3" t="s">
        <v>39</v>
      </c>
      <c r="F314" s="3">
        <v>0.0</v>
      </c>
      <c r="G314" s="3" t="s">
        <v>461</v>
      </c>
      <c r="H314" s="3">
        <v>289.0</v>
      </c>
      <c r="I314" s="3">
        <v>0.0</v>
      </c>
      <c r="J314" s="3">
        <v>0.0</v>
      </c>
      <c r="K314" s="3">
        <v>0.107200647249</v>
      </c>
      <c r="L314" s="3">
        <v>1063.37766528</v>
      </c>
      <c r="M314" s="3">
        <v>118.0</v>
      </c>
      <c r="N314" s="3">
        <v>1.0</v>
      </c>
      <c r="O314" s="3">
        <v>618.0</v>
      </c>
      <c r="P314" s="3">
        <v>1.61812297735</v>
      </c>
      <c r="Q314" s="3">
        <v>467.637540453</v>
      </c>
      <c r="R314" s="3">
        <v>289.0</v>
      </c>
      <c r="S314" s="3">
        <v>0.0</v>
      </c>
      <c r="T314" s="3">
        <v>0.0</v>
      </c>
      <c r="U314" s="3" t="s">
        <v>521</v>
      </c>
    </row>
    <row r="315">
      <c r="A315" s="3" t="s">
        <v>460</v>
      </c>
      <c r="B315" s="3" t="s">
        <v>114</v>
      </c>
      <c r="C315" s="3" t="s">
        <v>35</v>
      </c>
      <c r="D315" s="3" t="s">
        <v>64</v>
      </c>
      <c r="E315" s="3" t="s">
        <v>43</v>
      </c>
      <c r="F315" s="3">
        <v>0.0</v>
      </c>
      <c r="G315" s="3" t="s">
        <v>461</v>
      </c>
      <c r="H315" s="3">
        <v>1364.0</v>
      </c>
      <c r="I315" s="3">
        <v>0.0</v>
      </c>
      <c r="J315" s="3">
        <v>0.0</v>
      </c>
      <c r="K315" s="3">
        <v>0.108704372242</v>
      </c>
      <c r="L315" s="3">
        <v>5299.08529639</v>
      </c>
      <c r="M315" s="3">
        <v>84.0</v>
      </c>
      <c r="N315" s="3">
        <v>6.0</v>
      </c>
      <c r="O315" s="3">
        <v>831.0</v>
      </c>
      <c r="P315" s="3">
        <v>7.2202166065</v>
      </c>
      <c r="Q315" s="3">
        <v>1641.39590854</v>
      </c>
      <c r="R315" s="3">
        <v>227.333333333</v>
      </c>
      <c r="S315" s="3">
        <v>0.0</v>
      </c>
      <c r="T315" s="3">
        <v>0.0</v>
      </c>
      <c r="U315" s="3" t="s">
        <v>522</v>
      </c>
    </row>
    <row r="316">
      <c r="A316" s="3" t="s">
        <v>460</v>
      </c>
      <c r="B316" s="3" t="s">
        <v>114</v>
      </c>
      <c r="C316" s="3" t="s">
        <v>35</v>
      </c>
      <c r="D316" s="3" t="s">
        <v>64</v>
      </c>
      <c r="E316" s="3" t="s">
        <v>47</v>
      </c>
      <c r="F316" s="3">
        <v>0.0</v>
      </c>
      <c r="G316" s="3" t="s">
        <v>461</v>
      </c>
      <c r="H316" s="3">
        <v>4953.0</v>
      </c>
      <c r="I316" s="3">
        <v>0.0</v>
      </c>
      <c r="J316" s="3">
        <v>0.0</v>
      </c>
      <c r="K316" s="3">
        <v>0.136752136752</v>
      </c>
      <c r="L316" s="3">
        <v>19239.3200991</v>
      </c>
      <c r="M316" s="3">
        <v>168.0</v>
      </c>
      <c r="N316" s="3">
        <v>2.0</v>
      </c>
      <c r="O316" s="3">
        <v>1053.0</v>
      </c>
      <c r="P316" s="3">
        <v>1.89933523267</v>
      </c>
      <c r="Q316" s="3">
        <v>4703.7037037</v>
      </c>
      <c r="R316" s="3">
        <v>2476.5</v>
      </c>
      <c r="S316" s="3">
        <v>0.0</v>
      </c>
      <c r="T316" s="3">
        <v>0.0</v>
      </c>
      <c r="U316" s="3" t="s">
        <v>523</v>
      </c>
    </row>
    <row r="317">
      <c r="A317" s="3" t="s">
        <v>460</v>
      </c>
      <c r="B317" s="3" t="s">
        <v>114</v>
      </c>
      <c r="C317" s="3" t="s">
        <v>35</v>
      </c>
      <c r="D317" s="3" t="s">
        <v>64</v>
      </c>
      <c r="E317" s="3" t="s">
        <v>51</v>
      </c>
      <c r="F317" s="3">
        <v>0.0</v>
      </c>
      <c r="G317" s="3" t="s">
        <v>461</v>
      </c>
      <c r="H317" s="3">
        <v>2812.0</v>
      </c>
      <c r="I317" s="3">
        <v>0.0</v>
      </c>
      <c r="J317" s="3">
        <v>0.0</v>
      </c>
      <c r="K317" s="3">
        <v>0.162275064267</v>
      </c>
      <c r="L317" s="3">
        <v>10330.5377862</v>
      </c>
      <c r="M317" s="3">
        <v>278.0</v>
      </c>
      <c r="N317" s="3">
        <v>1.0</v>
      </c>
      <c r="O317" s="3">
        <v>778.0</v>
      </c>
      <c r="P317" s="3">
        <v>1.2853470437</v>
      </c>
      <c r="Q317" s="3">
        <v>3614.39588689</v>
      </c>
      <c r="R317" s="3">
        <v>2812.0</v>
      </c>
      <c r="S317" s="3">
        <v>0.0</v>
      </c>
      <c r="T317" s="3">
        <v>0.0</v>
      </c>
      <c r="U317" s="3" t="s">
        <v>524</v>
      </c>
    </row>
    <row r="318">
      <c r="A318" s="3" t="s">
        <v>460</v>
      </c>
      <c r="B318" s="3" t="s">
        <v>114</v>
      </c>
      <c r="C318" s="3" t="s">
        <v>23</v>
      </c>
      <c r="D318" s="3" t="s">
        <v>24</v>
      </c>
      <c r="E318" s="3" t="s">
        <v>25</v>
      </c>
      <c r="F318" s="3">
        <v>0.0</v>
      </c>
      <c r="G318" s="3" t="s">
        <v>461</v>
      </c>
      <c r="H318" s="3">
        <v>519.0</v>
      </c>
      <c r="I318" s="3" t="s">
        <v>27</v>
      </c>
      <c r="J318" s="3">
        <v>0.0</v>
      </c>
      <c r="K318" s="3">
        <v>0.497237569061</v>
      </c>
      <c r="L318" s="3">
        <v>203.707727909</v>
      </c>
      <c r="M318" s="3">
        <v>61.0</v>
      </c>
      <c r="N318" s="3">
        <v>3.0</v>
      </c>
      <c r="O318" s="3">
        <v>724.0</v>
      </c>
      <c r="P318" s="3">
        <v>4.14364640884</v>
      </c>
      <c r="Q318" s="3">
        <v>716.850828729</v>
      </c>
      <c r="R318" s="3">
        <v>173.0</v>
      </c>
      <c r="S318" s="3">
        <v>0.0</v>
      </c>
      <c r="T318" s="3" t="s">
        <v>27</v>
      </c>
      <c r="U318" s="3" t="s">
        <v>525</v>
      </c>
    </row>
    <row r="319">
      <c r="A319" s="3" t="s">
        <v>460</v>
      </c>
      <c r="B319" s="3" t="s">
        <v>114</v>
      </c>
      <c r="C319" s="3" t="s">
        <v>23</v>
      </c>
      <c r="D319" s="3" t="s">
        <v>24</v>
      </c>
      <c r="E319" s="3" t="s">
        <v>34</v>
      </c>
      <c r="F319" s="3">
        <v>0.0</v>
      </c>
      <c r="G319" s="3" t="s">
        <v>461</v>
      </c>
      <c r="H319" s="3">
        <v>1501.0</v>
      </c>
      <c r="I319" s="3" t="s">
        <v>27</v>
      </c>
      <c r="J319" s="3">
        <v>0.0</v>
      </c>
      <c r="K319" s="3">
        <v>0.588333333333</v>
      </c>
      <c r="L319" s="3">
        <v>780.616829634</v>
      </c>
      <c r="M319" s="3">
        <v>92.0</v>
      </c>
      <c r="N319" s="3">
        <v>2.0</v>
      </c>
      <c r="O319" s="3">
        <v>600.0</v>
      </c>
      <c r="P319" s="3">
        <v>3.33333333333</v>
      </c>
      <c r="Q319" s="3">
        <v>2501.66666667</v>
      </c>
      <c r="R319" s="3">
        <v>750.5</v>
      </c>
      <c r="S319" s="3">
        <v>0.0</v>
      </c>
      <c r="T319" s="3" t="s">
        <v>27</v>
      </c>
      <c r="U319" s="3" t="s">
        <v>526</v>
      </c>
    </row>
    <row r="320">
      <c r="A320" s="3" t="s">
        <v>460</v>
      </c>
      <c r="B320" s="3" t="s">
        <v>114</v>
      </c>
      <c r="C320" s="3" t="s">
        <v>23</v>
      </c>
      <c r="D320" s="3" t="s">
        <v>24</v>
      </c>
      <c r="E320" s="3" t="s">
        <v>39</v>
      </c>
      <c r="F320" s="3">
        <v>0.0</v>
      </c>
      <c r="G320" s="3" t="s">
        <v>461</v>
      </c>
      <c r="H320" s="3">
        <v>302.0</v>
      </c>
      <c r="I320" s="3" t="s">
        <v>27</v>
      </c>
      <c r="J320" s="3">
        <v>0.0</v>
      </c>
      <c r="K320" s="3">
        <v>0.0985</v>
      </c>
      <c r="L320" s="3">
        <v>239.098882914</v>
      </c>
      <c r="N320" s="3">
        <v>0.0</v>
      </c>
      <c r="O320" s="3">
        <v>500.0</v>
      </c>
      <c r="P320" s="3">
        <v>0.0</v>
      </c>
      <c r="Q320" s="3">
        <v>604.0</v>
      </c>
      <c r="S320" s="3">
        <v>0.0</v>
      </c>
      <c r="T320" s="3" t="s">
        <v>27</v>
      </c>
      <c r="U320" s="3" t="s">
        <v>527</v>
      </c>
    </row>
    <row r="321">
      <c r="A321" s="3" t="s">
        <v>460</v>
      </c>
      <c r="B321" s="3" t="s">
        <v>114</v>
      </c>
      <c r="C321" s="3" t="s">
        <v>23</v>
      </c>
      <c r="D321" s="3" t="s">
        <v>24</v>
      </c>
      <c r="E321" s="3" t="s">
        <v>43</v>
      </c>
      <c r="F321" s="3">
        <v>0.0</v>
      </c>
      <c r="G321" s="3" t="s">
        <v>461</v>
      </c>
      <c r="H321" s="3">
        <v>1193.0</v>
      </c>
      <c r="I321" s="3" t="s">
        <v>27</v>
      </c>
      <c r="J321" s="3">
        <v>0.0</v>
      </c>
      <c r="K321" s="3">
        <v>0.164307381193</v>
      </c>
      <c r="L321" s="3">
        <v>829.058491945</v>
      </c>
      <c r="M321" s="3">
        <v>75.0</v>
      </c>
      <c r="N321" s="3">
        <v>8.0</v>
      </c>
      <c r="O321" s="3">
        <v>989.0</v>
      </c>
      <c r="P321" s="3">
        <v>8.08897876643</v>
      </c>
      <c r="Q321" s="3">
        <v>1206.26895854</v>
      </c>
      <c r="R321" s="3">
        <v>149.125</v>
      </c>
      <c r="S321" s="3">
        <v>0.0</v>
      </c>
      <c r="T321" s="3" t="s">
        <v>27</v>
      </c>
      <c r="U321" s="3" t="s">
        <v>528</v>
      </c>
    </row>
    <row r="322">
      <c r="A322" s="3" t="s">
        <v>460</v>
      </c>
      <c r="B322" s="3" t="s">
        <v>114</v>
      </c>
      <c r="C322" s="3" t="s">
        <v>23</v>
      </c>
      <c r="D322" s="3" t="s">
        <v>24</v>
      </c>
      <c r="E322" s="3" t="s">
        <v>47</v>
      </c>
      <c r="F322" s="3">
        <v>0.0</v>
      </c>
      <c r="G322" s="3" t="s">
        <v>461</v>
      </c>
      <c r="H322" s="3">
        <v>2183.0</v>
      </c>
      <c r="I322" s="3" t="s">
        <v>27</v>
      </c>
      <c r="J322" s="3">
        <v>0.0</v>
      </c>
      <c r="K322" s="3">
        <v>0.0174278846154</v>
      </c>
      <c r="L322" s="3">
        <v>4342.59477544</v>
      </c>
      <c r="M322" s="3">
        <v>42.0</v>
      </c>
      <c r="N322" s="3">
        <v>8.0</v>
      </c>
      <c r="O322" s="3">
        <v>832.0</v>
      </c>
      <c r="P322" s="3">
        <v>9.61538461538</v>
      </c>
      <c r="Q322" s="3">
        <v>2623.79807692</v>
      </c>
      <c r="R322" s="3">
        <v>272.875</v>
      </c>
      <c r="S322" s="3">
        <v>0.0</v>
      </c>
      <c r="T322" s="3" t="s">
        <v>27</v>
      </c>
      <c r="U322" s="3" t="s">
        <v>529</v>
      </c>
    </row>
    <row r="323">
      <c r="A323" s="3" t="s">
        <v>460</v>
      </c>
      <c r="B323" s="3" t="s">
        <v>114</v>
      </c>
      <c r="C323" s="3" t="s">
        <v>23</v>
      </c>
      <c r="D323" s="3" t="s">
        <v>24</v>
      </c>
      <c r="E323" s="3" t="s">
        <v>51</v>
      </c>
      <c r="F323" s="3">
        <v>0.0</v>
      </c>
      <c r="G323" s="3" t="s">
        <v>461</v>
      </c>
      <c r="H323" s="3">
        <v>2724.0</v>
      </c>
      <c r="I323" s="3" t="s">
        <v>27</v>
      </c>
      <c r="J323" s="3">
        <v>0.0</v>
      </c>
      <c r="K323" s="3">
        <v>0.241071428571</v>
      </c>
      <c r="L323" s="3">
        <v>2852.63138485</v>
      </c>
      <c r="M323" s="3">
        <v>75.0</v>
      </c>
      <c r="N323" s="3">
        <v>9.0</v>
      </c>
      <c r="O323" s="3">
        <v>910.0</v>
      </c>
      <c r="P323" s="3">
        <v>9.89010989011</v>
      </c>
      <c r="Q323" s="3">
        <v>2993.40659341</v>
      </c>
      <c r="R323" s="3">
        <v>302.666666667</v>
      </c>
      <c r="S323" s="3">
        <v>0.0</v>
      </c>
      <c r="T323" s="3" t="s">
        <v>27</v>
      </c>
      <c r="U323" s="3" t="s">
        <v>530</v>
      </c>
    </row>
    <row r="324">
      <c r="A324" s="3" t="s">
        <v>460</v>
      </c>
      <c r="B324" s="3" t="s">
        <v>114</v>
      </c>
      <c r="C324" s="3" t="s">
        <v>23</v>
      </c>
      <c r="D324" s="3" t="s">
        <v>54</v>
      </c>
      <c r="E324" s="3" t="s">
        <v>25</v>
      </c>
      <c r="F324" s="3">
        <v>0.0</v>
      </c>
      <c r="G324" s="3" t="s">
        <v>461</v>
      </c>
      <c r="H324" s="3">
        <v>608.0</v>
      </c>
      <c r="I324" s="3" t="s">
        <v>27</v>
      </c>
      <c r="J324" s="3">
        <v>0.0</v>
      </c>
      <c r="K324" s="3">
        <v>0.14691943128</v>
      </c>
      <c r="L324" s="3">
        <v>949.754647255</v>
      </c>
      <c r="M324" s="3">
        <v>37.0</v>
      </c>
      <c r="N324" s="3">
        <v>2.0</v>
      </c>
      <c r="O324" s="3">
        <v>633.0</v>
      </c>
      <c r="P324" s="3">
        <v>3.15955766193</v>
      </c>
      <c r="Q324" s="3">
        <v>960.505529226</v>
      </c>
      <c r="R324" s="3">
        <v>304.0</v>
      </c>
      <c r="S324" s="3">
        <v>0.0</v>
      </c>
      <c r="T324" s="3" t="s">
        <v>27</v>
      </c>
      <c r="U324" s="3" t="s">
        <v>531</v>
      </c>
    </row>
    <row r="325">
      <c r="A325" s="3" t="s">
        <v>460</v>
      </c>
      <c r="B325" s="3" t="s">
        <v>114</v>
      </c>
      <c r="C325" s="3" t="s">
        <v>23</v>
      </c>
      <c r="D325" s="3" t="s">
        <v>54</v>
      </c>
      <c r="E325" s="3" t="s">
        <v>34</v>
      </c>
      <c r="F325" s="3">
        <v>0.0</v>
      </c>
      <c r="G325" s="3" t="s">
        <v>461</v>
      </c>
      <c r="H325" s="3">
        <v>5124.0</v>
      </c>
      <c r="I325" s="3" t="s">
        <v>27</v>
      </c>
      <c r="J325" s="3">
        <v>0.0</v>
      </c>
      <c r="K325" s="3">
        <v>0.15605875153</v>
      </c>
      <c r="L325" s="3">
        <v>10955.8553982</v>
      </c>
      <c r="M325" s="3">
        <v>213.0</v>
      </c>
      <c r="N325" s="3">
        <v>18.0</v>
      </c>
      <c r="O325" s="3">
        <v>2451.0</v>
      </c>
      <c r="P325" s="3">
        <v>7.34394124847</v>
      </c>
      <c r="Q325" s="3">
        <v>2090.5752754</v>
      </c>
      <c r="R325" s="3">
        <v>284.666666667</v>
      </c>
      <c r="S325" s="3">
        <v>0.0</v>
      </c>
      <c r="T325" s="3" t="s">
        <v>27</v>
      </c>
      <c r="U325" s="3" t="s">
        <v>532</v>
      </c>
    </row>
    <row r="326">
      <c r="A326" s="3" t="s">
        <v>460</v>
      </c>
      <c r="B326" s="3" t="s">
        <v>114</v>
      </c>
      <c r="C326" s="3" t="s">
        <v>23</v>
      </c>
      <c r="D326" s="3" t="s">
        <v>54</v>
      </c>
      <c r="E326" s="3" t="s">
        <v>39</v>
      </c>
      <c r="F326" s="3">
        <v>0.0</v>
      </c>
      <c r="G326" s="3" t="s">
        <v>461</v>
      </c>
      <c r="H326" s="3">
        <v>3149.0</v>
      </c>
      <c r="I326" s="3" t="s">
        <v>27</v>
      </c>
      <c r="J326" s="3">
        <v>0.0</v>
      </c>
      <c r="K326" s="3">
        <v>0.183110367893</v>
      </c>
      <c r="L326" s="3">
        <v>6082.92866135</v>
      </c>
      <c r="M326" s="3">
        <v>70.0</v>
      </c>
      <c r="N326" s="3">
        <v>18.0</v>
      </c>
      <c r="O326" s="3">
        <v>2691.0</v>
      </c>
      <c r="P326" s="3">
        <v>6.6889632107</v>
      </c>
      <c r="Q326" s="3">
        <v>1170.19695281</v>
      </c>
      <c r="R326" s="3">
        <v>174.944444444</v>
      </c>
      <c r="S326" s="3">
        <v>0.0</v>
      </c>
      <c r="T326" s="3" t="s">
        <v>27</v>
      </c>
      <c r="U326" s="3" t="s">
        <v>533</v>
      </c>
    </row>
    <row r="327">
      <c r="A327" s="3" t="s">
        <v>460</v>
      </c>
      <c r="B327" s="3" t="s">
        <v>114</v>
      </c>
      <c r="C327" s="3" t="s">
        <v>23</v>
      </c>
      <c r="D327" s="3" t="s">
        <v>54</v>
      </c>
      <c r="E327" s="3" t="s">
        <v>43</v>
      </c>
      <c r="F327" s="3">
        <v>0.0</v>
      </c>
      <c r="G327" s="3" t="s">
        <v>461</v>
      </c>
      <c r="H327" s="3">
        <v>2361.0</v>
      </c>
      <c r="I327" s="3" t="s">
        <v>27</v>
      </c>
      <c r="J327" s="3">
        <v>0.0</v>
      </c>
      <c r="K327" s="3">
        <v>0.136778563015</v>
      </c>
      <c r="L327" s="3">
        <v>5052.74680114</v>
      </c>
      <c r="M327" s="3">
        <v>31.0</v>
      </c>
      <c r="N327" s="3">
        <v>20.0</v>
      </c>
      <c r="O327" s="3">
        <v>1132.0</v>
      </c>
      <c r="P327" s="3">
        <v>17.667844523</v>
      </c>
      <c r="Q327" s="3">
        <v>2085.68904594</v>
      </c>
      <c r="R327" s="3">
        <v>118.05</v>
      </c>
      <c r="S327" s="3">
        <v>0.0</v>
      </c>
      <c r="T327" s="3" t="s">
        <v>27</v>
      </c>
      <c r="U327" s="3" t="s">
        <v>534</v>
      </c>
    </row>
    <row r="328">
      <c r="A328" s="3" t="s">
        <v>460</v>
      </c>
      <c r="B328" s="3" t="s">
        <v>114</v>
      </c>
      <c r="C328" s="3" t="s">
        <v>23</v>
      </c>
      <c r="D328" s="3" t="s">
        <v>54</v>
      </c>
      <c r="E328" s="3" t="s">
        <v>47</v>
      </c>
      <c r="F328" s="3">
        <v>0.0</v>
      </c>
      <c r="G328" s="3" t="s">
        <v>461</v>
      </c>
      <c r="H328" s="3">
        <v>4317.0</v>
      </c>
      <c r="I328" s="3" t="s">
        <v>27</v>
      </c>
      <c r="J328" s="3">
        <v>0.0</v>
      </c>
      <c r="K328" s="3">
        <v>0.144495412844</v>
      </c>
      <c r="L328" s="3">
        <v>12397.2960868</v>
      </c>
      <c r="M328" s="3">
        <v>113.0</v>
      </c>
      <c r="N328" s="3">
        <v>20.0</v>
      </c>
      <c r="O328" s="3">
        <v>1526.0</v>
      </c>
      <c r="P328" s="3">
        <v>13.1061598952</v>
      </c>
      <c r="Q328" s="3">
        <v>2828.96461337</v>
      </c>
      <c r="R328" s="3">
        <v>215.85</v>
      </c>
      <c r="S328" s="3">
        <v>0.0</v>
      </c>
      <c r="T328" s="3" t="s">
        <v>27</v>
      </c>
      <c r="U328" s="3" t="s">
        <v>535</v>
      </c>
    </row>
    <row r="329">
      <c r="A329" s="3" t="s">
        <v>460</v>
      </c>
      <c r="B329" s="3" t="s">
        <v>114</v>
      </c>
      <c r="C329" s="3" t="s">
        <v>23</v>
      </c>
      <c r="D329" s="3" t="s">
        <v>54</v>
      </c>
      <c r="E329" s="3" t="s">
        <v>51</v>
      </c>
      <c r="F329" s="3">
        <v>0.0</v>
      </c>
      <c r="G329" s="3" t="s">
        <v>461</v>
      </c>
      <c r="H329" s="3">
        <v>2767.0</v>
      </c>
      <c r="I329" s="3" t="s">
        <v>27</v>
      </c>
      <c r="J329" s="3">
        <v>0.0</v>
      </c>
      <c r="K329" s="3">
        <v>0.0968804920914</v>
      </c>
      <c r="L329" s="3">
        <v>7524.4405458</v>
      </c>
      <c r="M329" s="3">
        <v>45.0</v>
      </c>
      <c r="N329" s="3">
        <v>20.0</v>
      </c>
      <c r="O329" s="3">
        <v>1138.0</v>
      </c>
      <c r="P329" s="3">
        <v>17.5746924429</v>
      </c>
      <c r="Q329" s="3">
        <v>2431.45869947</v>
      </c>
      <c r="R329" s="3">
        <v>138.35</v>
      </c>
      <c r="S329" s="3">
        <v>0.0</v>
      </c>
      <c r="T329" s="3" t="s">
        <v>27</v>
      </c>
      <c r="U329" s="3" t="s">
        <v>536</v>
      </c>
    </row>
    <row r="330">
      <c r="A330" s="3" t="s">
        <v>460</v>
      </c>
      <c r="B330" s="3" t="s">
        <v>114</v>
      </c>
      <c r="C330" s="3" t="s">
        <v>23</v>
      </c>
      <c r="D330" s="3" t="s">
        <v>72</v>
      </c>
      <c r="E330" s="3" t="s">
        <v>25</v>
      </c>
      <c r="F330" s="3">
        <v>0.0</v>
      </c>
      <c r="G330" s="3" t="s">
        <v>461</v>
      </c>
      <c r="H330" s="3">
        <v>795.0</v>
      </c>
      <c r="I330" s="3" t="s">
        <v>27</v>
      </c>
      <c r="J330" s="3">
        <v>349.0</v>
      </c>
      <c r="K330" s="3">
        <v>0.355354659249</v>
      </c>
      <c r="L330" s="3">
        <v>27629.124218</v>
      </c>
      <c r="M330" s="3">
        <v>40.0</v>
      </c>
      <c r="N330" s="3">
        <v>3.0</v>
      </c>
      <c r="O330" s="3">
        <v>719.0</v>
      </c>
      <c r="P330" s="3">
        <v>4.17246175243</v>
      </c>
      <c r="Q330" s="3">
        <v>1105.70236439</v>
      </c>
      <c r="R330" s="3">
        <v>265.0</v>
      </c>
      <c r="S330" s="3">
        <v>0.438993710692</v>
      </c>
      <c r="T330" s="3" t="s">
        <v>27</v>
      </c>
      <c r="U330" s="3" t="s">
        <v>537</v>
      </c>
    </row>
    <row r="331">
      <c r="A331" s="3" t="s">
        <v>460</v>
      </c>
      <c r="B331" s="3" t="s">
        <v>114</v>
      </c>
      <c r="C331" s="3" t="s">
        <v>23</v>
      </c>
      <c r="D331" s="3" t="s">
        <v>64</v>
      </c>
      <c r="E331" s="3" t="s">
        <v>25</v>
      </c>
      <c r="F331" s="3">
        <v>0.0</v>
      </c>
      <c r="G331" s="3" t="s">
        <v>461</v>
      </c>
      <c r="H331" s="3">
        <v>1199.0</v>
      </c>
      <c r="I331" s="3" t="s">
        <v>27</v>
      </c>
      <c r="J331" s="3">
        <v>0.0</v>
      </c>
      <c r="K331" s="3">
        <v>0.117952928298</v>
      </c>
      <c r="L331" s="3">
        <v>2818.30163956</v>
      </c>
      <c r="M331" s="3">
        <v>35.0</v>
      </c>
      <c r="N331" s="3">
        <v>15.0</v>
      </c>
      <c r="O331" s="3">
        <v>1827.0</v>
      </c>
      <c r="P331" s="3">
        <v>8.21018062397</v>
      </c>
      <c r="Q331" s="3">
        <v>656.267104543</v>
      </c>
      <c r="R331" s="3">
        <v>79.9333333333</v>
      </c>
      <c r="S331" s="3">
        <v>0.0</v>
      </c>
      <c r="T331" s="3" t="s">
        <v>27</v>
      </c>
      <c r="U331" s="3" t="s">
        <v>538</v>
      </c>
    </row>
    <row r="332">
      <c r="A332" s="3" t="s">
        <v>460</v>
      </c>
      <c r="B332" s="3" t="s">
        <v>114</v>
      </c>
      <c r="C332" s="3" t="s">
        <v>23</v>
      </c>
      <c r="D332" s="3" t="s">
        <v>64</v>
      </c>
      <c r="E332" s="3" t="s">
        <v>34</v>
      </c>
      <c r="F332" s="3">
        <v>0.0</v>
      </c>
      <c r="G332" s="3" t="s">
        <v>461</v>
      </c>
      <c r="H332" s="3">
        <v>877.0</v>
      </c>
      <c r="I332" s="3" t="s">
        <v>27</v>
      </c>
      <c r="J332" s="3">
        <v>0.0</v>
      </c>
      <c r="K332" s="3">
        <v>0.141836370132</v>
      </c>
      <c r="L332" s="3">
        <v>2695.13920021</v>
      </c>
      <c r="M332" s="3">
        <v>24.0</v>
      </c>
      <c r="N332" s="3">
        <v>6.0</v>
      </c>
      <c r="O332" s="3">
        <v>933.0</v>
      </c>
      <c r="P332" s="3">
        <v>6.4308681672</v>
      </c>
      <c r="Q332" s="3">
        <v>939.978563773</v>
      </c>
      <c r="R332" s="3">
        <v>146.166666667</v>
      </c>
      <c r="S332" s="3">
        <v>0.0</v>
      </c>
      <c r="T332" s="3" t="s">
        <v>27</v>
      </c>
      <c r="U332" s="3" t="s">
        <v>539</v>
      </c>
    </row>
    <row r="333">
      <c r="A333" s="3" t="s">
        <v>460</v>
      </c>
      <c r="B333" s="3" t="s">
        <v>114</v>
      </c>
      <c r="C333" s="3" t="s">
        <v>23</v>
      </c>
      <c r="D333" s="3" t="s">
        <v>64</v>
      </c>
      <c r="E333" s="3" t="s">
        <v>39</v>
      </c>
      <c r="F333" s="3">
        <v>0.0</v>
      </c>
      <c r="G333" s="3" t="s">
        <v>461</v>
      </c>
      <c r="H333" s="3">
        <v>133.0</v>
      </c>
      <c r="I333" s="3" t="s">
        <v>27</v>
      </c>
      <c r="J333" s="3">
        <v>0.0</v>
      </c>
      <c r="K333" s="3">
        <v>0.1</v>
      </c>
      <c r="L333" s="3">
        <v>386.740194321</v>
      </c>
      <c r="N333" s="3">
        <v>0.0</v>
      </c>
      <c r="O333" s="3">
        <v>500.0</v>
      </c>
      <c r="P333" s="3">
        <v>0.0</v>
      </c>
      <c r="Q333" s="3">
        <v>266.0</v>
      </c>
      <c r="S333" s="3">
        <v>0.0</v>
      </c>
      <c r="T333" s="3" t="s">
        <v>27</v>
      </c>
      <c r="U333" s="3" t="s">
        <v>540</v>
      </c>
    </row>
    <row r="334">
      <c r="A334" s="3" t="s">
        <v>460</v>
      </c>
      <c r="B334" s="3" t="s">
        <v>114</v>
      </c>
      <c r="C334" s="3" t="s">
        <v>23</v>
      </c>
      <c r="D334" s="3" t="s">
        <v>64</v>
      </c>
      <c r="E334" s="3" t="s">
        <v>43</v>
      </c>
      <c r="F334" s="3">
        <v>0.0</v>
      </c>
      <c r="G334" s="3" t="s">
        <v>461</v>
      </c>
      <c r="H334" s="3">
        <v>1618.0</v>
      </c>
      <c r="I334" s="3" t="s">
        <v>27</v>
      </c>
      <c r="J334" s="3">
        <v>0.0</v>
      </c>
      <c r="K334" s="3">
        <v>0.0850195243166</v>
      </c>
      <c r="L334" s="3">
        <v>5263.19397974</v>
      </c>
      <c r="M334" s="3">
        <v>41.0</v>
      </c>
      <c r="N334" s="3">
        <v>14.0</v>
      </c>
      <c r="O334" s="3">
        <v>1878.0</v>
      </c>
      <c r="P334" s="3">
        <v>7.45473908413</v>
      </c>
      <c r="Q334" s="3">
        <v>861.55484558</v>
      </c>
      <c r="R334" s="3">
        <v>115.571428571</v>
      </c>
      <c r="S334" s="3">
        <v>0.0</v>
      </c>
      <c r="T334" s="3" t="s">
        <v>27</v>
      </c>
      <c r="U334" s="3" t="s">
        <v>541</v>
      </c>
    </row>
    <row r="335">
      <c r="A335" s="3" t="s">
        <v>460</v>
      </c>
      <c r="B335" s="3" t="s">
        <v>114</v>
      </c>
      <c r="C335" s="3" t="s">
        <v>23</v>
      </c>
      <c r="D335" s="3" t="s">
        <v>64</v>
      </c>
      <c r="E335" s="3" t="s">
        <v>47</v>
      </c>
      <c r="F335" s="3">
        <v>0.0</v>
      </c>
      <c r="G335" s="3" t="s">
        <v>461</v>
      </c>
      <c r="H335" s="3">
        <v>901.0</v>
      </c>
      <c r="I335" s="3" t="s">
        <v>27</v>
      </c>
      <c r="J335" s="3">
        <v>0.0</v>
      </c>
      <c r="K335" s="3">
        <v>0.116264559068</v>
      </c>
      <c r="L335" s="3">
        <v>3626.49573016</v>
      </c>
      <c r="M335" s="3">
        <v>46.0</v>
      </c>
      <c r="N335" s="3">
        <v>4.0</v>
      </c>
      <c r="O335" s="3">
        <v>601.0</v>
      </c>
      <c r="P335" s="3">
        <v>6.65557404326</v>
      </c>
      <c r="Q335" s="3">
        <v>1499.16805324</v>
      </c>
      <c r="R335" s="3">
        <v>225.25</v>
      </c>
      <c r="S335" s="3">
        <v>0.0</v>
      </c>
      <c r="T335" s="3" t="s">
        <v>27</v>
      </c>
      <c r="U335" s="3" t="s">
        <v>542</v>
      </c>
    </row>
    <row r="336">
      <c r="A336" s="3" t="s">
        <v>460</v>
      </c>
      <c r="B336" s="3" t="s">
        <v>114</v>
      </c>
      <c r="C336" s="3" t="s">
        <v>23</v>
      </c>
      <c r="D336" s="3" t="s">
        <v>64</v>
      </c>
      <c r="E336" s="3" t="s">
        <v>51</v>
      </c>
      <c r="F336" s="3">
        <v>0.0</v>
      </c>
      <c r="G336" s="3" t="s">
        <v>461</v>
      </c>
      <c r="H336" s="3">
        <v>1285.0</v>
      </c>
      <c r="I336" s="3" t="s">
        <v>27</v>
      </c>
      <c r="J336" s="3">
        <v>0.0</v>
      </c>
      <c r="K336" s="3">
        <v>0.104935194417</v>
      </c>
      <c r="L336" s="3">
        <v>4537.12320924</v>
      </c>
      <c r="M336" s="3">
        <v>40.0</v>
      </c>
      <c r="N336" s="3">
        <v>9.0</v>
      </c>
      <c r="O336" s="3">
        <v>1003.0</v>
      </c>
      <c r="P336" s="3">
        <v>8.97308075773</v>
      </c>
      <c r="Q336" s="3">
        <v>1281.15653041</v>
      </c>
      <c r="R336" s="3">
        <v>142.777777778</v>
      </c>
      <c r="S336" s="3">
        <v>0.0</v>
      </c>
      <c r="T336" s="3" t="s">
        <v>27</v>
      </c>
      <c r="U336" s="3" t="s">
        <v>543</v>
      </c>
    </row>
    <row r="337">
      <c r="A337" s="2" t="s">
        <v>32</v>
      </c>
      <c r="B337" s="2" t="s">
        <v>22</v>
      </c>
      <c r="C337" s="2" t="s">
        <v>23</v>
      </c>
      <c r="D337" s="2" t="s">
        <v>64</v>
      </c>
      <c r="E337" s="2" t="s">
        <v>34</v>
      </c>
      <c r="F337" s="7">
        <v>0.0</v>
      </c>
      <c r="G337" s="2" t="s">
        <v>356</v>
      </c>
      <c r="H337" s="7">
        <v>494.0</v>
      </c>
      <c r="I337" s="2" t="s">
        <v>27</v>
      </c>
      <c r="J337" s="7">
        <v>834.0</v>
      </c>
      <c r="K337" s="7">
        <v>0.177666666666666</v>
      </c>
      <c r="L337" s="7">
        <v>12288.6689071655</v>
      </c>
      <c r="M337" s="2"/>
      <c r="N337" s="7">
        <v>0.0</v>
      </c>
      <c r="O337" s="7">
        <v>500.0</v>
      </c>
      <c r="P337" s="7">
        <v>0.0</v>
      </c>
      <c r="Q337" s="7">
        <v>988.0</v>
      </c>
      <c r="R337" s="2"/>
      <c r="S337" s="7">
        <v>1.68825910931174</v>
      </c>
      <c r="T337" s="2" t="s">
        <v>27</v>
      </c>
      <c r="U337" s="2" t="s">
        <v>544</v>
      </c>
    </row>
    <row r="338">
      <c r="A338" s="2" t="s">
        <v>32</v>
      </c>
      <c r="B338" s="2" t="s">
        <v>114</v>
      </c>
      <c r="C338" s="2" t="s">
        <v>23</v>
      </c>
      <c r="D338" s="2" t="s">
        <v>64</v>
      </c>
      <c r="E338" s="2" t="s">
        <v>47</v>
      </c>
      <c r="F338" s="7">
        <v>100.0</v>
      </c>
      <c r="G338" s="2" t="s">
        <v>364</v>
      </c>
      <c r="H338" s="7">
        <v>4000.0</v>
      </c>
      <c r="I338" s="2" t="s">
        <v>27</v>
      </c>
      <c r="J338" s="7">
        <v>4000.0</v>
      </c>
      <c r="K338" s="7">
        <v>0.0</v>
      </c>
      <c r="L338" s="7">
        <v>242013.224918842</v>
      </c>
      <c r="M338" s="2"/>
      <c r="N338" s="7">
        <v>0.0</v>
      </c>
      <c r="O338" s="7">
        <v>500.0</v>
      </c>
      <c r="P338" s="7">
        <v>0.0</v>
      </c>
      <c r="Q338" s="7">
        <v>8000.0</v>
      </c>
      <c r="R338" s="2"/>
      <c r="S338" s="7">
        <v>1.0</v>
      </c>
      <c r="T338" s="2" t="s">
        <v>27</v>
      </c>
      <c r="U338" s="2" t="s">
        <v>545</v>
      </c>
    </row>
    <row r="339">
      <c r="A339" s="2" t="s">
        <v>32</v>
      </c>
      <c r="B339" s="2" t="s">
        <v>114</v>
      </c>
      <c r="C339" s="2" t="s">
        <v>23</v>
      </c>
      <c r="D339" s="2" t="s">
        <v>64</v>
      </c>
      <c r="E339" s="2" t="s">
        <v>39</v>
      </c>
      <c r="F339" s="7">
        <v>100.0</v>
      </c>
      <c r="G339" s="2" t="s">
        <v>364</v>
      </c>
      <c r="H339" s="7">
        <v>2000.0</v>
      </c>
      <c r="I339" s="2" t="s">
        <v>27</v>
      </c>
      <c r="J339" s="7">
        <v>2000.0</v>
      </c>
      <c r="K339" s="7">
        <v>0.0</v>
      </c>
      <c r="L339" s="7">
        <v>121995.714086771</v>
      </c>
      <c r="M339" s="2"/>
      <c r="N339" s="7">
        <v>0.0</v>
      </c>
      <c r="O339" s="7">
        <v>500.0</v>
      </c>
      <c r="P339" s="7">
        <v>0.0</v>
      </c>
      <c r="Q339" s="7">
        <v>4000.0</v>
      </c>
      <c r="R339" s="2"/>
      <c r="S339" s="7">
        <v>1.0</v>
      </c>
      <c r="T339" s="2" t="s">
        <v>27</v>
      </c>
      <c r="U339" s="2" t="s">
        <v>546</v>
      </c>
    </row>
    <row r="340">
      <c r="A340" s="2" t="s">
        <v>32</v>
      </c>
      <c r="B340" s="2" t="s">
        <v>114</v>
      </c>
      <c r="C340" s="2" t="s">
        <v>23</v>
      </c>
      <c r="D340" s="2" t="s">
        <v>64</v>
      </c>
      <c r="E340" s="2" t="s">
        <v>25</v>
      </c>
      <c r="F340" s="7">
        <v>100.0</v>
      </c>
      <c r="G340" s="2" t="s">
        <v>364</v>
      </c>
      <c r="H340" s="7">
        <v>1000.0</v>
      </c>
      <c r="I340" s="2" t="s">
        <v>27</v>
      </c>
      <c r="J340" s="7">
        <v>1000.0</v>
      </c>
      <c r="K340" s="7">
        <v>0.0</v>
      </c>
      <c r="L340" s="7">
        <v>60756.2134931087</v>
      </c>
      <c r="M340" s="2"/>
      <c r="N340" s="7">
        <v>0.0</v>
      </c>
      <c r="O340" s="7">
        <v>500.0</v>
      </c>
      <c r="P340" s="7">
        <v>0.0</v>
      </c>
      <c r="Q340" s="7">
        <v>2000.0</v>
      </c>
      <c r="R340" s="2"/>
      <c r="S340" s="7">
        <v>1.0</v>
      </c>
      <c r="T340" s="2" t="s">
        <v>27</v>
      </c>
      <c r="U340" s="2" t="s">
        <v>547</v>
      </c>
    </row>
    <row r="341">
      <c r="A341" s="2" t="s">
        <v>32</v>
      </c>
      <c r="B341" s="2" t="s">
        <v>114</v>
      </c>
      <c r="C341" s="2" t="s">
        <v>23</v>
      </c>
      <c r="D341" s="2" t="s">
        <v>72</v>
      </c>
      <c r="E341" s="2" t="s">
        <v>39</v>
      </c>
      <c r="F341" s="7">
        <v>100.0</v>
      </c>
      <c r="G341" s="2" t="s">
        <v>366</v>
      </c>
      <c r="H341" s="7">
        <v>2000.0</v>
      </c>
      <c r="I341" s="2" t="s">
        <v>27</v>
      </c>
      <c r="J341" s="7">
        <v>2000.0</v>
      </c>
      <c r="K341" s="7">
        <v>0.0</v>
      </c>
      <c r="L341" s="7">
        <v>120312.42745161</v>
      </c>
      <c r="M341" s="2"/>
      <c r="N341" s="7">
        <v>0.0</v>
      </c>
      <c r="O341" s="7">
        <v>500.0</v>
      </c>
      <c r="P341" s="7">
        <v>0.0</v>
      </c>
      <c r="Q341" s="7">
        <v>4000.0</v>
      </c>
      <c r="R341" s="2"/>
      <c r="S341" s="7">
        <v>1.0</v>
      </c>
      <c r="T341" s="2" t="s">
        <v>27</v>
      </c>
      <c r="U341" s="2" t="s">
        <v>548</v>
      </c>
    </row>
    <row r="342">
      <c r="A342" s="2" t="s">
        <v>33</v>
      </c>
      <c r="B342" s="2" t="s">
        <v>22</v>
      </c>
      <c r="C342" s="2" t="s">
        <v>35</v>
      </c>
      <c r="D342" s="2" t="s">
        <v>24</v>
      </c>
      <c r="E342" s="2" t="s">
        <v>39</v>
      </c>
      <c r="F342" s="7">
        <v>0.0</v>
      </c>
      <c r="G342" s="2" t="s">
        <v>49</v>
      </c>
      <c r="H342" s="7">
        <v>491.0</v>
      </c>
      <c r="I342" s="7">
        <v>490.0</v>
      </c>
      <c r="J342" s="7">
        <v>1960.0</v>
      </c>
      <c r="K342" s="7">
        <v>0.0</v>
      </c>
      <c r="L342" s="7">
        <v>7165.65599155426</v>
      </c>
      <c r="M342" s="2"/>
      <c r="N342" s="7">
        <v>0.0</v>
      </c>
      <c r="O342" s="7">
        <v>500.0</v>
      </c>
      <c r="P342" s="7">
        <v>0.0</v>
      </c>
      <c r="Q342" s="7">
        <v>982.0</v>
      </c>
      <c r="R342" s="2"/>
      <c r="S342" s="7">
        <v>3.99185336048879</v>
      </c>
      <c r="T342" s="7">
        <v>0.997963340122199</v>
      </c>
      <c r="U342" s="2" t="s">
        <v>549</v>
      </c>
    </row>
    <row r="343">
      <c r="A343" s="2" t="s">
        <v>33</v>
      </c>
      <c r="B343" s="2" t="s">
        <v>22</v>
      </c>
      <c r="C343" s="2" t="s">
        <v>35</v>
      </c>
      <c r="D343" s="2" t="s">
        <v>24</v>
      </c>
      <c r="E343" s="2" t="s">
        <v>25</v>
      </c>
      <c r="F343" s="7">
        <v>0.0</v>
      </c>
      <c r="G343" s="2" t="s">
        <v>49</v>
      </c>
      <c r="H343" s="7">
        <v>500.0</v>
      </c>
      <c r="I343" s="7">
        <v>500.0</v>
      </c>
      <c r="J343" s="7">
        <v>1000.0</v>
      </c>
      <c r="K343" s="7">
        <v>0.0</v>
      </c>
      <c r="L343" s="7">
        <v>7275.74487805366</v>
      </c>
      <c r="M343" s="2"/>
      <c r="N343" s="7">
        <v>0.0</v>
      </c>
      <c r="O343" s="7">
        <v>500.0</v>
      </c>
      <c r="P343" s="7">
        <v>0.0</v>
      </c>
      <c r="Q343" s="7">
        <v>1000.0</v>
      </c>
      <c r="R343" s="2"/>
      <c r="S343" s="7">
        <v>2.0</v>
      </c>
      <c r="T343" s="7">
        <v>1.0</v>
      </c>
      <c r="U343" s="2" t="s">
        <v>552</v>
      </c>
    </row>
    <row r="344">
      <c r="A344" s="2" t="s">
        <v>33</v>
      </c>
      <c r="B344" s="2" t="s">
        <v>22</v>
      </c>
      <c r="C344" s="2" t="s">
        <v>35</v>
      </c>
      <c r="D344" s="2" t="s">
        <v>24</v>
      </c>
      <c r="E344" s="2" t="s">
        <v>51</v>
      </c>
      <c r="F344" s="7">
        <v>0.0</v>
      </c>
      <c r="G344" s="2" t="s">
        <v>40</v>
      </c>
      <c r="H344" s="7">
        <v>473.0</v>
      </c>
      <c r="I344" s="7">
        <v>0.0</v>
      </c>
      <c r="J344" s="7">
        <v>3758.0</v>
      </c>
      <c r="K344" s="7">
        <v>0.0</v>
      </c>
      <c r="L344" s="7">
        <v>1320.73053693771</v>
      </c>
      <c r="M344" s="2"/>
      <c r="N344" s="7">
        <v>0.0</v>
      </c>
      <c r="O344" s="7">
        <v>500.0</v>
      </c>
      <c r="P344" s="7">
        <v>0.0</v>
      </c>
      <c r="Q344" s="7">
        <v>946.0</v>
      </c>
      <c r="R344" s="2"/>
      <c r="S344" s="7">
        <v>7.94503171247357</v>
      </c>
      <c r="T344" s="7">
        <v>0.0</v>
      </c>
      <c r="U344" s="2" t="s">
        <v>553</v>
      </c>
    </row>
    <row r="345">
      <c r="A345" s="2" t="s">
        <v>33</v>
      </c>
      <c r="B345" s="2" t="s">
        <v>22</v>
      </c>
      <c r="C345" s="2" t="s">
        <v>35</v>
      </c>
      <c r="D345" s="2" t="s">
        <v>24</v>
      </c>
      <c r="E345" s="2" t="s">
        <v>47</v>
      </c>
      <c r="F345" s="7">
        <v>0.0</v>
      </c>
      <c r="G345" s="2" t="s">
        <v>40</v>
      </c>
      <c r="H345" s="7">
        <v>209.0</v>
      </c>
      <c r="I345" s="7">
        <v>0.0</v>
      </c>
      <c r="J345" s="7">
        <v>1053.0</v>
      </c>
      <c r="K345" s="7">
        <v>0.013</v>
      </c>
      <c r="L345" s="7">
        <v>11322.9794478416</v>
      </c>
      <c r="M345" s="2"/>
      <c r="N345" s="7">
        <v>0.0</v>
      </c>
      <c r="O345" s="7">
        <v>500.0</v>
      </c>
      <c r="P345" s="7">
        <v>0.0</v>
      </c>
      <c r="Q345" s="7">
        <v>418.0</v>
      </c>
      <c r="R345" s="2"/>
      <c r="S345" s="7">
        <v>5.03827751196172</v>
      </c>
      <c r="T345" s="7">
        <v>0.0</v>
      </c>
      <c r="U345" s="2" t="s">
        <v>554</v>
      </c>
    </row>
    <row r="346">
      <c r="A346" s="2" t="s">
        <v>33</v>
      </c>
      <c r="B346" s="2" t="s">
        <v>22</v>
      </c>
      <c r="C346" s="2" t="s">
        <v>35</v>
      </c>
      <c r="D346" s="2" t="s">
        <v>24</v>
      </c>
      <c r="E346" s="2" t="s">
        <v>25</v>
      </c>
      <c r="F346" s="7">
        <v>0.0</v>
      </c>
      <c r="G346" s="2" t="s">
        <v>40</v>
      </c>
      <c r="H346" s="7">
        <v>482.0</v>
      </c>
      <c r="I346" s="7">
        <v>1.0</v>
      </c>
      <c r="J346" s="7">
        <v>914.0</v>
      </c>
      <c r="K346" s="7">
        <v>0.0</v>
      </c>
      <c r="L346" s="7">
        <v>304.431829690933</v>
      </c>
      <c r="M346" s="2"/>
      <c r="N346" s="7">
        <v>0.0</v>
      </c>
      <c r="O346" s="7">
        <v>500.0</v>
      </c>
      <c r="P346" s="7">
        <v>0.0</v>
      </c>
      <c r="Q346" s="7">
        <v>964.0</v>
      </c>
      <c r="R346" s="2"/>
      <c r="S346" s="7">
        <v>1.89626556016597</v>
      </c>
      <c r="T346" s="7">
        <v>0.00207468879668049</v>
      </c>
      <c r="U346" s="2" t="s">
        <v>555</v>
      </c>
    </row>
    <row r="347">
      <c r="A347" s="2" t="s">
        <v>33</v>
      </c>
      <c r="B347" s="2" t="s">
        <v>22</v>
      </c>
      <c r="C347" s="2" t="s">
        <v>35</v>
      </c>
      <c r="D347" s="2" t="s">
        <v>24</v>
      </c>
      <c r="E347" s="2" t="s">
        <v>47</v>
      </c>
      <c r="F347" s="7">
        <v>0.0</v>
      </c>
      <c r="G347" s="2" t="s">
        <v>44</v>
      </c>
      <c r="H347" s="7">
        <v>247.0</v>
      </c>
      <c r="I347" s="7">
        <v>0.0</v>
      </c>
      <c r="J347" s="7">
        <v>1141.0</v>
      </c>
      <c r="K347" s="7">
        <v>0.01275</v>
      </c>
      <c r="L347" s="7">
        <v>13174.1402876377</v>
      </c>
      <c r="M347" s="2"/>
      <c r="N347" s="7">
        <v>0.0</v>
      </c>
      <c r="O347" s="7">
        <v>500.0</v>
      </c>
      <c r="P347" s="7">
        <v>0.0</v>
      </c>
      <c r="Q347" s="7">
        <v>494.0</v>
      </c>
      <c r="R347" s="2"/>
      <c r="S347" s="7">
        <v>4.61943319838056</v>
      </c>
      <c r="T347" s="7">
        <v>0.0</v>
      </c>
      <c r="U347" s="2" t="s">
        <v>556</v>
      </c>
    </row>
    <row r="348">
      <c r="A348" s="2" t="s">
        <v>33</v>
      </c>
      <c r="B348" s="2" t="s">
        <v>22</v>
      </c>
      <c r="C348" s="2" t="s">
        <v>35</v>
      </c>
      <c r="D348" s="2" t="s">
        <v>72</v>
      </c>
      <c r="E348" s="2" t="s">
        <v>25</v>
      </c>
      <c r="F348" s="7">
        <v>0.0</v>
      </c>
      <c r="G348" s="2" t="s">
        <v>557</v>
      </c>
      <c r="H348" s="7">
        <v>287.0</v>
      </c>
      <c r="I348" s="7">
        <v>0.0</v>
      </c>
      <c r="J348" s="7">
        <v>300.0</v>
      </c>
      <c r="K348" s="7">
        <v>0.258</v>
      </c>
      <c r="L348" s="7">
        <v>15302.4319603443</v>
      </c>
      <c r="M348" s="2"/>
      <c r="N348" s="7">
        <v>0.0</v>
      </c>
      <c r="O348" s="7">
        <v>500.0</v>
      </c>
      <c r="P348" s="7">
        <v>0.0</v>
      </c>
      <c r="Q348" s="7">
        <v>574.0</v>
      </c>
      <c r="R348" s="2"/>
      <c r="S348" s="7">
        <v>1.04529616724738</v>
      </c>
      <c r="T348" s="7">
        <v>0.0</v>
      </c>
      <c r="U348" s="2" t="s">
        <v>558</v>
      </c>
    </row>
    <row r="349">
      <c r="A349" s="2" t="s">
        <v>33</v>
      </c>
      <c r="B349" s="2" t="s">
        <v>22</v>
      </c>
      <c r="C349" s="2" t="s">
        <v>35</v>
      </c>
      <c r="D349" s="2" t="s">
        <v>54</v>
      </c>
      <c r="E349" s="2" t="s">
        <v>51</v>
      </c>
      <c r="F349" s="7">
        <v>0.0</v>
      </c>
      <c r="G349" s="2" t="s">
        <v>559</v>
      </c>
      <c r="H349" s="7">
        <v>419.0</v>
      </c>
      <c r="I349" s="7">
        <v>0.0</v>
      </c>
      <c r="J349" s="7">
        <v>5.0</v>
      </c>
      <c r="K349" s="7">
        <v>0.104</v>
      </c>
      <c r="L349" s="7">
        <v>4463.81049990654</v>
      </c>
      <c r="M349" s="2"/>
      <c r="N349" s="7">
        <v>0.0</v>
      </c>
      <c r="O349" s="7">
        <v>500.0</v>
      </c>
      <c r="P349" s="7">
        <v>0.0</v>
      </c>
      <c r="Q349" s="7">
        <v>838.0</v>
      </c>
      <c r="R349" s="2"/>
      <c r="S349" s="7">
        <v>0.0119331742243436</v>
      </c>
      <c r="T349" s="7">
        <v>0.0</v>
      </c>
      <c r="U349" s="2" t="s">
        <v>560</v>
      </c>
    </row>
    <row r="350">
      <c r="A350" s="2" t="s">
        <v>33</v>
      </c>
      <c r="B350" s="2" t="s">
        <v>22</v>
      </c>
      <c r="C350" s="2" t="s">
        <v>35</v>
      </c>
      <c r="D350" s="2" t="s">
        <v>54</v>
      </c>
      <c r="E350" s="2" t="s">
        <v>47</v>
      </c>
      <c r="F350" s="7">
        <v>0.0</v>
      </c>
      <c r="G350" s="2" t="s">
        <v>559</v>
      </c>
      <c r="H350" s="7">
        <v>1097.0</v>
      </c>
      <c r="I350" s="7">
        <v>13.0</v>
      </c>
      <c r="J350" s="7">
        <v>179.0</v>
      </c>
      <c r="K350" s="7">
        <v>0.142340425531914</v>
      </c>
      <c r="L350" s="7">
        <v>14522.087092638</v>
      </c>
      <c r="M350" s="7">
        <v>83.0</v>
      </c>
      <c r="N350" s="7">
        <v>3.0</v>
      </c>
      <c r="O350" s="7">
        <v>1175.0</v>
      </c>
      <c r="P350" s="7">
        <v>2.5531914893617</v>
      </c>
      <c r="Q350" s="7">
        <v>933.617021276595</v>
      </c>
      <c r="R350" s="7">
        <v>365.666666666666</v>
      </c>
      <c r="S350" s="7">
        <v>0.16317228805834</v>
      </c>
      <c r="T350" s="7">
        <v>0.0118505013673655</v>
      </c>
      <c r="U350" s="2" t="s">
        <v>562</v>
      </c>
    </row>
    <row r="351">
      <c r="A351" s="2" t="s">
        <v>33</v>
      </c>
      <c r="B351" s="2" t="s">
        <v>22</v>
      </c>
      <c r="C351" s="2" t="s">
        <v>35</v>
      </c>
      <c r="D351" s="2" t="s">
        <v>54</v>
      </c>
      <c r="E351" s="2" t="s">
        <v>43</v>
      </c>
      <c r="F351" s="7">
        <v>0.0</v>
      </c>
      <c r="G351" s="2" t="s">
        <v>559</v>
      </c>
      <c r="H351" s="7">
        <v>456.0</v>
      </c>
      <c r="I351" s="7">
        <v>4.0</v>
      </c>
      <c r="J351" s="7">
        <v>58.0</v>
      </c>
      <c r="K351" s="7">
        <v>0.0863333333333333</v>
      </c>
      <c r="L351" s="7">
        <v>4937.15634322166</v>
      </c>
      <c r="M351" s="2"/>
      <c r="N351" s="7">
        <v>0.0</v>
      </c>
      <c r="O351" s="7">
        <v>500.0</v>
      </c>
      <c r="P351" s="7">
        <v>0.0</v>
      </c>
      <c r="Q351" s="7">
        <v>912.0</v>
      </c>
      <c r="R351" s="2"/>
      <c r="S351" s="7">
        <v>0.12719298245614</v>
      </c>
      <c r="T351" s="7">
        <v>0.0087719298245614</v>
      </c>
      <c r="U351" s="2" t="s">
        <v>563</v>
      </c>
    </row>
    <row r="352">
      <c r="A352" s="2" t="s">
        <v>33</v>
      </c>
      <c r="B352" s="2" t="s">
        <v>22</v>
      </c>
      <c r="C352" s="2" t="s">
        <v>35</v>
      </c>
      <c r="D352" s="2" t="s">
        <v>54</v>
      </c>
      <c r="E352" s="2" t="s">
        <v>39</v>
      </c>
      <c r="F352" s="7">
        <v>0.0</v>
      </c>
      <c r="G352" s="2" t="s">
        <v>559</v>
      </c>
      <c r="H352" s="7">
        <v>502.0</v>
      </c>
      <c r="I352" s="7">
        <v>1.0</v>
      </c>
      <c r="J352" s="7">
        <v>17.0</v>
      </c>
      <c r="K352" s="7">
        <v>0.0581494057724957</v>
      </c>
      <c r="L352" s="7">
        <v>3973.23946642875</v>
      </c>
      <c r="M352" s="7">
        <v>89.0</v>
      </c>
      <c r="N352" s="7">
        <v>1.0</v>
      </c>
      <c r="O352" s="7">
        <v>589.0</v>
      </c>
      <c r="P352" s="7">
        <v>1.69779286926994</v>
      </c>
      <c r="Q352" s="7">
        <v>852.292020373514</v>
      </c>
      <c r="R352" s="7">
        <v>502.0</v>
      </c>
      <c r="S352" s="7">
        <v>0.0338645418326693</v>
      </c>
      <c r="T352" s="7">
        <v>0.00199203187250996</v>
      </c>
      <c r="U352" s="2" t="s">
        <v>564</v>
      </c>
    </row>
    <row r="353">
      <c r="A353" s="2" t="s">
        <v>33</v>
      </c>
      <c r="B353" s="2" t="s">
        <v>22</v>
      </c>
      <c r="C353" s="2" t="s">
        <v>35</v>
      </c>
      <c r="D353" s="2" t="s">
        <v>54</v>
      </c>
      <c r="E353" s="2" t="s">
        <v>34</v>
      </c>
      <c r="F353" s="7">
        <v>0.0</v>
      </c>
      <c r="G353" s="2" t="s">
        <v>559</v>
      </c>
      <c r="H353" s="7">
        <v>727.0</v>
      </c>
      <c r="I353" s="7">
        <v>0.0</v>
      </c>
      <c r="J353" s="7">
        <v>15.0</v>
      </c>
      <c r="K353" s="7">
        <v>0.119298245614035</v>
      </c>
      <c r="L353" s="7">
        <v>8211.2419745922</v>
      </c>
      <c r="M353" s="7">
        <v>260.0</v>
      </c>
      <c r="N353" s="7">
        <v>1.0</v>
      </c>
      <c r="O353" s="7">
        <v>760.0</v>
      </c>
      <c r="P353" s="7">
        <v>1.31578947368421</v>
      </c>
      <c r="Q353" s="7">
        <v>956.578947368421</v>
      </c>
      <c r="R353" s="7">
        <v>727.0</v>
      </c>
      <c r="S353" s="7">
        <v>0.0206327372764786</v>
      </c>
      <c r="T353" s="7">
        <v>0.0</v>
      </c>
      <c r="U353" s="2" t="s">
        <v>565</v>
      </c>
    </row>
    <row r="354">
      <c r="A354" s="2" t="s">
        <v>33</v>
      </c>
      <c r="B354" s="2" t="s">
        <v>22</v>
      </c>
      <c r="C354" s="2" t="s">
        <v>35</v>
      </c>
      <c r="D354" s="2" t="s">
        <v>54</v>
      </c>
      <c r="E354" s="2" t="s">
        <v>25</v>
      </c>
      <c r="F354" s="7">
        <v>0.0</v>
      </c>
      <c r="G354" s="2" t="s">
        <v>559</v>
      </c>
      <c r="H354" s="7">
        <v>491.0</v>
      </c>
      <c r="I354" s="7">
        <v>0.0</v>
      </c>
      <c r="J354" s="7">
        <v>0.0</v>
      </c>
      <c r="K354" s="7">
        <v>0.0</v>
      </c>
      <c r="L354" s="7">
        <v>2197.48184895515</v>
      </c>
      <c r="M354" s="2"/>
      <c r="N354" s="7">
        <v>0.0</v>
      </c>
      <c r="O354" s="7">
        <v>500.0</v>
      </c>
      <c r="P354" s="7">
        <v>0.0</v>
      </c>
      <c r="Q354" s="7">
        <v>982.0</v>
      </c>
      <c r="R354" s="2"/>
      <c r="S354" s="7">
        <v>0.0</v>
      </c>
      <c r="T354" s="7">
        <v>0.0</v>
      </c>
      <c r="U354" s="2" t="s">
        <v>566</v>
      </c>
    </row>
    <row r="355">
      <c r="A355" s="2" t="s">
        <v>33</v>
      </c>
      <c r="B355" s="2" t="s">
        <v>22</v>
      </c>
      <c r="C355" s="2" t="s">
        <v>35</v>
      </c>
      <c r="D355" s="2" t="s">
        <v>24</v>
      </c>
      <c r="E355" s="2" t="s">
        <v>47</v>
      </c>
      <c r="F355" s="7">
        <v>0.0</v>
      </c>
      <c r="G355" s="2" t="s">
        <v>36</v>
      </c>
      <c r="H355" s="7">
        <v>247.0</v>
      </c>
      <c r="I355" s="7">
        <v>0.0</v>
      </c>
      <c r="J355" s="7">
        <v>1141.0</v>
      </c>
      <c r="K355" s="7">
        <v>0.01275</v>
      </c>
      <c r="L355" s="7">
        <v>13174.1402876377</v>
      </c>
      <c r="M355" s="2"/>
      <c r="N355" s="7">
        <v>0.0</v>
      </c>
      <c r="O355" s="7">
        <v>500.0</v>
      </c>
      <c r="P355" s="7">
        <v>0.0</v>
      </c>
      <c r="Q355" s="7">
        <v>494.0</v>
      </c>
      <c r="R355" s="2"/>
      <c r="S355" s="7">
        <v>4.61943319838056</v>
      </c>
      <c r="T355" s="7">
        <v>0.0</v>
      </c>
      <c r="U355" s="2" t="s">
        <v>567</v>
      </c>
    </row>
    <row r="356">
      <c r="A356" s="2" t="s">
        <v>33</v>
      </c>
      <c r="B356" s="2" t="s">
        <v>22</v>
      </c>
      <c r="C356" s="2" t="s">
        <v>35</v>
      </c>
      <c r="D356" s="2" t="s">
        <v>24</v>
      </c>
      <c r="E356" s="2" t="s">
        <v>51</v>
      </c>
      <c r="F356" s="7">
        <v>0.0</v>
      </c>
      <c r="G356" s="2" t="s">
        <v>569</v>
      </c>
      <c r="H356" s="7">
        <v>473.0</v>
      </c>
      <c r="I356" s="7">
        <v>0.0</v>
      </c>
      <c r="J356" s="7">
        <v>3758.0</v>
      </c>
      <c r="K356" s="7">
        <v>0.0</v>
      </c>
      <c r="L356" s="7">
        <v>1320.73053693771</v>
      </c>
      <c r="M356" s="2"/>
      <c r="N356" s="7">
        <v>0.0</v>
      </c>
      <c r="O356" s="7">
        <v>500.0</v>
      </c>
      <c r="P356" s="7">
        <v>0.0</v>
      </c>
      <c r="Q356" s="7">
        <v>946.0</v>
      </c>
      <c r="R356" s="2"/>
      <c r="S356" s="7">
        <v>7.94503171247357</v>
      </c>
      <c r="T356" s="7">
        <v>0.0</v>
      </c>
      <c r="U356" s="2" t="s">
        <v>570</v>
      </c>
    </row>
    <row r="357">
      <c r="A357" s="2" t="s">
        <v>33</v>
      </c>
      <c r="B357" s="2" t="s">
        <v>22</v>
      </c>
      <c r="C357" s="2" t="s">
        <v>35</v>
      </c>
      <c r="D357" s="2" t="s">
        <v>24</v>
      </c>
      <c r="E357" s="2" t="s">
        <v>47</v>
      </c>
      <c r="F357" s="7">
        <v>0.0</v>
      </c>
      <c r="G357" s="2" t="s">
        <v>569</v>
      </c>
      <c r="H357" s="7">
        <v>209.0</v>
      </c>
      <c r="I357" s="7">
        <v>0.0</v>
      </c>
      <c r="J357" s="7">
        <v>1053.0</v>
      </c>
      <c r="K357" s="7">
        <v>0.013</v>
      </c>
      <c r="L357" s="7">
        <v>11322.9794478416</v>
      </c>
      <c r="M357" s="2"/>
      <c r="N357" s="7">
        <v>0.0</v>
      </c>
      <c r="O357" s="7">
        <v>500.0</v>
      </c>
      <c r="P357" s="7">
        <v>0.0</v>
      </c>
      <c r="Q357" s="7">
        <v>418.0</v>
      </c>
      <c r="R357" s="2"/>
      <c r="S357" s="7">
        <v>5.03827751196172</v>
      </c>
      <c r="T357" s="7">
        <v>0.0</v>
      </c>
      <c r="U357" s="2" t="s">
        <v>571</v>
      </c>
    </row>
    <row r="358">
      <c r="A358" s="2" t="s">
        <v>33</v>
      </c>
      <c r="B358" s="2" t="s">
        <v>22</v>
      </c>
      <c r="C358" s="2" t="s">
        <v>35</v>
      </c>
      <c r="D358" s="2" t="s">
        <v>24</v>
      </c>
      <c r="E358" s="2" t="s">
        <v>43</v>
      </c>
      <c r="F358" s="7">
        <v>0.0</v>
      </c>
      <c r="G358" s="2" t="s">
        <v>569</v>
      </c>
      <c r="H358" s="7">
        <v>146.0</v>
      </c>
      <c r="I358" s="7">
        <v>0.0</v>
      </c>
      <c r="J358" s="7">
        <v>234.0</v>
      </c>
      <c r="K358" s="7">
        <v>0.0</v>
      </c>
      <c r="L358" s="7">
        <v>6942.65383267402</v>
      </c>
      <c r="M358" s="2"/>
      <c r="N358" s="7">
        <v>0.0</v>
      </c>
      <c r="O358" s="7">
        <v>500.0</v>
      </c>
      <c r="P358" s="7">
        <v>0.0</v>
      </c>
      <c r="Q358" s="7">
        <v>292.0</v>
      </c>
      <c r="R358" s="2"/>
      <c r="S358" s="7">
        <v>1.60273972602739</v>
      </c>
      <c r="T358" s="7">
        <v>0.0</v>
      </c>
      <c r="U358" s="2" t="s">
        <v>572</v>
      </c>
    </row>
    <row r="359">
      <c r="A359" s="2" t="s">
        <v>33</v>
      </c>
      <c r="B359" s="2" t="s">
        <v>22</v>
      </c>
      <c r="C359" s="2" t="s">
        <v>35</v>
      </c>
      <c r="D359" s="2" t="s">
        <v>24</v>
      </c>
      <c r="E359" s="2" t="s">
        <v>39</v>
      </c>
      <c r="F359" s="7">
        <v>0.0</v>
      </c>
      <c r="G359" s="2" t="s">
        <v>569</v>
      </c>
      <c r="H359" s="7">
        <v>491.0</v>
      </c>
      <c r="I359" s="7">
        <v>0.0</v>
      </c>
      <c r="J359" s="7">
        <v>344.0</v>
      </c>
      <c r="K359" s="7">
        <v>0.0</v>
      </c>
      <c r="L359" s="7">
        <v>2221.95954346656</v>
      </c>
      <c r="M359" s="2"/>
      <c r="N359" s="7">
        <v>0.0</v>
      </c>
      <c r="O359" s="7">
        <v>500.0</v>
      </c>
      <c r="P359" s="7">
        <v>0.0</v>
      </c>
      <c r="Q359" s="7">
        <v>982.0</v>
      </c>
      <c r="R359" s="2"/>
      <c r="S359" s="7">
        <v>0.70061099796334</v>
      </c>
      <c r="T359" s="7">
        <v>0.0</v>
      </c>
      <c r="U359" s="2" t="s">
        <v>573</v>
      </c>
    </row>
    <row r="360">
      <c r="A360" s="2" t="s">
        <v>33</v>
      </c>
      <c r="B360" s="2" t="s">
        <v>22</v>
      </c>
      <c r="C360" s="2" t="s">
        <v>35</v>
      </c>
      <c r="D360" s="2" t="s">
        <v>24</v>
      </c>
      <c r="E360" s="2" t="s">
        <v>25</v>
      </c>
      <c r="F360" s="7">
        <v>0.0</v>
      </c>
      <c r="G360" s="2" t="s">
        <v>569</v>
      </c>
      <c r="H360" s="7">
        <v>482.0</v>
      </c>
      <c r="I360" s="7">
        <v>1.0</v>
      </c>
      <c r="J360" s="7">
        <v>914.0</v>
      </c>
      <c r="K360" s="7">
        <v>0.0</v>
      </c>
      <c r="L360" s="7">
        <v>304.431829690933</v>
      </c>
      <c r="M360" s="2"/>
      <c r="N360" s="7">
        <v>0.0</v>
      </c>
      <c r="O360" s="7">
        <v>500.0</v>
      </c>
      <c r="P360" s="7">
        <v>0.0</v>
      </c>
      <c r="Q360" s="7">
        <v>964.0</v>
      </c>
      <c r="R360" s="2"/>
      <c r="S360" s="7">
        <v>1.89626556016597</v>
      </c>
      <c r="T360" s="7">
        <v>0.00207468879668049</v>
      </c>
      <c r="U360" s="2" t="s">
        <v>574</v>
      </c>
    </row>
    <row r="361">
      <c r="A361" s="2" t="s">
        <v>33</v>
      </c>
      <c r="B361" s="2" t="s">
        <v>22</v>
      </c>
      <c r="C361" s="2" t="s">
        <v>35</v>
      </c>
      <c r="D361" s="2" t="s">
        <v>72</v>
      </c>
      <c r="E361" s="2" t="s">
        <v>51</v>
      </c>
      <c r="F361" s="7">
        <v>0.0</v>
      </c>
      <c r="G361" s="2" t="s">
        <v>65</v>
      </c>
      <c r="H361" s="7">
        <v>500.0</v>
      </c>
      <c r="I361" s="7">
        <v>0.0</v>
      </c>
      <c r="J361" s="7">
        <v>4000.0</v>
      </c>
      <c r="K361" s="7">
        <v>0.0</v>
      </c>
      <c r="L361" s="7">
        <v>30267.3855199813</v>
      </c>
      <c r="M361" s="2"/>
      <c r="N361" s="7">
        <v>0.0</v>
      </c>
      <c r="O361" s="7">
        <v>500.0</v>
      </c>
      <c r="P361" s="7">
        <v>0.0</v>
      </c>
      <c r="Q361" s="7">
        <v>1000.0</v>
      </c>
      <c r="R361" s="2"/>
      <c r="S361" s="7">
        <v>8.0</v>
      </c>
      <c r="T361" s="7">
        <v>0.0</v>
      </c>
      <c r="U361" s="2" t="s">
        <v>575</v>
      </c>
    </row>
    <row r="362">
      <c r="A362" s="2" t="s">
        <v>33</v>
      </c>
      <c r="B362" s="2" t="s">
        <v>22</v>
      </c>
      <c r="C362" s="2" t="s">
        <v>35</v>
      </c>
      <c r="D362" s="2" t="s">
        <v>72</v>
      </c>
      <c r="E362" s="2" t="s">
        <v>47</v>
      </c>
      <c r="F362" s="7">
        <v>0.0</v>
      </c>
      <c r="G362" s="2" t="s">
        <v>65</v>
      </c>
      <c r="H362" s="7">
        <v>479.0</v>
      </c>
      <c r="I362" s="7">
        <v>0.0</v>
      </c>
      <c r="J362" s="7">
        <v>3218.0</v>
      </c>
      <c r="K362" s="7">
        <v>0.0</v>
      </c>
      <c r="L362" s="7">
        <v>29059.2180604934</v>
      </c>
      <c r="M362" s="2"/>
      <c r="N362" s="7">
        <v>0.0</v>
      </c>
      <c r="O362" s="7">
        <v>500.0</v>
      </c>
      <c r="P362" s="7">
        <v>0.0</v>
      </c>
      <c r="Q362" s="7">
        <v>958.0</v>
      </c>
      <c r="R362" s="2"/>
      <c r="S362" s="7">
        <v>6.71816283924843</v>
      </c>
      <c r="T362" s="7">
        <v>0.0</v>
      </c>
      <c r="U362" s="2" t="s">
        <v>576</v>
      </c>
    </row>
    <row r="363">
      <c r="A363" s="2" t="s">
        <v>33</v>
      </c>
      <c r="B363" s="2" t="s">
        <v>22</v>
      </c>
      <c r="C363" s="2" t="s">
        <v>35</v>
      </c>
      <c r="D363" s="2" t="s">
        <v>72</v>
      </c>
      <c r="E363" s="2" t="s">
        <v>43</v>
      </c>
      <c r="F363" s="7">
        <v>0.0</v>
      </c>
      <c r="G363" s="2" t="s">
        <v>65</v>
      </c>
      <c r="H363" s="7">
        <v>1081.0</v>
      </c>
      <c r="I363" s="7">
        <v>0.0</v>
      </c>
      <c r="J363" s="7">
        <v>4184.0</v>
      </c>
      <c r="K363" s="7">
        <v>0.243228747653526</v>
      </c>
      <c r="L363" s="7">
        <v>64589.1196224689</v>
      </c>
      <c r="M363" s="7">
        <v>111.0</v>
      </c>
      <c r="N363" s="7">
        <v>5.0</v>
      </c>
      <c r="O363" s="7">
        <v>1243.0</v>
      </c>
      <c r="P363" s="7">
        <v>4.02252614641995</v>
      </c>
      <c r="Q363" s="7">
        <v>869.670152855993</v>
      </c>
      <c r="R363" s="7">
        <v>216.2</v>
      </c>
      <c r="S363" s="7">
        <v>3.8704902867715</v>
      </c>
      <c r="T363" s="7">
        <v>0.0</v>
      </c>
      <c r="U363" s="2" t="s">
        <v>577</v>
      </c>
    </row>
    <row r="364">
      <c r="A364" s="2" t="s">
        <v>33</v>
      </c>
      <c r="B364" s="2" t="s">
        <v>22</v>
      </c>
      <c r="C364" s="2" t="s">
        <v>35</v>
      </c>
      <c r="D364" s="2" t="s">
        <v>72</v>
      </c>
      <c r="E364" s="2" t="s">
        <v>39</v>
      </c>
      <c r="F364" s="7">
        <v>0.0</v>
      </c>
      <c r="G364" s="2" t="s">
        <v>65</v>
      </c>
      <c r="H364" s="7">
        <v>953.0</v>
      </c>
      <c r="I364" s="7">
        <v>0.0</v>
      </c>
      <c r="J364" s="7">
        <v>2014.0</v>
      </c>
      <c r="K364" s="7">
        <v>0.263018534863195</v>
      </c>
      <c r="L364" s="7">
        <v>55797.8372771739</v>
      </c>
      <c r="M364" s="7">
        <v>106.0</v>
      </c>
      <c r="N364" s="7">
        <v>3.0</v>
      </c>
      <c r="O364" s="7">
        <v>1133.0</v>
      </c>
      <c r="P364" s="7">
        <v>2.64783759929391</v>
      </c>
      <c r="Q364" s="7">
        <v>841.129744042365</v>
      </c>
      <c r="R364" s="7">
        <v>317.666666666666</v>
      </c>
      <c r="S364" s="7">
        <v>2.11332633788037</v>
      </c>
      <c r="T364" s="7">
        <v>0.0</v>
      </c>
      <c r="U364" s="2" t="s">
        <v>578</v>
      </c>
    </row>
    <row r="365">
      <c r="A365" s="2" t="s">
        <v>33</v>
      </c>
      <c r="B365" s="2" t="s">
        <v>22</v>
      </c>
      <c r="C365" s="2" t="s">
        <v>35</v>
      </c>
      <c r="D365" s="2" t="s">
        <v>72</v>
      </c>
      <c r="E365" s="2" t="s">
        <v>25</v>
      </c>
      <c r="F365" s="7">
        <v>0.0</v>
      </c>
      <c r="G365" s="2" t="s">
        <v>65</v>
      </c>
      <c r="H365" s="7">
        <v>287.0</v>
      </c>
      <c r="I365" s="7">
        <v>0.0</v>
      </c>
      <c r="J365" s="7">
        <v>300.0</v>
      </c>
      <c r="K365" s="7">
        <v>0.258</v>
      </c>
      <c r="L365" s="7">
        <v>15302.4319603443</v>
      </c>
      <c r="M365" s="2"/>
      <c r="N365" s="7">
        <v>0.0</v>
      </c>
      <c r="O365" s="7">
        <v>500.0</v>
      </c>
      <c r="P365" s="7">
        <v>0.0</v>
      </c>
      <c r="Q365" s="7">
        <v>574.0</v>
      </c>
      <c r="R365" s="2"/>
      <c r="S365" s="7">
        <v>1.04529616724738</v>
      </c>
      <c r="T365" s="7">
        <v>0.0</v>
      </c>
      <c r="U365" s="2" t="s">
        <v>579</v>
      </c>
    </row>
    <row r="366">
      <c r="A366" s="2" t="s">
        <v>33</v>
      </c>
      <c r="B366" s="2" t="s">
        <v>22</v>
      </c>
      <c r="C366" s="2" t="s">
        <v>23</v>
      </c>
      <c r="D366" s="2" t="s">
        <v>72</v>
      </c>
      <c r="E366" s="2" t="s">
        <v>51</v>
      </c>
      <c r="F366" s="7">
        <v>0.0</v>
      </c>
      <c r="G366" s="2" t="s">
        <v>81</v>
      </c>
      <c r="H366" s="7">
        <v>623.0</v>
      </c>
      <c r="I366" s="2" t="s">
        <v>27</v>
      </c>
      <c r="J366" s="7">
        <v>3842.0</v>
      </c>
      <c r="K366" s="7">
        <v>0.0969893292682926</v>
      </c>
      <c r="L366" s="7">
        <v>35785.4243054389</v>
      </c>
      <c r="M366" s="7">
        <v>76.0</v>
      </c>
      <c r="N366" s="7">
        <v>3.0</v>
      </c>
      <c r="O366" s="7">
        <v>656.0</v>
      </c>
      <c r="P366" s="7">
        <v>4.57317073170731</v>
      </c>
      <c r="Q366" s="7">
        <v>949.695121951219</v>
      </c>
      <c r="R366" s="7">
        <v>207.666666666666</v>
      </c>
      <c r="S366" s="7">
        <v>6.16693418940609</v>
      </c>
      <c r="T366" s="2" t="s">
        <v>27</v>
      </c>
      <c r="U366" s="2" t="s">
        <v>580</v>
      </c>
    </row>
    <row r="367">
      <c r="A367" s="2" t="s">
        <v>33</v>
      </c>
      <c r="B367" s="2" t="s">
        <v>22</v>
      </c>
      <c r="C367" s="2" t="s">
        <v>23</v>
      </c>
      <c r="D367" s="2" t="s">
        <v>72</v>
      </c>
      <c r="E367" s="2" t="s">
        <v>47</v>
      </c>
      <c r="F367" s="7">
        <v>0.0</v>
      </c>
      <c r="G367" s="2" t="s">
        <v>81</v>
      </c>
      <c r="H367" s="7">
        <v>690.0</v>
      </c>
      <c r="I367" s="2" t="s">
        <v>27</v>
      </c>
      <c r="J367" s="7">
        <v>4323.0</v>
      </c>
      <c r="K367" s="7">
        <v>0.138583218707015</v>
      </c>
      <c r="L367" s="7">
        <v>39976.0180697441</v>
      </c>
      <c r="M367" s="7">
        <v>227.0</v>
      </c>
      <c r="N367" s="7">
        <v>1.0</v>
      </c>
      <c r="O367" s="7">
        <v>727.0</v>
      </c>
      <c r="P367" s="7">
        <v>1.37551581843191</v>
      </c>
      <c r="Q367" s="7">
        <v>949.105914718019</v>
      </c>
      <c r="R367" s="7">
        <v>690.0</v>
      </c>
      <c r="S367" s="7">
        <v>6.26521739130434</v>
      </c>
      <c r="T367" s="2" t="s">
        <v>27</v>
      </c>
      <c r="U367" s="2" t="s">
        <v>581</v>
      </c>
    </row>
    <row r="368">
      <c r="A368" s="2" t="s">
        <v>33</v>
      </c>
      <c r="B368" s="2" t="s">
        <v>22</v>
      </c>
      <c r="C368" s="2" t="s">
        <v>23</v>
      </c>
      <c r="D368" s="2" t="s">
        <v>72</v>
      </c>
      <c r="E368" s="2" t="s">
        <v>43</v>
      </c>
      <c r="F368" s="7">
        <v>0.0</v>
      </c>
      <c r="G368" s="2" t="s">
        <v>81</v>
      </c>
      <c r="H368" s="7">
        <v>500.0</v>
      </c>
      <c r="I368" s="2" t="s">
        <v>27</v>
      </c>
      <c r="J368" s="7">
        <v>2958.0</v>
      </c>
      <c r="K368" s="7">
        <v>0.0</v>
      </c>
      <c r="L368" s="7">
        <v>29828.9495820999</v>
      </c>
      <c r="M368" s="2"/>
      <c r="N368" s="7">
        <v>0.0</v>
      </c>
      <c r="O368" s="7">
        <v>500.0</v>
      </c>
      <c r="P368" s="7">
        <v>0.0</v>
      </c>
      <c r="Q368" s="7">
        <v>1000.0</v>
      </c>
      <c r="R368" s="2"/>
      <c r="S368" s="7">
        <v>5.916</v>
      </c>
      <c r="T368" s="2" t="s">
        <v>27</v>
      </c>
      <c r="U368" s="2" t="s">
        <v>582</v>
      </c>
    </row>
    <row r="369">
      <c r="A369" s="2" t="s">
        <v>33</v>
      </c>
      <c r="B369" s="2" t="s">
        <v>22</v>
      </c>
      <c r="C369" s="2" t="s">
        <v>23</v>
      </c>
      <c r="D369" s="2" t="s">
        <v>72</v>
      </c>
      <c r="E369" s="2" t="s">
        <v>34</v>
      </c>
      <c r="F369" s="7">
        <v>0.0</v>
      </c>
      <c r="G369" s="2" t="s">
        <v>81</v>
      </c>
      <c r="H369" s="7">
        <v>674.0</v>
      </c>
      <c r="I369" s="2" t="s">
        <v>27</v>
      </c>
      <c r="J369" s="7">
        <v>2690.0</v>
      </c>
      <c r="K369" s="7">
        <v>0.28115159694107</v>
      </c>
      <c r="L369" s="7">
        <v>34329.4517858028</v>
      </c>
      <c r="M369" s="7">
        <v>51.0</v>
      </c>
      <c r="N369" s="7">
        <v>2.0</v>
      </c>
      <c r="O369" s="7">
        <v>741.0</v>
      </c>
      <c r="P369" s="7">
        <v>2.69905533063427</v>
      </c>
      <c r="Q369" s="7">
        <v>909.581646423751</v>
      </c>
      <c r="R369" s="7">
        <v>337.0</v>
      </c>
      <c r="S369" s="7">
        <v>3.99109792284866</v>
      </c>
      <c r="T369" s="2" t="s">
        <v>27</v>
      </c>
      <c r="U369" s="2" t="s">
        <v>583</v>
      </c>
    </row>
    <row r="370">
      <c r="A370" s="2" t="s">
        <v>460</v>
      </c>
      <c r="B370" s="2" t="s">
        <v>114</v>
      </c>
      <c r="C370" s="2" t="s">
        <v>23</v>
      </c>
      <c r="D370" s="2" t="s">
        <v>72</v>
      </c>
      <c r="E370" s="2" t="s">
        <v>51</v>
      </c>
      <c r="F370" s="7">
        <v>0.0</v>
      </c>
      <c r="G370" s="2" t="s">
        <v>461</v>
      </c>
      <c r="H370" s="7">
        <v>3259.0</v>
      </c>
      <c r="I370" s="2" t="s">
        <v>27</v>
      </c>
      <c r="J370" s="7">
        <v>16.0</v>
      </c>
      <c r="K370" s="7">
        <v>0.195119352088661</v>
      </c>
      <c r="L370" s="7">
        <v>7145.01068663597</v>
      </c>
      <c r="M370" s="7">
        <v>40.0</v>
      </c>
      <c r="N370" s="7">
        <v>19.0</v>
      </c>
      <c r="O370" s="7">
        <v>1173.0</v>
      </c>
      <c r="P370" s="7">
        <v>16.1977834612105</v>
      </c>
      <c r="Q370" s="7">
        <v>2778.34612105711</v>
      </c>
      <c r="R370" s="7">
        <v>171.526315789473</v>
      </c>
      <c r="S370" s="7">
        <v>0.00490948143602332</v>
      </c>
      <c r="T370" s="2" t="s">
        <v>27</v>
      </c>
      <c r="U370" s="2" t="s">
        <v>584</v>
      </c>
    </row>
    <row r="371">
      <c r="A371" s="2" t="s">
        <v>460</v>
      </c>
      <c r="B371" s="2" t="s">
        <v>114</v>
      </c>
      <c r="C371" s="2" t="s">
        <v>23</v>
      </c>
      <c r="D371" s="2" t="s">
        <v>72</v>
      </c>
      <c r="E371" s="2" t="s">
        <v>47</v>
      </c>
      <c r="F371" s="7">
        <v>0.0</v>
      </c>
      <c r="G371" s="2" t="s">
        <v>461</v>
      </c>
      <c r="H371" s="7">
        <v>919.0</v>
      </c>
      <c r="I371" s="2" t="s">
        <v>27</v>
      </c>
      <c r="J371" s="7">
        <v>0.0</v>
      </c>
      <c r="K371" s="7">
        <v>0.0170081967213114</v>
      </c>
      <c r="L371" s="7">
        <v>3125.23984718322</v>
      </c>
      <c r="M371" s="7">
        <v>46.0</v>
      </c>
      <c r="N371" s="7">
        <v>4.0</v>
      </c>
      <c r="O371" s="7">
        <v>610.0</v>
      </c>
      <c r="P371" s="7">
        <v>6.55737704918032</v>
      </c>
      <c r="Q371" s="7">
        <v>1506.55737704918</v>
      </c>
      <c r="R371" s="7">
        <v>229.75</v>
      </c>
      <c r="S371" s="7">
        <v>0.0</v>
      </c>
      <c r="T371" s="2" t="s">
        <v>27</v>
      </c>
      <c r="U371" s="2" t="s">
        <v>585</v>
      </c>
    </row>
    <row r="372">
      <c r="A372" s="2" t="s">
        <v>460</v>
      </c>
      <c r="B372" s="2" t="s">
        <v>114</v>
      </c>
      <c r="C372" s="2" t="s">
        <v>23</v>
      </c>
      <c r="D372" s="2" t="s">
        <v>72</v>
      </c>
      <c r="E372" s="2" t="s">
        <v>43</v>
      </c>
      <c r="F372" s="7">
        <v>0.0</v>
      </c>
      <c r="G372" s="2" t="s">
        <v>461</v>
      </c>
      <c r="H372" s="7">
        <v>3185.0</v>
      </c>
      <c r="I372" s="2" t="s">
        <v>27</v>
      </c>
      <c r="J372" s="7">
        <v>0.0</v>
      </c>
      <c r="K372" s="7">
        <v>0.168665524462212</v>
      </c>
      <c r="L372" s="7">
        <v>5622.81474184989</v>
      </c>
      <c r="M372" s="7">
        <v>41.0</v>
      </c>
      <c r="N372" s="7">
        <v>19.0</v>
      </c>
      <c r="O372" s="7">
        <v>1751.0</v>
      </c>
      <c r="P372" s="7">
        <v>10.850942318675</v>
      </c>
      <c r="Q372" s="7">
        <v>1818.96059394631</v>
      </c>
      <c r="R372" s="7">
        <v>167.631578947368</v>
      </c>
      <c r="S372" s="7">
        <v>0.0</v>
      </c>
      <c r="T372" s="2" t="s">
        <v>27</v>
      </c>
      <c r="U372" s="2" t="s">
        <v>586</v>
      </c>
    </row>
    <row r="373">
      <c r="A373" s="2" t="s">
        <v>460</v>
      </c>
      <c r="B373" s="2" t="s">
        <v>114</v>
      </c>
      <c r="C373" s="2" t="s">
        <v>23</v>
      </c>
      <c r="D373" s="2" t="s">
        <v>72</v>
      </c>
      <c r="E373" s="2" t="s">
        <v>39</v>
      </c>
      <c r="F373" s="7">
        <v>0.0</v>
      </c>
      <c r="G373" s="2" t="s">
        <v>461</v>
      </c>
      <c r="H373" s="7">
        <v>1207.0</v>
      </c>
      <c r="I373" s="2" t="s">
        <v>27</v>
      </c>
      <c r="J373" s="7">
        <v>0.0</v>
      </c>
      <c r="K373" s="7">
        <v>0.214230769230769</v>
      </c>
      <c r="L373" s="7">
        <v>1723.26164150238</v>
      </c>
      <c r="M373" s="7">
        <v>39.0</v>
      </c>
      <c r="N373" s="7">
        <v>3.0</v>
      </c>
      <c r="O373" s="7">
        <v>650.0</v>
      </c>
      <c r="P373" s="7">
        <v>4.61538461538461</v>
      </c>
      <c r="Q373" s="7">
        <v>1856.92307692307</v>
      </c>
      <c r="R373" s="7">
        <v>402.333333333333</v>
      </c>
      <c r="S373" s="7">
        <v>0.0</v>
      </c>
      <c r="T373" s="2" t="s">
        <v>27</v>
      </c>
      <c r="U373" s="2" t="s">
        <v>587</v>
      </c>
    </row>
    <row r="374">
      <c r="A374" s="2" t="s">
        <v>460</v>
      </c>
      <c r="B374" s="2" t="s">
        <v>114</v>
      </c>
      <c r="C374" s="2" t="s">
        <v>23</v>
      </c>
      <c r="D374" s="2" t="s">
        <v>72</v>
      </c>
      <c r="E374" s="2" t="s">
        <v>34</v>
      </c>
      <c r="F374" s="7">
        <v>0.0</v>
      </c>
      <c r="G374" s="2" t="s">
        <v>461</v>
      </c>
      <c r="H374" s="7">
        <v>3070.0</v>
      </c>
      <c r="I374" s="2" t="s">
        <v>27</v>
      </c>
      <c r="J374" s="7">
        <v>0.0</v>
      </c>
      <c r="K374" s="7">
        <v>0.0402852049910873</v>
      </c>
      <c r="L374" s="7">
        <v>6773.56135320663</v>
      </c>
      <c r="M374" s="7">
        <v>24.0</v>
      </c>
      <c r="N374" s="7">
        <v>8.0</v>
      </c>
      <c r="O374" s="7">
        <v>935.0</v>
      </c>
      <c r="P374" s="7">
        <v>8.55614973262032</v>
      </c>
      <c r="Q374" s="7">
        <v>3283.42245989304</v>
      </c>
      <c r="R374" s="7">
        <v>383.75</v>
      </c>
      <c r="S374" s="7">
        <v>0.0</v>
      </c>
      <c r="T374" s="2" t="s">
        <v>27</v>
      </c>
      <c r="U374" s="2" t="s">
        <v>588</v>
      </c>
    </row>
    <row r="375">
      <c r="A375" s="2" t="s">
        <v>460</v>
      </c>
      <c r="B375" s="2" t="s">
        <v>114</v>
      </c>
      <c r="C375" s="2" t="s">
        <v>23</v>
      </c>
      <c r="D375" s="2" t="s">
        <v>102</v>
      </c>
      <c r="E375" s="2" t="s">
        <v>25</v>
      </c>
      <c r="F375" s="7">
        <v>0.0</v>
      </c>
      <c r="G375" s="2" t="s">
        <v>589</v>
      </c>
      <c r="H375" s="7">
        <v>157.0</v>
      </c>
      <c r="I375" s="2" t="s">
        <v>27</v>
      </c>
      <c r="J375" s="7">
        <v>0.0</v>
      </c>
      <c r="K375" s="7">
        <v>0.0971962616822429</v>
      </c>
      <c r="L375" s="7">
        <v>1353.65290307998</v>
      </c>
      <c r="M375" s="7">
        <v>35.0</v>
      </c>
      <c r="N375" s="7">
        <v>1.0</v>
      </c>
      <c r="O375" s="7">
        <v>535.0</v>
      </c>
      <c r="P375" s="7">
        <v>1.86915887850467</v>
      </c>
      <c r="Q375" s="7">
        <v>293.457943925233</v>
      </c>
      <c r="R375" s="7">
        <v>157.0</v>
      </c>
      <c r="S375" s="7">
        <v>0.0</v>
      </c>
      <c r="T375" s="2" t="s">
        <v>27</v>
      </c>
      <c r="U375" s="2" t="s">
        <v>590</v>
      </c>
    </row>
    <row r="376">
      <c r="A376" s="2" t="s">
        <v>460</v>
      </c>
      <c r="B376" s="2" t="s">
        <v>114</v>
      </c>
      <c r="C376" s="2" t="s">
        <v>23</v>
      </c>
      <c r="D376" s="2" t="s">
        <v>102</v>
      </c>
      <c r="E376" s="2" t="s">
        <v>34</v>
      </c>
      <c r="F376" s="7">
        <v>0.0</v>
      </c>
      <c r="G376" s="2" t="s">
        <v>589</v>
      </c>
      <c r="H376" s="7">
        <v>1665.0</v>
      </c>
      <c r="I376" s="2" t="s">
        <v>27</v>
      </c>
      <c r="J376" s="7">
        <v>0.0</v>
      </c>
      <c r="K376" s="7">
        <v>0.142353165522501</v>
      </c>
      <c r="L376" s="7">
        <v>14941.3318610191</v>
      </c>
      <c r="M376" s="7">
        <v>24.0</v>
      </c>
      <c r="N376" s="7">
        <v>6.0</v>
      </c>
      <c r="O376" s="7">
        <v>1748.0</v>
      </c>
      <c r="P376" s="7">
        <v>3.4324942791762</v>
      </c>
      <c r="Q376" s="7">
        <v>952.517162471395</v>
      </c>
      <c r="R376" s="7">
        <v>277.5</v>
      </c>
      <c r="S376" s="7">
        <v>0.0</v>
      </c>
      <c r="T376" s="2" t="s">
        <v>27</v>
      </c>
      <c r="U376" s="2" t="s">
        <v>591</v>
      </c>
    </row>
    <row r="377">
      <c r="A377" s="2" t="s">
        <v>460</v>
      </c>
      <c r="B377" s="2" t="s">
        <v>114</v>
      </c>
      <c r="C377" s="2" t="s">
        <v>23</v>
      </c>
      <c r="D377" s="2" t="s">
        <v>102</v>
      </c>
      <c r="E377" s="2" t="s">
        <v>39</v>
      </c>
      <c r="F377" s="7">
        <v>0.0</v>
      </c>
      <c r="G377" s="2" t="s">
        <v>589</v>
      </c>
      <c r="H377" s="7">
        <v>541.0</v>
      </c>
      <c r="I377" s="2" t="s">
        <v>27</v>
      </c>
      <c r="J377" s="7">
        <v>0.0</v>
      </c>
      <c r="K377" s="7">
        <v>0.101749539594843</v>
      </c>
      <c r="L377" s="7">
        <v>3804.57559132576</v>
      </c>
      <c r="M377" s="7">
        <v>74.0</v>
      </c>
      <c r="N377" s="7">
        <v>3.0</v>
      </c>
      <c r="O377" s="7">
        <v>1086.0</v>
      </c>
      <c r="P377" s="7">
        <v>2.76243093922651</v>
      </c>
      <c r="Q377" s="7">
        <v>498.158379373848</v>
      </c>
      <c r="R377" s="7">
        <v>180.333333333333</v>
      </c>
      <c r="S377" s="7">
        <v>0.0</v>
      </c>
      <c r="T377" s="2" t="s">
        <v>27</v>
      </c>
      <c r="U377" s="2" t="s">
        <v>592</v>
      </c>
    </row>
    <row r="378">
      <c r="A378" s="2" t="s">
        <v>460</v>
      </c>
      <c r="B378" s="2" t="s">
        <v>114</v>
      </c>
      <c r="C378" s="2" t="s">
        <v>23</v>
      </c>
      <c r="D378" s="2" t="s">
        <v>102</v>
      </c>
      <c r="E378" s="2" t="s">
        <v>43</v>
      </c>
      <c r="F378" s="7">
        <v>0.0</v>
      </c>
      <c r="G378" s="2" t="s">
        <v>589</v>
      </c>
      <c r="H378" s="7">
        <v>1114.0</v>
      </c>
      <c r="I378" s="2" t="s">
        <v>27</v>
      </c>
      <c r="J378" s="7">
        <v>0.0</v>
      </c>
      <c r="K378" s="7">
        <v>0.0958333333333333</v>
      </c>
      <c r="L378" s="7">
        <v>11179.0111877918</v>
      </c>
      <c r="M378" s="7">
        <v>41.0</v>
      </c>
      <c r="N378" s="7">
        <v>9.0</v>
      </c>
      <c r="O378" s="7">
        <v>1200.0</v>
      </c>
      <c r="P378" s="7">
        <v>7.5</v>
      </c>
      <c r="Q378" s="7">
        <v>928.333333333333</v>
      </c>
      <c r="R378" s="7">
        <v>123.777777777777</v>
      </c>
      <c r="S378" s="7">
        <v>0.0</v>
      </c>
      <c r="T378" s="2" t="s">
        <v>27</v>
      </c>
      <c r="U378" s="2" t="s">
        <v>593</v>
      </c>
    </row>
    <row r="379">
      <c r="A379" s="2" t="s">
        <v>460</v>
      </c>
      <c r="B379" s="2" t="s">
        <v>114</v>
      </c>
      <c r="C379" s="2" t="s">
        <v>23</v>
      </c>
      <c r="D379" s="2" t="s">
        <v>102</v>
      </c>
      <c r="E379" s="2" t="s">
        <v>47</v>
      </c>
      <c r="F379" s="7">
        <v>0.0</v>
      </c>
      <c r="G379" s="2" t="s">
        <v>589</v>
      </c>
      <c r="H379" s="7">
        <v>1576.0</v>
      </c>
      <c r="I379" s="2" t="s">
        <v>27</v>
      </c>
      <c r="J379" s="7">
        <v>0.0</v>
      </c>
      <c r="K379" s="7">
        <v>0.146811224489795</v>
      </c>
      <c r="L379" s="7">
        <v>14696.7285537719</v>
      </c>
      <c r="M379" s="7">
        <v>53.0</v>
      </c>
      <c r="N379" s="7">
        <v>5.0</v>
      </c>
      <c r="O379" s="7">
        <v>980.0</v>
      </c>
      <c r="P379" s="7">
        <v>5.10204081632653</v>
      </c>
      <c r="Q379" s="7">
        <v>1608.16326530612</v>
      </c>
      <c r="R379" s="7">
        <v>315.2</v>
      </c>
      <c r="S379" s="7">
        <v>0.0</v>
      </c>
      <c r="T379" s="2" t="s">
        <v>27</v>
      </c>
      <c r="U379" s="2" t="s">
        <v>594</v>
      </c>
    </row>
    <row r="380">
      <c r="A380" s="2" t="s">
        <v>460</v>
      </c>
      <c r="B380" s="2" t="s">
        <v>114</v>
      </c>
      <c r="C380" s="2" t="s">
        <v>23</v>
      </c>
      <c r="D380" s="2" t="s">
        <v>102</v>
      </c>
      <c r="E380" s="2" t="s">
        <v>51</v>
      </c>
      <c r="F380" s="7">
        <v>0.0</v>
      </c>
      <c r="G380" s="2" t="s">
        <v>589</v>
      </c>
      <c r="H380" s="7">
        <v>451.0</v>
      </c>
      <c r="I380" s="2" t="s">
        <v>27</v>
      </c>
      <c r="J380" s="7">
        <v>0.0</v>
      </c>
      <c r="K380" s="7">
        <v>0.0710856720827178</v>
      </c>
      <c r="L380" s="7">
        <v>4296.29891467094</v>
      </c>
      <c r="M380" s="7">
        <v>32.0</v>
      </c>
      <c r="N380" s="7">
        <v>4.0</v>
      </c>
      <c r="O380" s="7">
        <v>677.0</v>
      </c>
      <c r="P380" s="7">
        <v>5.90841949778434</v>
      </c>
      <c r="Q380" s="7">
        <v>666.174298375184</v>
      </c>
      <c r="R380" s="7">
        <v>112.75</v>
      </c>
      <c r="S380" s="7">
        <v>0.0</v>
      </c>
      <c r="T380" s="2" t="s">
        <v>27</v>
      </c>
      <c r="U380" s="2" t="s">
        <v>595</v>
      </c>
    </row>
    <row r="381">
      <c r="A381" s="2" t="s">
        <v>460</v>
      </c>
      <c r="B381" s="2" t="s">
        <v>114</v>
      </c>
      <c r="C381" s="2" t="s">
        <v>23</v>
      </c>
      <c r="D381" s="2" t="s">
        <v>118</v>
      </c>
      <c r="E381" s="2" t="s">
        <v>25</v>
      </c>
      <c r="F381" s="7">
        <v>0.0</v>
      </c>
      <c r="G381" s="2" t="s">
        <v>589</v>
      </c>
      <c r="H381" s="7">
        <v>182.0</v>
      </c>
      <c r="I381" s="2" t="s">
        <v>27</v>
      </c>
      <c r="J381" s="7">
        <v>0.0</v>
      </c>
      <c r="K381" s="7">
        <v>0.0925233644859813</v>
      </c>
      <c r="L381" s="7">
        <v>367.260823011398</v>
      </c>
      <c r="M381" s="7">
        <v>35.0</v>
      </c>
      <c r="N381" s="7">
        <v>1.0</v>
      </c>
      <c r="O381" s="7">
        <v>535.0</v>
      </c>
      <c r="P381" s="7">
        <v>1.86915887850467</v>
      </c>
      <c r="Q381" s="7">
        <v>340.18691588785</v>
      </c>
      <c r="R381" s="7">
        <v>182.0</v>
      </c>
      <c r="S381" s="7">
        <v>0.0</v>
      </c>
      <c r="T381" s="2" t="s">
        <v>27</v>
      </c>
      <c r="U381" s="2" t="s">
        <v>596</v>
      </c>
    </row>
    <row r="382">
      <c r="A382" s="2" t="s">
        <v>460</v>
      </c>
      <c r="B382" s="2" t="s">
        <v>114</v>
      </c>
      <c r="C382" s="2" t="s">
        <v>23</v>
      </c>
      <c r="D382" s="2" t="s">
        <v>118</v>
      </c>
      <c r="E382" s="2" t="s">
        <v>34</v>
      </c>
      <c r="F382" s="7">
        <v>0.0</v>
      </c>
      <c r="G382" s="2" t="s">
        <v>589</v>
      </c>
      <c r="H382" s="7">
        <v>4267.0</v>
      </c>
      <c r="I382" s="2" t="s">
        <v>27</v>
      </c>
      <c r="J382" s="7">
        <v>0.0</v>
      </c>
      <c r="K382" s="7">
        <v>0.171224489795918</v>
      </c>
      <c r="L382" s="7">
        <v>11228.5510904788</v>
      </c>
      <c r="M382" s="7">
        <v>24.0</v>
      </c>
      <c r="N382" s="7">
        <v>14.0</v>
      </c>
      <c r="O382" s="7">
        <v>2450.0</v>
      </c>
      <c r="P382" s="7">
        <v>5.71428571428571</v>
      </c>
      <c r="Q382" s="7">
        <v>1741.63265306122</v>
      </c>
      <c r="R382" s="7">
        <v>304.785714285714</v>
      </c>
      <c r="S382" s="7">
        <v>0.0</v>
      </c>
      <c r="T382" s="2" t="s">
        <v>27</v>
      </c>
      <c r="U382" s="2" t="s">
        <v>597</v>
      </c>
    </row>
    <row r="383">
      <c r="A383" s="2" t="s">
        <v>460</v>
      </c>
      <c r="B383" s="2" t="s">
        <v>114</v>
      </c>
      <c r="C383" s="2" t="s">
        <v>23</v>
      </c>
      <c r="D383" s="2" t="s">
        <v>118</v>
      </c>
      <c r="E383" s="2" t="s">
        <v>39</v>
      </c>
      <c r="F383" s="7">
        <v>0.0</v>
      </c>
      <c r="G383" s="2" t="s">
        <v>589</v>
      </c>
      <c r="H383" s="7">
        <v>263.0</v>
      </c>
      <c r="I383" s="2" t="s">
        <v>27</v>
      </c>
      <c r="J383" s="7">
        <v>0.0</v>
      </c>
      <c r="K383" s="7">
        <v>0.124562937062937</v>
      </c>
      <c r="L383" s="7">
        <v>674.909793853759</v>
      </c>
      <c r="M383" s="7">
        <v>72.0</v>
      </c>
      <c r="N383" s="7">
        <v>1.0</v>
      </c>
      <c r="O383" s="7">
        <v>572.0</v>
      </c>
      <c r="P383" s="7">
        <v>1.74825174825174</v>
      </c>
      <c r="Q383" s="7">
        <v>459.790209790209</v>
      </c>
      <c r="R383" s="7">
        <v>263.0</v>
      </c>
      <c r="S383" s="7">
        <v>0.0</v>
      </c>
      <c r="T383" s="2" t="s">
        <v>27</v>
      </c>
      <c r="U383" s="2" t="s">
        <v>598</v>
      </c>
    </row>
    <row r="384">
      <c r="A384" s="2" t="s">
        <v>460</v>
      </c>
      <c r="B384" s="2" t="s">
        <v>114</v>
      </c>
      <c r="C384" s="2" t="s">
        <v>23</v>
      </c>
      <c r="D384" s="2" t="s">
        <v>118</v>
      </c>
      <c r="E384" s="2" t="s">
        <v>43</v>
      </c>
      <c r="F384" s="7">
        <v>0.0</v>
      </c>
      <c r="G384" s="2" t="s">
        <v>589</v>
      </c>
      <c r="H384" s="7">
        <v>1159.0</v>
      </c>
      <c r="I384" s="2" t="s">
        <v>27</v>
      </c>
      <c r="J384" s="7">
        <v>0.0</v>
      </c>
      <c r="K384" s="7">
        <v>0.0941866267465069</v>
      </c>
      <c r="L384" s="7">
        <v>3466.95059490203</v>
      </c>
      <c r="M384" s="7">
        <v>41.0</v>
      </c>
      <c r="N384" s="7">
        <v>9.0</v>
      </c>
      <c r="O384" s="7">
        <v>1336.0</v>
      </c>
      <c r="P384" s="7">
        <v>6.73652694610778</v>
      </c>
      <c r="Q384" s="7">
        <v>867.51497005988</v>
      </c>
      <c r="R384" s="7">
        <v>128.777777777777</v>
      </c>
      <c r="S384" s="7">
        <v>0.0</v>
      </c>
      <c r="T384" s="2" t="s">
        <v>27</v>
      </c>
      <c r="U384" s="2" t="s">
        <v>599</v>
      </c>
    </row>
    <row r="385">
      <c r="A385" s="2" t="s">
        <v>460</v>
      </c>
      <c r="B385" s="2" t="s">
        <v>114</v>
      </c>
      <c r="C385" s="2" t="s">
        <v>23</v>
      </c>
      <c r="D385" s="2" t="s">
        <v>118</v>
      </c>
      <c r="E385" s="2" t="s">
        <v>47</v>
      </c>
      <c r="F385" s="7">
        <v>0.0</v>
      </c>
      <c r="G385" s="2" t="s">
        <v>589</v>
      </c>
      <c r="H385" s="7">
        <v>2004.0</v>
      </c>
      <c r="I385" s="2" t="s">
        <v>27</v>
      </c>
      <c r="J385" s="7">
        <v>0.0</v>
      </c>
      <c r="K385" s="7">
        <v>0.159054910242872</v>
      </c>
      <c r="L385" s="7">
        <v>7405.10555386543</v>
      </c>
      <c r="M385" s="7">
        <v>46.0</v>
      </c>
      <c r="N385" s="7">
        <v>7.0</v>
      </c>
      <c r="O385" s="7">
        <v>947.0</v>
      </c>
      <c r="P385" s="7">
        <v>7.39176346356916</v>
      </c>
      <c r="Q385" s="7">
        <v>2116.15628299894</v>
      </c>
      <c r="R385" s="7">
        <v>286.285714285714</v>
      </c>
      <c r="S385" s="7">
        <v>0.0</v>
      </c>
      <c r="T385" s="2" t="s">
        <v>27</v>
      </c>
      <c r="U385" s="2" t="s">
        <v>600</v>
      </c>
    </row>
    <row r="386">
      <c r="A386" s="2" t="s">
        <v>460</v>
      </c>
      <c r="B386" s="2" t="s">
        <v>114</v>
      </c>
      <c r="C386" s="2" t="s">
        <v>23</v>
      </c>
      <c r="D386" s="2" t="s">
        <v>118</v>
      </c>
      <c r="E386" s="2" t="s">
        <v>51</v>
      </c>
      <c r="F386" s="7">
        <v>0.0</v>
      </c>
      <c r="G386" s="2" t="s">
        <v>589</v>
      </c>
      <c r="H386" s="7">
        <v>820.0</v>
      </c>
      <c r="I386" s="2" t="s">
        <v>27</v>
      </c>
      <c r="J386" s="7">
        <v>0.0</v>
      </c>
      <c r="K386" s="7">
        <v>0.085232452142206</v>
      </c>
      <c r="L386" s="7">
        <v>3114.5552675724</v>
      </c>
      <c r="M386" s="7">
        <v>32.0</v>
      </c>
      <c r="N386" s="7">
        <v>5.0</v>
      </c>
      <c r="O386" s="7">
        <v>1097.0</v>
      </c>
      <c r="P386" s="7">
        <v>4.55788514129443</v>
      </c>
      <c r="Q386" s="7">
        <v>747.493163172288</v>
      </c>
      <c r="R386" s="7">
        <v>164.0</v>
      </c>
      <c r="S386" s="7">
        <v>0.0</v>
      </c>
      <c r="T386" s="2" t="s">
        <v>27</v>
      </c>
      <c r="U386" s="2" t="s">
        <v>601</v>
      </c>
    </row>
    <row r="387">
      <c r="A387" s="2" t="s">
        <v>460</v>
      </c>
      <c r="B387" s="2" t="s">
        <v>22</v>
      </c>
      <c r="C387" s="2" t="s">
        <v>23</v>
      </c>
      <c r="D387" s="2" t="s">
        <v>64</v>
      </c>
      <c r="E387" s="2" t="s">
        <v>25</v>
      </c>
      <c r="F387" s="7">
        <v>0.0</v>
      </c>
      <c r="G387" s="2" t="s">
        <v>602</v>
      </c>
      <c r="H387" s="7">
        <v>744.0</v>
      </c>
      <c r="I387" s="2" t="s">
        <v>27</v>
      </c>
      <c r="J387" s="7">
        <v>1.0</v>
      </c>
      <c r="K387" s="7">
        <v>0.151534944480731</v>
      </c>
      <c r="L387" s="7">
        <v>2596.72467660903</v>
      </c>
      <c r="M387" s="7">
        <v>59.0</v>
      </c>
      <c r="N387" s="7">
        <v>9.0</v>
      </c>
      <c r="O387" s="7">
        <v>1531.0</v>
      </c>
      <c r="P387" s="7">
        <v>5.87851077726975</v>
      </c>
      <c r="Q387" s="7">
        <v>485.956890920966</v>
      </c>
      <c r="R387" s="7">
        <v>82.6666666666666</v>
      </c>
      <c r="S387" s="7">
        <v>0.00134408602150537</v>
      </c>
      <c r="T387" s="2" t="s">
        <v>27</v>
      </c>
      <c r="U387" s="2" t="s">
        <v>603</v>
      </c>
    </row>
    <row r="388">
      <c r="A388" s="2" t="s">
        <v>460</v>
      </c>
      <c r="B388" s="2" t="s">
        <v>22</v>
      </c>
      <c r="C388" s="2" t="s">
        <v>23</v>
      </c>
      <c r="D388" s="2" t="s">
        <v>64</v>
      </c>
      <c r="E388" s="2" t="s">
        <v>34</v>
      </c>
      <c r="F388" s="7">
        <v>0.0</v>
      </c>
      <c r="G388" s="2" t="s">
        <v>602</v>
      </c>
      <c r="H388" s="7">
        <v>463.0</v>
      </c>
      <c r="I388" s="2" t="s">
        <v>27</v>
      </c>
      <c r="J388" s="7">
        <v>278.0</v>
      </c>
      <c r="K388" s="7">
        <v>0.18</v>
      </c>
      <c r="L388" s="7">
        <v>2958.81748914718</v>
      </c>
      <c r="M388" s="2"/>
      <c r="N388" s="7">
        <v>0.0</v>
      </c>
      <c r="O388" s="7">
        <v>500.0</v>
      </c>
      <c r="P388" s="7">
        <v>0.0</v>
      </c>
      <c r="Q388" s="7">
        <v>926.0</v>
      </c>
      <c r="R388" s="2"/>
      <c r="S388" s="7">
        <v>0.600431965442764</v>
      </c>
      <c r="T388" s="2" t="s">
        <v>27</v>
      </c>
      <c r="U388" s="2" t="s">
        <v>604</v>
      </c>
    </row>
    <row r="389">
      <c r="A389" s="2" t="s">
        <v>460</v>
      </c>
      <c r="B389" s="2" t="s">
        <v>22</v>
      </c>
      <c r="C389" s="2" t="s">
        <v>23</v>
      </c>
      <c r="D389" s="2" t="s">
        <v>64</v>
      </c>
      <c r="E389" s="2" t="s">
        <v>39</v>
      </c>
      <c r="F389" s="7">
        <v>0.0</v>
      </c>
      <c r="G389" s="2" t="s">
        <v>602</v>
      </c>
      <c r="H389" s="7">
        <v>564.0</v>
      </c>
      <c r="I389" s="2" t="s">
        <v>27</v>
      </c>
      <c r="J389" s="7">
        <v>5.0</v>
      </c>
      <c r="K389" s="7">
        <v>0.133111480865224</v>
      </c>
      <c r="L389" s="7">
        <v>2468.09532666206</v>
      </c>
      <c r="M389" s="7">
        <v>312.0</v>
      </c>
      <c r="N389" s="7">
        <v>3.0</v>
      </c>
      <c r="O389" s="7">
        <v>1202.0</v>
      </c>
      <c r="P389" s="7">
        <v>2.49584026622296</v>
      </c>
      <c r="Q389" s="7">
        <v>469.217970049916</v>
      </c>
      <c r="R389" s="7">
        <v>188.0</v>
      </c>
      <c r="S389" s="7">
        <v>0.00886524822695035</v>
      </c>
      <c r="T389" s="2" t="s">
        <v>27</v>
      </c>
      <c r="U389" s="2" t="s">
        <v>605</v>
      </c>
    </row>
    <row r="390">
      <c r="A390" s="2" t="s">
        <v>460</v>
      </c>
      <c r="B390" s="2" t="s">
        <v>22</v>
      </c>
      <c r="C390" s="2" t="s">
        <v>23</v>
      </c>
      <c r="D390" s="2" t="s">
        <v>64</v>
      </c>
      <c r="E390" s="2" t="s">
        <v>43</v>
      </c>
      <c r="F390" s="7">
        <v>0.0</v>
      </c>
      <c r="G390" s="2" t="s">
        <v>602</v>
      </c>
      <c r="H390" s="7">
        <v>473.0</v>
      </c>
      <c r="I390" s="2" t="s">
        <v>27</v>
      </c>
      <c r="J390" s="7">
        <v>138.0</v>
      </c>
      <c r="K390" s="7">
        <v>0.0995670995670995</v>
      </c>
      <c r="L390" s="7">
        <v>2492.67829561233</v>
      </c>
      <c r="M390" s="7">
        <v>96.0</v>
      </c>
      <c r="N390" s="7">
        <v>7.0</v>
      </c>
      <c r="O390" s="7">
        <v>924.0</v>
      </c>
      <c r="P390" s="7">
        <v>7.57575757575757</v>
      </c>
      <c r="Q390" s="7">
        <v>511.904761904761</v>
      </c>
      <c r="R390" s="7">
        <v>67.5714285714285</v>
      </c>
      <c r="S390" s="7">
        <v>0.291754756871035</v>
      </c>
      <c r="T390" s="2" t="s">
        <v>27</v>
      </c>
      <c r="U390" s="2" t="s">
        <v>606</v>
      </c>
    </row>
    <row r="391">
      <c r="A391" s="2" t="s">
        <v>460</v>
      </c>
      <c r="B391" s="2" t="s">
        <v>22</v>
      </c>
      <c r="C391" s="2" t="s">
        <v>23</v>
      </c>
      <c r="D391" s="2" t="s">
        <v>64</v>
      </c>
      <c r="E391" s="2" t="s">
        <v>47</v>
      </c>
      <c r="F391" s="7">
        <v>0.0</v>
      </c>
      <c r="G391" s="2" t="s">
        <v>602</v>
      </c>
      <c r="H391" s="7">
        <v>593.0</v>
      </c>
      <c r="I391" s="2" t="s">
        <v>27</v>
      </c>
      <c r="J391" s="7">
        <v>846.0</v>
      </c>
      <c r="K391" s="7">
        <v>0.3354</v>
      </c>
      <c r="L391" s="7">
        <v>3777.52577686309</v>
      </c>
      <c r="M391" s="7">
        <v>125.0</v>
      </c>
      <c r="N391" s="7">
        <v>1.0</v>
      </c>
      <c r="O391" s="7">
        <v>625.0</v>
      </c>
      <c r="P391" s="7">
        <v>1.6</v>
      </c>
      <c r="Q391" s="7">
        <v>948.8</v>
      </c>
      <c r="R391" s="7">
        <v>593.0</v>
      </c>
      <c r="S391" s="7">
        <v>1.42664418212478</v>
      </c>
      <c r="T391" s="2" t="s">
        <v>27</v>
      </c>
      <c r="U391" s="2" t="s">
        <v>607</v>
      </c>
    </row>
    <row r="392">
      <c r="A392" s="2" t="s">
        <v>460</v>
      </c>
      <c r="B392" s="2" t="s">
        <v>22</v>
      </c>
      <c r="C392" s="2" t="s">
        <v>23</v>
      </c>
      <c r="D392" s="2" t="s">
        <v>64</v>
      </c>
      <c r="E392" s="2" t="s">
        <v>51</v>
      </c>
      <c r="F392" s="7">
        <v>0.0</v>
      </c>
      <c r="G392" s="2" t="s">
        <v>602</v>
      </c>
      <c r="H392" s="7">
        <v>534.0</v>
      </c>
      <c r="I392" s="2" t="s">
        <v>27</v>
      </c>
      <c r="J392" s="7">
        <v>103.0</v>
      </c>
      <c r="K392" s="7">
        <v>0.0786020992366412</v>
      </c>
      <c r="L392" s="7">
        <v>2891.88647484779</v>
      </c>
      <c r="M392" s="7">
        <v>55.0</v>
      </c>
      <c r="N392" s="7">
        <v>8.0</v>
      </c>
      <c r="O392" s="7">
        <v>1048.0</v>
      </c>
      <c r="P392" s="7">
        <v>7.63358778625954</v>
      </c>
      <c r="Q392" s="7">
        <v>509.541984732824</v>
      </c>
      <c r="R392" s="7">
        <v>66.75</v>
      </c>
      <c r="S392" s="7">
        <v>0.192883895131086</v>
      </c>
      <c r="T392" s="2" t="s">
        <v>27</v>
      </c>
      <c r="U392" s="2" t="s">
        <v>608</v>
      </c>
    </row>
    <row r="393">
      <c r="A393" s="2" t="s">
        <v>460</v>
      </c>
      <c r="B393" s="2" t="s">
        <v>22</v>
      </c>
      <c r="C393" s="2" t="s">
        <v>23</v>
      </c>
      <c r="D393" s="2" t="s">
        <v>102</v>
      </c>
      <c r="E393" s="2" t="s">
        <v>25</v>
      </c>
      <c r="F393" s="7">
        <v>0.0</v>
      </c>
      <c r="G393" s="2" t="s">
        <v>589</v>
      </c>
      <c r="H393" s="7">
        <v>179.0</v>
      </c>
      <c r="I393" s="2" t="s">
        <v>27</v>
      </c>
      <c r="J393" s="7">
        <v>0.0</v>
      </c>
      <c r="K393" s="7">
        <v>0.0936329588014981</v>
      </c>
      <c r="L393" s="7">
        <v>2788.94243025779</v>
      </c>
      <c r="M393" s="7">
        <v>34.0</v>
      </c>
      <c r="N393" s="7">
        <v>1.0</v>
      </c>
      <c r="O393" s="7">
        <v>534.0</v>
      </c>
      <c r="P393" s="7">
        <v>1.87265917602996</v>
      </c>
      <c r="Q393" s="7">
        <v>335.205992509363</v>
      </c>
      <c r="R393" s="7">
        <v>179.0</v>
      </c>
      <c r="S393" s="7">
        <v>0.0</v>
      </c>
      <c r="T393" s="2" t="s">
        <v>27</v>
      </c>
      <c r="U393" s="2" t="s">
        <v>609</v>
      </c>
    </row>
    <row r="394">
      <c r="A394" s="2" t="s">
        <v>460</v>
      </c>
      <c r="B394" s="2" t="s">
        <v>22</v>
      </c>
      <c r="C394" s="2" t="s">
        <v>23</v>
      </c>
      <c r="D394" s="2" t="s">
        <v>102</v>
      </c>
      <c r="E394" s="2" t="s">
        <v>34</v>
      </c>
      <c r="F394" s="7">
        <v>0.0</v>
      </c>
      <c r="G394" s="2" t="s">
        <v>589</v>
      </c>
      <c r="H394" s="7">
        <v>1674.0</v>
      </c>
      <c r="I394" s="2" t="s">
        <v>27</v>
      </c>
      <c r="J394" s="7">
        <v>306.0</v>
      </c>
      <c r="K394" s="7">
        <v>0.196881959910913</v>
      </c>
      <c r="L394" s="7">
        <v>29884.8357117176</v>
      </c>
      <c r="M394" s="7">
        <v>69.0</v>
      </c>
      <c r="N394" s="7">
        <v>15.0</v>
      </c>
      <c r="O394" s="7">
        <v>2245.0</v>
      </c>
      <c r="P394" s="7">
        <v>6.6815144766147</v>
      </c>
      <c r="Q394" s="7">
        <v>745.6570155902</v>
      </c>
      <c r="R394" s="7">
        <v>111.6</v>
      </c>
      <c r="S394" s="7">
        <v>0.182795698924731</v>
      </c>
      <c r="T394" s="2" t="s">
        <v>27</v>
      </c>
      <c r="U394" s="2" t="s">
        <v>610</v>
      </c>
    </row>
    <row r="395">
      <c r="A395" s="2" t="s">
        <v>460</v>
      </c>
      <c r="B395" s="2" t="s">
        <v>22</v>
      </c>
      <c r="C395" s="2" t="s">
        <v>23</v>
      </c>
      <c r="D395" s="2" t="s">
        <v>102</v>
      </c>
      <c r="E395" s="2" t="s">
        <v>39</v>
      </c>
      <c r="F395" s="7">
        <v>0.0</v>
      </c>
      <c r="G395" s="2" t="s">
        <v>589</v>
      </c>
      <c r="H395" s="7">
        <v>1037.0</v>
      </c>
      <c r="I395" s="2" t="s">
        <v>27</v>
      </c>
      <c r="J395" s="7">
        <v>7.0</v>
      </c>
      <c r="K395" s="7">
        <v>0.115041208791208</v>
      </c>
      <c r="L395" s="7">
        <v>17175.8978221416</v>
      </c>
      <c r="M395" s="7">
        <v>73.0</v>
      </c>
      <c r="N395" s="7">
        <v>9.0</v>
      </c>
      <c r="O395" s="7">
        <v>2184.0</v>
      </c>
      <c r="P395" s="7">
        <v>4.12087912087912</v>
      </c>
      <c r="Q395" s="7">
        <v>474.816849816849</v>
      </c>
      <c r="R395" s="7">
        <v>115.222222222222</v>
      </c>
      <c r="S395" s="7">
        <v>0.00675024108003857</v>
      </c>
      <c r="T395" s="2" t="s">
        <v>27</v>
      </c>
      <c r="U395" s="2" t="s">
        <v>611</v>
      </c>
    </row>
    <row r="396">
      <c r="A396" s="2" t="s">
        <v>460</v>
      </c>
      <c r="B396" s="2" t="s">
        <v>22</v>
      </c>
      <c r="C396" s="2" t="s">
        <v>23</v>
      </c>
      <c r="D396" s="2" t="s">
        <v>102</v>
      </c>
      <c r="E396" s="2" t="s">
        <v>43</v>
      </c>
      <c r="F396" s="7">
        <v>0.0</v>
      </c>
      <c r="G396" s="2" t="s">
        <v>589</v>
      </c>
      <c r="H396" s="7">
        <v>896.0</v>
      </c>
      <c r="I396" s="2" t="s">
        <v>27</v>
      </c>
      <c r="J396" s="7">
        <v>57.0</v>
      </c>
      <c r="K396" s="7">
        <v>0.0912401763465593</v>
      </c>
      <c r="L396" s="7">
        <v>15186.409389019</v>
      </c>
      <c r="M396" s="7">
        <v>39.0</v>
      </c>
      <c r="N396" s="7">
        <v>11.0</v>
      </c>
      <c r="O396" s="7">
        <v>1739.0</v>
      </c>
      <c r="P396" s="7">
        <v>6.32547441058079</v>
      </c>
      <c r="Q396" s="7">
        <v>515.238642898217</v>
      </c>
      <c r="R396" s="7">
        <v>81.4545454545454</v>
      </c>
      <c r="S396" s="7">
        <v>0.0636160714285714</v>
      </c>
      <c r="T396" s="2" t="s">
        <v>27</v>
      </c>
      <c r="U396" s="2" t="s">
        <v>612</v>
      </c>
    </row>
    <row r="397">
      <c r="A397" s="2" t="s">
        <v>460</v>
      </c>
      <c r="B397" s="2" t="s">
        <v>22</v>
      </c>
      <c r="C397" s="2" t="s">
        <v>23</v>
      </c>
      <c r="D397" s="2" t="s">
        <v>102</v>
      </c>
      <c r="E397" s="2" t="s">
        <v>47</v>
      </c>
      <c r="F397" s="7">
        <v>0.0</v>
      </c>
      <c r="G397" s="2" t="s">
        <v>589</v>
      </c>
      <c r="H397" s="7">
        <v>1195.0</v>
      </c>
      <c r="I397" s="2" t="s">
        <v>27</v>
      </c>
      <c r="J397" s="7">
        <v>360.0</v>
      </c>
      <c r="K397" s="7">
        <v>0.131095811818703</v>
      </c>
      <c r="L397" s="7">
        <v>21746.2524034976</v>
      </c>
      <c r="M397" s="7">
        <v>181.0</v>
      </c>
      <c r="N397" s="7">
        <v>9.0</v>
      </c>
      <c r="O397" s="7">
        <v>1743.0</v>
      </c>
      <c r="P397" s="7">
        <v>5.16351118760757</v>
      </c>
      <c r="Q397" s="7">
        <v>685.599541021227</v>
      </c>
      <c r="R397" s="7">
        <v>132.777777777777</v>
      </c>
      <c r="S397" s="7">
        <v>0.301255230125523</v>
      </c>
      <c r="T397" s="2" t="s">
        <v>27</v>
      </c>
      <c r="U397" s="2" t="s">
        <v>613</v>
      </c>
    </row>
    <row r="398">
      <c r="A398" s="2" t="s">
        <v>460</v>
      </c>
      <c r="B398" s="2" t="s">
        <v>22</v>
      </c>
      <c r="C398" s="2" t="s">
        <v>23</v>
      </c>
      <c r="D398" s="2" t="s">
        <v>102</v>
      </c>
      <c r="E398" s="2" t="s">
        <v>51</v>
      </c>
      <c r="F398" s="7">
        <v>0.0</v>
      </c>
      <c r="G398" s="2" t="s">
        <v>589</v>
      </c>
      <c r="H398" s="7">
        <v>754.0</v>
      </c>
      <c r="I398" s="2" t="s">
        <v>27</v>
      </c>
      <c r="J398" s="7">
        <v>63.0</v>
      </c>
      <c r="K398" s="7">
        <v>0.069108280254777</v>
      </c>
      <c r="L398" s="7">
        <v>13144.5533189773</v>
      </c>
      <c r="M398" s="7">
        <v>49.0</v>
      </c>
      <c r="N398" s="7">
        <v>9.0</v>
      </c>
      <c r="O398" s="7">
        <v>1570.0</v>
      </c>
      <c r="P398" s="7">
        <v>5.73248407643312</v>
      </c>
      <c r="Q398" s="7">
        <v>480.254777070063</v>
      </c>
      <c r="R398" s="7">
        <v>83.7777777777777</v>
      </c>
      <c r="S398" s="7">
        <v>0.0835543766578249</v>
      </c>
      <c r="T398" s="2" t="s">
        <v>27</v>
      </c>
      <c r="U398" s="2" t="s">
        <v>614</v>
      </c>
    </row>
    <row r="399">
      <c r="A399" s="2" t="s">
        <v>460</v>
      </c>
      <c r="B399" s="2" t="s">
        <v>22</v>
      </c>
      <c r="C399" s="2" t="s">
        <v>23</v>
      </c>
      <c r="D399" s="2" t="s">
        <v>118</v>
      </c>
      <c r="E399" s="2" t="s">
        <v>25</v>
      </c>
      <c r="F399" s="7">
        <v>0.0</v>
      </c>
      <c r="G399" s="2" t="s">
        <v>589</v>
      </c>
      <c r="H399" s="7">
        <v>956.0</v>
      </c>
      <c r="I399" s="2" t="s">
        <v>27</v>
      </c>
      <c r="J399" s="7">
        <v>0.0</v>
      </c>
      <c r="K399" s="7">
        <v>0.251788908765652</v>
      </c>
      <c r="L399" s="7">
        <v>2645.08655047416</v>
      </c>
      <c r="M399" s="7">
        <v>61.0</v>
      </c>
      <c r="N399" s="7">
        <v>9.0</v>
      </c>
      <c r="O399" s="7">
        <v>1118.0</v>
      </c>
      <c r="P399" s="7">
        <v>8.05008944543828</v>
      </c>
      <c r="Q399" s="7">
        <v>855.09838998211</v>
      </c>
      <c r="R399" s="7">
        <v>106.222222222222</v>
      </c>
      <c r="S399" s="7">
        <v>0.0</v>
      </c>
      <c r="T399" s="2" t="s">
        <v>27</v>
      </c>
      <c r="U399" s="2" t="s">
        <v>615</v>
      </c>
    </row>
    <row r="400">
      <c r="A400" s="2" t="s">
        <v>460</v>
      </c>
      <c r="B400" s="2" t="s">
        <v>22</v>
      </c>
      <c r="C400" s="2" t="s">
        <v>23</v>
      </c>
      <c r="D400" s="2" t="s">
        <v>118</v>
      </c>
      <c r="E400" s="2" t="s">
        <v>34</v>
      </c>
      <c r="F400" s="7">
        <v>0.0</v>
      </c>
      <c r="G400" s="2" t="s">
        <v>589</v>
      </c>
      <c r="H400" s="7">
        <v>499.0</v>
      </c>
      <c r="I400" s="2" t="s">
        <v>27</v>
      </c>
      <c r="J400" s="7">
        <v>162.0</v>
      </c>
      <c r="K400" s="7">
        <v>0.328666666666666</v>
      </c>
      <c r="L400" s="7">
        <v>3351.93668985366</v>
      </c>
      <c r="M400" s="2"/>
      <c r="N400" s="7">
        <v>0.0</v>
      </c>
      <c r="O400" s="7">
        <v>500.0</v>
      </c>
      <c r="P400" s="7">
        <v>0.0</v>
      </c>
      <c r="Q400" s="7">
        <v>998.0</v>
      </c>
      <c r="R400" s="2"/>
      <c r="S400" s="7">
        <v>0.324649298597194</v>
      </c>
      <c r="T400" s="2" t="s">
        <v>27</v>
      </c>
      <c r="U400" s="2" t="s">
        <v>616</v>
      </c>
    </row>
    <row r="401">
      <c r="A401" s="2" t="s">
        <v>460</v>
      </c>
      <c r="B401" s="2" t="s">
        <v>22</v>
      </c>
      <c r="C401" s="2" t="s">
        <v>23</v>
      </c>
      <c r="D401" s="2" t="s">
        <v>118</v>
      </c>
      <c r="E401" s="2" t="s">
        <v>39</v>
      </c>
      <c r="F401" s="7">
        <v>0.0</v>
      </c>
      <c r="G401" s="2" t="s">
        <v>589</v>
      </c>
      <c r="H401" s="7">
        <v>155.0</v>
      </c>
      <c r="I401" s="2" t="s">
        <v>27</v>
      </c>
      <c r="J401" s="7">
        <v>0.0</v>
      </c>
      <c r="K401" s="7">
        <v>0.1025</v>
      </c>
      <c r="L401" s="7">
        <v>597.788718223571</v>
      </c>
      <c r="M401" s="2"/>
      <c r="N401" s="7">
        <v>0.0</v>
      </c>
      <c r="O401" s="7">
        <v>500.0</v>
      </c>
      <c r="P401" s="7">
        <v>0.0</v>
      </c>
      <c r="Q401" s="7">
        <v>310.0</v>
      </c>
      <c r="R401" s="2"/>
      <c r="S401" s="7">
        <v>0.0</v>
      </c>
      <c r="T401" s="2" t="s">
        <v>27</v>
      </c>
      <c r="U401" s="2" t="s">
        <v>617</v>
      </c>
    </row>
    <row r="402">
      <c r="A402" s="2" t="s">
        <v>460</v>
      </c>
      <c r="B402" s="2" t="s">
        <v>22</v>
      </c>
      <c r="C402" s="2" t="s">
        <v>23</v>
      </c>
      <c r="D402" s="2" t="s">
        <v>118</v>
      </c>
      <c r="E402" s="2" t="s">
        <v>43</v>
      </c>
      <c r="F402" s="7">
        <v>0.0</v>
      </c>
      <c r="G402" s="2" t="s">
        <v>589</v>
      </c>
      <c r="H402" s="7">
        <v>1214.0</v>
      </c>
      <c r="I402" s="2" t="s">
        <v>27</v>
      </c>
      <c r="J402" s="7">
        <v>30.0</v>
      </c>
      <c r="K402" s="7">
        <v>0.098806860551827</v>
      </c>
      <c r="L402" s="7">
        <v>5820.0156571865</v>
      </c>
      <c r="M402" s="7">
        <v>56.0</v>
      </c>
      <c r="N402" s="7">
        <v>15.0</v>
      </c>
      <c r="O402" s="7">
        <v>2235.0</v>
      </c>
      <c r="P402" s="7">
        <v>6.71140939597315</v>
      </c>
      <c r="Q402" s="7">
        <v>543.17673378076</v>
      </c>
      <c r="R402" s="7">
        <v>80.9333333333333</v>
      </c>
      <c r="S402" s="7">
        <v>0.0247116968698517</v>
      </c>
      <c r="T402" s="2" t="s">
        <v>27</v>
      </c>
      <c r="U402" s="2" t="s">
        <v>618</v>
      </c>
    </row>
    <row r="403">
      <c r="A403" s="2" t="s">
        <v>460</v>
      </c>
      <c r="B403" s="2" t="s">
        <v>22</v>
      </c>
      <c r="C403" s="2" t="s">
        <v>23</v>
      </c>
      <c r="D403" s="2" t="s">
        <v>118</v>
      </c>
      <c r="E403" s="2" t="s">
        <v>47</v>
      </c>
      <c r="F403" s="7">
        <v>0.0</v>
      </c>
      <c r="G403" s="2" t="s">
        <v>589</v>
      </c>
      <c r="H403" s="7">
        <v>2217.0</v>
      </c>
      <c r="I403" s="2" t="s">
        <v>27</v>
      </c>
      <c r="J403" s="7">
        <v>1253.0</v>
      </c>
      <c r="K403" s="7">
        <v>0.188523790951638</v>
      </c>
      <c r="L403" s="7">
        <v>14025.2412114143</v>
      </c>
      <c r="M403" s="7">
        <v>425.0</v>
      </c>
      <c r="N403" s="7">
        <v>16.0</v>
      </c>
      <c r="O403" s="7">
        <v>2564.0</v>
      </c>
      <c r="P403" s="7">
        <v>6.24024960998439</v>
      </c>
      <c r="Q403" s="7">
        <v>864.664586583463</v>
      </c>
      <c r="R403" s="7">
        <v>138.5625</v>
      </c>
      <c r="S403" s="7">
        <v>0.565178168696436</v>
      </c>
      <c r="T403" s="2" t="s">
        <v>27</v>
      </c>
      <c r="U403" s="2" t="s">
        <v>619</v>
      </c>
    </row>
    <row r="404">
      <c r="A404" s="2" t="s">
        <v>460</v>
      </c>
      <c r="B404" s="2" t="s">
        <v>22</v>
      </c>
      <c r="C404" s="2" t="s">
        <v>23</v>
      </c>
      <c r="D404" s="2" t="s">
        <v>118</v>
      </c>
      <c r="E404" s="2" t="s">
        <v>51</v>
      </c>
      <c r="F404" s="7">
        <v>0.0</v>
      </c>
      <c r="G404" s="2" t="s">
        <v>589</v>
      </c>
      <c r="H404" s="7">
        <v>492.0</v>
      </c>
      <c r="I404" s="2" t="s">
        <v>27</v>
      </c>
      <c r="J404" s="7">
        <v>50.0</v>
      </c>
      <c r="K404" s="7">
        <v>0.0782696759259259</v>
      </c>
      <c r="L404" s="7">
        <v>2666.65096330642</v>
      </c>
      <c r="M404" s="7">
        <v>56.0</v>
      </c>
      <c r="N404" s="7">
        <v>8.0</v>
      </c>
      <c r="O404" s="7">
        <v>864.0</v>
      </c>
      <c r="P404" s="7">
        <v>9.25925925925926</v>
      </c>
      <c r="Q404" s="7">
        <v>569.444444444444</v>
      </c>
      <c r="R404" s="7">
        <v>61.5</v>
      </c>
      <c r="S404" s="7">
        <v>0.101626016260162</v>
      </c>
      <c r="T404" s="2" t="s">
        <v>27</v>
      </c>
      <c r="U404" s="2" t="s">
        <v>620</v>
      </c>
    </row>
    <row r="405">
      <c r="A405" s="2" t="s">
        <v>460</v>
      </c>
      <c r="B405" s="2" t="s">
        <v>22</v>
      </c>
      <c r="C405" s="2" t="s">
        <v>23</v>
      </c>
      <c r="D405" s="2" t="s">
        <v>64</v>
      </c>
      <c r="E405" s="2" t="s">
        <v>25</v>
      </c>
      <c r="F405" s="7">
        <v>0.0</v>
      </c>
      <c r="G405" s="2" t="s">
        <v>621</v>
      </c>
      <c r="H405" s="7">
        <v>208.0</v>
      </c>
      <c r="I405" s="7">
        <v>0.0</v>
      </c>
      <c r="J405" s="7">
        <v>0.0</v>
      </c>
      <c r="K405" s="7">
        <v>0.144808743169398</v>
      </c>
      <c r="L405" s="7">
        <v>957.084788560867</v>
      </c>
      <c r="M405" s="7">
        <v>106.0</v>
      </c>
      <c r="N405" s="7">
        <v>2.0</v>
      </c>
      <c r="O405" s="7">
        <v>732.0</v>
      </c>
      <c r="P405" s="7">
        <v>2.73224043715847</v>
      </c>
      <c r="Q405" s="7">
        <v>284.15300546448</v>
      </c>
      <c r="R405" s="7">
        <v>104.0</v>
      </c>
      <c r="S405" s="7">
        <v>0.0</v>
      </c>
      <c r="T405" s="7">
        <v>0.0</v>
      </c>
      <c r="U405" s="2" t="s">
        <v>622</v>
      </c>
    </row>
    <row r="406">
      <c r="A406" s="2" t="s">
        <v>460</v>
      </c>
      <c r="B406" s="2" t="s">
        <v>22</v>
      </c>
      <c r="C406" s="2" t="s">
        <v>23</v>
      </c>
      <c r="D406" s="2" t="s">
        <v>64</v>
      </c>
      <c r="E406" s="2" t="s">
        <v>39</v>
      </c>
      <c r="F406" s="7">
        <v>0.0</v>
      </c>
      <c r="G406" s="2" t="s">
        <v>621</v>
      </c>
      <c r="H406" s="7">
        <v>187.0</v>
      </c>
      <c r="I406" s="7">
        <v>0.0</v>
      </c>
      <c r="J406" s="7">
        <v>0.0</v>
      </c>
      <c r="K406" s="7">
        <v>0.096</v>
      </c>
      <c r="L406" s="7">
        <v>987.486418962478</v>
      </c>
      <c r="M406" s="2"/>
      <c r="N406" s="7">
        <v>0.0</v>
      </c>
      <c r="O406" s="7">
        <v>500.0</v>
      </c>
      <c r="P406" s="7">
        <v>0.0</v>
      </c>
      <c r="Q406" s="7">
        <v>374.0</v>
      </c>
      <c r="R406" s="2"/>
      <c r="S406" s="7">
        <v>0.0</v>
      </c>
      <c r="T406" s="7">
        <v>0.0</v>
      </c>
      <c r="U406" s="2" t="s">
        <v>623</v>
      </c>
    </row>
    <row r="407">
      <c r="A407" s="2" t="s">
        <v>460</v>
      </c>
      <c r="B407" s="2" t="s">
        <v>22</v>
      </c>
      <c r="C407" s="2" t="s">
        <v>23</v>
      </c>
      <c r="D407" s="2" t="s">
        <v>64</v>
      </c>
      <c r="E407" s="2" t="s">
        <v>43</v>
      </c>
      <c r="F407" s="7">
        <v>0.0</v>
      </c>
      <c r="G407" s="2" t="s">
        <v>621</v>
      </c>
      <c r="H407" s="7">
        <v>804.0</v>
      </c>
      <c r="I407" s="7">
        <v>0.0</v>
      </c>
      <c r="J407" s="7">
        <v>0.0</v>
      </c>
      <c r="K407" s="7">
        <v>0.0958383353341336</v>
      </c>
      <c r="L407" s="7">
        <v>4570.61046743392</v>
      </c>
      <c r="M407" s="7">
        <v>60.0</v>
      </c>
      <c r="N407" s="7">
        <v>10.0</v>
      </c>
      <c r="O407" s="7">
        <v>1666.0</v>
      </c>
      <c r="P407" s="7">
        <v>6.00240096038415</v>
      </c>
      <c r="Q407" s="7">
        <v>482.593037214885</v>
      </c>
      <c r="R407" s="7">
        <v>80.4</v>
      </c>
      <c r="S407" s="7">
        <v>0.0</v>
      </c>
      <c r="T407" s="7">
        <v>0.0</v>
      </c>
      <c r="U407" s="2" t="s">
        <v>624</v>
      </c>
    </row>
    <row r="408">
      <c r="A408" s="2" t="s">
        <v>460</v>
      </c>
      <c r="B408" s="2" t="s">
        <v>22</v>
      </c>
      <c r="C408" s="2" t="s">
        <v>23</v>
      </c>
      <c r="D408" s="2" t="s">
        <v>64</v>
      </c>
      <c r="E408" s="2" t="s">
        <v>34</v>
      </c>
      <c r="F408" s="7">
        <v>0.0</v>
      </c>
      <c r="G408" s="2" t="s">
        <v>621</v>
      </c>
      <c r="H408" s="7">
        <v>539.0</v>
      </c>
      <c r="I408" s="7">
        <v>0.0</v>
      </c>
      <c r="J408" s="7">
        <v>0.0</v>
      </c>
      <c r="K408" s="7">
        <v>0.30596107055961</v>
      </c>
      <c r="L408" s="7">
        <v>4388.05680775642</v>
      </c>
      <c r="M408" s="7">
        <v>24.0</v>
      </c>
      <c r="N408" s="7">
        <v>2.0</v>
      </c>
      <c r="O408" s="7">
        <v>548.0</v>
      </c>
      <c r="P408" s="7">
        <v>3.64963503649635</v>
      </c>
      <c r="Q408" s="7">
        <v>983.576642335766</v>
      </c>
      <c r="R408" s="7">
        <v>269.5</v>
      </c>
      <c r="S408" s="7">
        <v>0.0</v>
      </c>
      <c r="T408" s="7">
        <v>0.0</v>
      </c>
      <c r="U408" s="2" t="s">
        <v>625</v>
      </c>
    </row>
    <row r="409">
      <c r="A409" s="2" t="s">
        <v>460</v>
      </c>
      <c r="B409" s="2" t="s">
        <v>22</v>
      </c>
      <c r="C409" s="2" t="s">
        <v>23</v>
      </c>
      <c r="D409" s="2" t="s">
        <v>64</v>
      </c>
      <c r="E409" s="2" t="s">
        <v>47</v>
      </c>
      <c r="F409" s="7">
        <v>0.0</v>
      </c>
      <c r="G409" s="2" t="s">
        <v>621</v>
      </c>
      <c r="H409" s="7">
        <v>615.0</v>
      </c>
      <c r="I409" s="7">
        <v>0.0</v>
      </c>
      <c r="J409" s="7">
        <v>0.0</v>
      </c>
      <c r="K409" s="7">
        <v>0.081578947368421</v>
      </c>
      <c r="L409" s="7">
        <v>6368.75678014755</v>
      </c>
      <c r="M409" s="7">
        <v>46.0</v>
      </c>
      <c r="N409" s="7">
        <v>4.0</v>
      </c>
      <c r="O409" s="7">
        <v>665.0</v>
      </c>
      <c r="P409" s="7">
        <v>6.01503759398496</v>
      </c>
      <c r="Q409" s="7">
        <v>924.812030075188</v>
      </c>
      <c r="R409" s="7">
        <v>153.75</v>
      </c>
      <c r="S409" s="7">
        <v>0.0</v>
      </c>
      <c r="T409" s="7">
        <v>0.0</v>
      </c>
      <c r="U409" s="2" t="s">
        <v>626</v>
      </c>
    </row>
    <row r="410">
      <c r="A410" s="2" t="s">
        <v>460</v>
      </c>
      <c r="B410" s="2" t="s">
        <v>22</v>
      </c>
      <c r="C410" s="2" t="s">
        <v>23</v>
      </c>
      <c r="D410" s="2" t="s">
        <v>64</v>
      </c>
      <c r="E410" s="2" t="s">
        <v>51</v>
      </c>
      <c r="F410" s="7">
        <v>0.0</v>
      </c>
      <c r="G410" s="2" t="s">
        <v>621</v>
      </c>
      <c r="H410" s="7">
        <v>436.0</v>
      </c>
      <c r="I410" s="7">
        <v>0.0</v>
      </c>
      <c r="J410" s="7">
        <v>0.0</v>
      </c>
      <c r="K410" s="7">
        <v>0.0717391304347826</v>
      </c>
      <c r="L410" s="7">
        <v>2992.80254793167</v>
      </c>
      <c r="M410" s="7">
        <v>40.0</v>
      </c>
      <c r="N410" s="7">
        <v>6.0</v>
      </c>
      <c r="O410" s="7">
        <v>805.0</v>
      </c>
      <c r="P410" s="7">
        <v>7.45341614906832</v>
      </c>
      <c r="Q410" s="7">
        <v>541.614906832298</v>
      </c>
      <c r="R410" s="7">
        <v>72.6666666666666</v>
      </c>
      <c r="S410" s="7">
        <v>0.0</v>
      </c>
      <c r="T410" s="7">
        <v>0.0</v>
      </c>
      <c r="U410" s="2" t="s">
        <v>627</v>
      </c>
    </row>
    <row r="411">
      <c r="A411" s="2" t="s">
        <v>460</v>
      </c>
      <c r="B411" s="2" t="s">
        <v>114</v>
      </c>
      <c r="C411" s="2" t="s">
        <v>23</v>
      </c>
      <c r="D411" s="2" t="s">
        <v>64</v>
      </c>
      <c r="E411" s="2" t="s">
        <v>25</v>
      </c>
      <c r="F411" s="7">
        <v>0.0</v>
      </c>
      <c r="G411" s="2" t="s">
        <v>628</v>
      </c>
      <c r="H411" s="7">
        <v>1199.0</v>
      </c>
      <c r="I411" s="7">
        <v>0.0</v>
      </c>
      <c r="J411" s="7">
        <v>0.0</v>
      </c>
      <c r="K411" s="7">
        <v>0.117952928297755</v>
      </c>
      <c r="L411" s="7">
        <v>3009.98929142951</v>
      </c>
      <c r="M411" s="7">
        <v>35.0</v>
      </c>
      <c r="N411" s="7">
        <v>15.0</v>
      </c>
      <c r="O411" s="7">
        <v>1827.0</v>
      </c>
      <c r="P411" s="7">
        <v>8.21018062397372</v>
      </c>
      <c r="Q411" s="7">
        <v>656.267104542966</v>
      </c>
      <c r="R411" s="7">
        <v>79.9333333333333</v>
      </c>
      <c r="S411" s="7">
        <v>0.0</v>
      </c>
      <c r="T411" s="7">
        <v>0.0</v>
      </c>
      <c r="U411" s="2" t="s">
        <v>629</v>
      </c>
    </row>
    <row r="412">
      <c r="A412" s="2" t="s">
        <v>460</v>
      </c>
      <c r="B412" s="2" t="s">
        <v>114</v>
      </c>
      <c r="C412" s="2" t="s">
        <v>23</v>
      </c>
      <c r="D412" s="2" t="s">
        <v>64</v>
      </c>
      <c r="E412" s="2" t="s">
        <v>39</v>
      </c>
      <c r="F412" s="7">
        <v>0.0</v>
      </c>
      <c r="G412" s="2" t="s">
        <v>628</v>
      </c>
      <c r="H412" s="7">
        <v>133.0</v>
      </c>
      <c r="I412" s="7">
        <v>0.0</v>
      </c>
      <c r="J412" s="7">
        <v>0.0</v>
      </c>
      <c r="K412" s="7">
        <v>0.1</v>
      </c>
      <c r="L412" s="7">
        <v>410.024519205093</v>
      </c>
      <c r="M412" s="2"/>
      <c r="N412" s="7">
        <v>0.0</v>
      </c>
      <c r="O412" s="7">
        <v>500.0</v>
      </c>
      <c r="P412" s="7">
        <v>0.0</v>
      </c>
      <c r="Q412" s="7">
        <v>266.0</v>
      </c>
      <c r="R412" s="2"/>
      <c r="S412" s="7">
        <v>0.0</v>
      </c>
      <c r="T412" s="7">
        <v>0.0</v>
      </c>
      <c r="U412" s="2" t="s">
        <v>630</v>
      </c>
    </row>
    <row r="413">
      <c r="A413" s="2" t="s">
        <v>460</v>
      </c>
      <c r="B413" s="2" t="s">
        <v>114</v>
      </c>
      <c r="C413" s="2" t="s">
        <v>23</v>
      </c>
      <c r="D413" s="2" t="s">
        <v>64</v>
      </c>
      <c r="E413" s="2" t="s">
        <v>43</v>
      </c>
      <c r="F413" s="7">
        <v>0.0</v>
      </c>
      <c r="G413" s="2" t="s">
        <v>628</v>
      </c>
      <c r="H413" s="7">
        <v>1033.0</v>
      </c>
      <c r="I413" s="7">
        <v>0.0</v>
      </c>
      <c r="J413" s="7">
        <v>0.0</v>
      </c>
      <c r="K413" s="7">
        <v>0.0862186014935505</v>
      </c>
      <c r="L413" s="7">
        <v>3558.83270859718</v>
      </c>
      <c r="M413" s="7">
        <v>41.0</v>
      </c>
      <c r="N413" s="7">
        <v>9.0</v>
      </c>
      <c r="O413" s="7">
        <v>982.0</v>
      </c>
      <c r="P413" s="7">
        <v>9.16496945010183</v>
      </c>
      <c r="Q413" s="7">
        <v>1051.93482688391</v>
      </c>
      <c r="R413" s="7">
        <v>114.777777777777</v>
      </c>
      <c r="S413" s="7">
        <v>0.0</v>
      </c>
      <c r="T413" s="7">
        <v>0.0</v>
      </c>
      <c r="U413" s="2" t="s">
        <v>631</v>
      </c>
    </row>
    <row r="414">
      <c r="A414" s="2" t="s">
        <v>460</v>
      </c>
      <c r="B414" s="2" t="s">
        <v>114</v>
      </c>
      <c r="C414" s="2" t="s">
        <v>23</v>
      </c>
      <c r="D414" s="2" t="s">
        <v>64</v>
      </c>
      <c r="E414" s="2" t="s">
        <v>34</v>
      </c>
      <c r="F414" s="7">
        <v>0.0</v>
      </c>
      <c r="G414" s="2" t="s">
        <v>628</v>
      </c>
      <c r="H414" s="7">
        <v>2863.0</v>
      </c>
      <c r="I414" s="7">
        <v>0.0</v>
      </c>
      <c r="J414" s="7">
        <v>0.0</v>
      </c>
      <c r="K414" s="7">
        <v>0.144875205878626</v>
      </c>
      <c r="L414" s="7">
        <v>9388.589158535</v>
      </c>
      <c r="M414" s="7">
        <v>24.0</v>
      </c>
      <c r="N414" s="7">
        <v>11.0</v>
      </c>
      <c r="O414" s="7">
        <v>2631.0</v>
      </c>
      <c r="P414" s="7">
        <v>4.18091980235651</v>
      </c>
      <c r="Q414" s="7">
        <v>1088.17939946788</v>
      </c>
      <c r="R414" s="7">
        <v>260.272727272727</v>
      </c>
      <c r="S414" s="7">
        <v>0.0</v>
      </c>
      <c r="T414" s="7">
        <v>0.0</v>
      </c>
      <c r="U414" s="2" t="s">
        <v>632</v>
      </c>
    </row>
    <row r="415">
      <c r="A415" s="2" t="s">
        <v>460</v>
      </c>
      <c r="B415" s="2" t="s">
        <v>114</v>
      </c>
      <c r="C415" s="2" t="s">
        <v>23</v>
      </c>
      <c r="D415" s="2" t="s">
        <v>64</v>
      </c>
      <c r="E415" s="2" t="s">
        <v>47</v>
      </c>
      <c r="F415" s="7">
        <v>0.0</v>
      </c>
      <c r="G415" s="2" t="s">
        <v>628</v>
      </c>
      <c r="H415" s="7">
        <v>2090.0</v>
      </c>
      <c r="I415" s="7">
        <v>0.0</v>
      </c>
      <c r="J415" s="7">
        <v>0.0</v>
      </c>
      <c r="K415" s="7">
        <v>0.12522838002436</v>
      </c>
      <c r="L415" s="7">
        <v>8775.49463534355</v>
      </c>
      <c r="M415" s="7">
        <v>46.0</v>
      </c>
      <c r="N415" s="7">
        <v>9.0</v>
      </c>
      <c r="O415" s="7">
        <v>1642.0</v>
      </c>
      <c r="P415" s="7">
        <v>5.48112058465286</v>
      </c>
      <c r="Q415" s="7">
        <v>1272.83800243605</v>
      </c>
      <c r="R415" s="7">
        <v>232.222222222222</v>
      </c>
      <c r="S415" s="7">
        <v>0.0</v>
      </c>
      <c r="T415" s="7">
        <v>0.0</v>
      </c>
      <c r="U415" s="2" t="s">
        <v>633</v>
      </c>
    </row>
    <row r="416">
      <c r="A416" s="2" t="s">
        <v>460</v>
      </c>
      <c r="B416" s="2" t="s">
        <v>114</v>
      </c>
      <c r="C416" s="2" t="s">
        <v>23</v>
      </c>
      <c r="D416" s="2" t="s">
        <v>64</v>
      </c>
      <c r="E416" s="2" t="s">
        <v>51</v>
      </c>
      <c r="F416" s="7">
        <v>0.0</v>
      </c>
      <c r="G416" s="2" t="s">
        <v>628</v>
      </c>
      <c r="H416" s="7">
        <v>2256.0</v>
      </c>
      <c r="I416" s="7">
        <v>0.0</v>
      </c>
      <c r="J416" s="7">
        <v>0.0</v>
      </c>
      <c r="K416" s="7">
        <v>0.143620689655172</v>
      </c>
      <c r="L416" s="7">
        <v>8252.43213796615</v>
      </c>
      <c r="M416" s="7">
        <v>40.0</v>
      </c>
      <c r="N416" s="7">
        <v>11.0</v>
      </c>
      <c r="O416" s="7">
        <v>1450.0</v>
      </c>
      <c r="P416" s="7">
        <v>7.58620689655172</v>
      </c>
      <c r="Q416" s="7">
        <v>1555.86206896551</v>
      </c>
      <c r="R416" s="7">
        <v>205.090909090909</v>
      </c>
      <c r="S416" s="7">
        <v>0.0</v>
      </c>
      <c r="T416" s="7">
        <v>0.0</v>
      </c>
      <c r="U416" s="2" t="s">
        <v>634</v>
      </c>
    </row>
    <row r="417">
      <c r="A417" s="2" t="s">
        <v>33</v>
      </c>
      <c r="B417" s="2" t="s">
        <v>22</v>
      </c>
      <c r="C417" s="2" t="s">
        <v>23</v>
      </c>
      <c r="D417" s="2" t="s">
        <v>64</v>
      </c>
      <c r="E417" s="2" t="s">
        <v>25</v>
      </c>
      <c r="F417" s="7">
        <v>0.0</v>
      </c>
      <c r="G417" s="2" t="s">
        <v>635</v>
      </c>
      <c r="H417" s="7">
        <v>195.0</v>
      </c>
      <c r="I417" s="7">
        <v>0.0</v>
      </c>
      <c r="J417" s="7">
        <v>0.0</v>
      </c>
      <c r="K417" s="7">
        <v>0.138461538461538</v>
      </c>
      <c r="L417" s="7">
        <v>936.519109249115</v>
      </c>
      <c r="M417" s="7">
        <v>61.0</v>
      </c>
      <c r="N417" s="7">
        <v>3.0</v>
      </c>
      <c r="O417" s="7">
        <v>715.0</v>
      </c>
      <c r="P417" s="7">
        <v>4.19580419580419</v>
      </c>
      <c r="Q417" s="7">
        <v>272.727272727272</v>
      </c>
      <c r="R417" s="7">
        <v>65.0</v>
      </c>
      <c r="S417" s="7">
        <v>0.0</v>
      </c>
      <c r="T417" s="7">
        <v>0.0</v>
      </c>
      <c r="U417" s="2" t="s">
        <v>636</v>
      </c>
    </row>
    <row r="418">
      <c r="A418" s="2" t="s">
        <v>33</v>
      </c>
      <c r="B418" s="2" t="s">
        <v>22</v>
      </c>
      <c r="C418" s="2" t="s">
        <v>23</v>
      </c>
      <c r="D418" s="2" t="s">
        <v>64</v>
      </c>
      <c r="E418" s="2" t="s">
        <v>39</v>
      </c>
      <c r="F418" s="7">
        <v>0.0</v>
      </c>
      <c r="G418" s="2" t="s">
        <v>635</v>
      </c>
      <c r="H418" s="7">
        <v>957.0</v>
      </c>
      <c r="I418" s="7">
        <v>0.0</v>
      </c>
      <c r="J418" s="7">
        <v>0.0</v>
      </c>
      <c r="K418" s="7">
        <v>0.108858527985896</v>
      </c>
      <c r="L418" s="7">
        <v>4987.98249554634</v>
      </c>
      <c r="M418" s="7">
        <v>152.0</v>
      </c>
      <c r="N418" s="7">
        <v>8.0</v>
      </c>
      <c r="O418" s="7">
        <v>2269.0</v>
      </c>
      <c r="P418" s="7">
        <v>3.52578228294402</v>
      </c>
      <c r="Q418" s="7">
        <v>421.771705597179</v>
      </c>
      <c r="R418" s="7">
        <v>119.625</v>
      </c>
      <c r="S418" s="7">
        <v>0.0</v>
      </c>
      <c r="T418" s="7">
        <v>0.0</v>
      </c>
      <c r="U418" s="2" t="s">
        <v>637</v>
      </c>
    </row>
    <row r="419">
      <c r="A419" s="2" t="s">
        <v>33</v>
      </c>
      <c r="B419" s="2" t="s">
        <v>22</v>
      </c>
      <c r="C419" s="2" t="s">
        <v>23</v>
      </c>
      <c r="D419" s="2" t="s">
        <v>64</v>
      </c>
      <c r="E419" s="2" t="s">
        <v>43</v>
      </c>
      <c r="F419" s="7">
        <v>0.0</v>
      </c>
      <c r="G419" s="2" t="s">
        <v>635</v>
      </c>
      <c r="H419" s="7">
        <v>564.0</v>
      </c>
      <c r="I419" s="7">
        <v>0.0</v>
      </c>
      <c r="J419" s="7">
        <v>0.0</v>
      </c>
      <c r="K419" s="7">
        <v>0.109921484653818</v>
      </c>
      <c r="L419" s="7">
        <v>3683.97506356239</v>
      </c>
      <c r="M419" s="7">
        <v>93.0</v>
      </c>
      <c r="N419" s="7">
        <v>9.0</v>
      </c>
      <c r="O419" s="7">
        <v>934.0</v>
      </c>
      <c r="P419" s="7">
        <v>9.63597430406852</v>
      </c>
      <c r="Q419" s="7">
        <v>603.854389721627</v>
      </c>
      <c r="R419" s="7">
        <v>62.6666666666666</v>
      </c>
      <c r="S419" s="7">
        <v>0.0</v>
      </c>
      <c r="T419" s="7">
        <v>0.0</v>
      </c>
      <c r="U419" s="2" t="s">
        <v>638</v>
      </c>
    </row>
    <row r="420">
      <c r="A420" s="2" t="s">
        <v>33</v>
      </c>
      <c r="B420" s="2" t="s">
        <v>22</v>
      </c>
      <c r="C420" s="2" t="s">
        <v>23</v>
      </c>
      <c r="D420" s="2" t="s">
        <v>64</v>
      </c>
      <c r="E420" s="2" t="s">
        <v>34</v>
      </c>
      <c r="F420" s="7">
        <v>0.0</v>
      </c>
      <c r="G420" s="2" t="s">
        <v>635</v>
      </c>
      <c r="H420" s="7">
        <v>1216.0</v>
      </c>
      <c r="I420" s="7">
        <v>0.0</v>
      </c>
      <c r="J420" s="7">
        <v>0.0</v>
      </c>
      <c r="K420" s="7">
        <v>0.148610373517436</v>
      </c>
      <c r="L420" s="7">
        <v>7348.20356416702</v>
      </c>
      <c r="M420" s="7">
        <v>24.0</v>
      </c>
      <c r="N420" s="7">
        <v>9.0</v>
      </c>
      <c r="O420" s="7">
        <v>1883.0</v>
      </c>
      <c r="P420" s="7">
        <v>4.77960701009028</v>
      </c>
      <c r="Q420" s="7">
        <v>645.778013807753</v>
      </c>
      <c r="R420" s="7">
        <v>135.111111111111</v>
      </c>
      <c r="S420" s="7">
        <v>0.0</v>
      </c>
      <c r="T420" s="7">
        <v>0.0</v>
      </c>
      <c r="U420" s="2" t="s">
        <v>639</v>
      </c>
    </row>
    <row r="421">
      <c r="A421" s="2" t="s">
        <v>33</v>
      </c>
      <c r="B421" s="2" t="s">
        <v>22</v>
      </c>
      <c r="C421" s="2" t="s">
        <v>23</v>
      </c>
      <c r="D421" s="2" t="s">
        <v>64</v>
      </c>
      <c r="E421" s="2" t="s">
        <v>47</v>
      </c>
      <c r="F421" s="7">
        <v>0.0</v>
      </c>
      <c r="G421" s="2" t="s">
        <v>635</v>
      </c>
      <c r="H421" s="7">
        <v>1484.0</v>
      </c>
      <c r="I421" s="7">
        <v>0.0</v>
      </c>
      <c r="J421" s="7">
        <v>2.0</v>
      </c>
      <c r="K421" s="7">
        <v>0.131569685593618</v>
      </c>
      <c r="L421" s="7">
        <v>11436.8635988235</v>
      </c>
      <c r="M421" s="7">
        <v>63.0</v>
      </c>
      <c r="N421" s="7">
        <v>11.0</v>
      </c>
      <c r="O421" s="7">
        <v>2131.0</v>
      </c>
      <c r="P421" s="7">
        <v>5.16189582355701</v>
      </c>
      <c r="Q421" s="7">
        <v>696.38667292351</v>
      </c>
      <c r="R421" s="7">
        <v>134.90909090909</v>
      </c>
      <c r="S421" s="7">
        <v>0.0013477088948787</v>
      </c>
      <c r="T421" s="7">
        <v>0.0</v>
      </c>
      <c r="U421" s="2" t="s">
        <v>640</v>
      </c>
    </row>
    <row r="422">
      <c r="A422" s="2" t="s">
        <v>33</v>
      </c>
      <c r="B422" s="2" t="s">
        <v>22</v>
      </c>
      <c r="C422" s="2" t="s">
        <v>23</v>
      </c>
      <c r="D422" s="2" t="s">
        <v>64</v>
      </c>
      <c r="E422" s="2" t="s">
        <v>51</v>
      </c>
      <c r="F422" s="7">
        <v>0.0</v>
      </c>
      <c r="G422" s="2" t="s">
        <v>635</v>
      </c>
      <c r="H422" s="7">
        <v>309.0</v>
      </c>
      <c r="I422" s="7">
        <v>0.0</v>
      </c>
      <c r="J422" s="7">
        <v>0.0</v>
      </c>
      <c r="K422" s="7">
        <v>0.070710973724884</v>
      </c>
      <c r="L422" s="7">
        <v>2310.34344482421</v>
      </c>
      <c r="M422" s="7">
        <v>40.0</v>
      </c>
      <c r="N422" s="7">
        <v>5.0</v>
      </c>
      <c r="O422" s="7">
        <v>647.0</v>
      </c>
      <c r="P422" s="7">
        <v>7.72797527047913</v>
      </c>
      <c r="Q422" s="7">
        <v>477.58887171561</v>
      </c>
      <c r="R422" s="7">
        <v>61.8</v>
      </c>
      <c r="S422" s="7">
        <v>0.0</v>
      </c>
      <c r="T422" s="7">
        <v>0.0</v>
      </c>
      <c r="U422" s="2" t="s">
        <v>641</v>
      </c>
    </row>
    <row r="423">
      <c r="A423" s="2" t="s">
        <v>33</v>
      </c>
      <c r="B423" s="2" t="s">
        <v>114</v>
      </c>
      <c r="C423" s="2" t="s">
        <v>23</v>
      </c>
      <c r="D423" s="2" t="s">
        <v>64</v>
      </c>
      <c r="E423" s="2" t="s">
        <v>25</v>
      </c>
      <c r="F423" s="7">
        <v>0.0</v>
      </c>
      <c r="G423" s="2" t="s">
        <v>642</v>
      </c>
      <c r="H423" s="7">
        <v>1442.0</v>
      </c>
      <c r="I423" s="7">
        <v>0.0</v>
      </c>
      <c r="J423" s="7">
        <v>0.0</v>
      </c>
      <c r="K423" s="7">
        <v>0.119769557307459</v>
      </c>
      <c r="L423" s="7">
        <v>3524.40918254852</v>
      </c>
      <c r="M423" s="7">
        <v>35.0</v>
      </c>
      <c r="N423" s="7">
        <v>20.0</v>
      </c>
      <c r="O423" s="7">
        <v>1649.0</v>
      </c>
      <c r="P423" s="7">
        <v>12.1285627653123</v>
      </c>
      <c r="Q423" s="7">
        <v>874.469375379017</v>
      </c>
      <c r="R423" s="7">
        <v>72.1</v>
      </c>
      <c r="S423" s="7">
        <v>0.0</v>
      </c>
      <c r="T423" s="7">
        <v>0.0</v>
      </c>
      <c r="U423" s="2" t="s">
        <v>643</v>
      </c>
    </row>
    <row r="424">
      <c r="A424" s="2" t="s">
        <v>33</v>
      </c>
      <c r="B424" s="2" t="s">
        <v>114</v>
      </c>
      <c r="C424" s="2" t="s">
        <v>23</v>
      </c>
      <c r="D424" s="2" t="s">
        <v>64</v>
      </c>
      <c r="E424" s="2" t="s">
        <v>39</v>
      </c>
      <c r="F424" s="7">
        <v>0.0</v>
      </c>
      <c r="G424" s="2" t="s">
        <v>642</v>
      </c>
      <c r="H424" s="7">
        <v>140.0</v>
      </c>
      <c r="I424" s="7">
        <v>0.0</v>
      </c>
      <c r="J424" s="7">
        <v>0.0</v>
      </c>
      <c r="K424" s="7">
        <v>0.101</v>
      </c>
      <c r="L424" s="7">
        <v>424.949900388717</v>
      </c>
      <c r="M424" s="2"/>
      <c r="N424" s="7">
        <v>0.0</v>
      </c>
      <c r="O424" s="7">
        <v>500.0</v>
      </c>
      <c r="P424" s="7">
        <v>0.0</v>
      </c>
      <c r="Q424" s="7">
        <v>280.0</v>
      </c>
      <c r="R424" s="2"/>
      <c r="S424" s="7">
        <v>0.0</v>
      </c>
      <c r="T424" s="7">
        <v>0.0</v>
      </c>
      <c r="U424" s="2" t="s">
        <v>644</v>
      </c>
    </row>
    <row r="425">
      <c r="A425" s="2" t="s">
        <v>33</v>
      </c>
      <c r="B425" s="2" t="s">
        <v>114</v>
      </c>
      <c r="C425" s="2" t="s">
        <v>23</v>
      </c>
      <c r="D425" s="2" t="s">
        <v>64</v>
      </c>
      <c r="E425" s="2" t="s">
        <v>43</v>
      </c>
      <c r="F425" s="7">
        <v>0.0</v>
      </c>
      <c r="G425" s="2" t="s">
        <v>642</v>
      </c>
      <c r="H425" s="7">
        <v>1806.0</v>
      </c>
      <c r="I425" s="7">
        <v>0.0</v>
      </c>
      <c r="J425" s="7">
        <v>0.0</v>
      </c>
      <c r="K425" s="7">
        <v>0.14625594790884</v>
      </c>
      <c r="L425" s="7">
        <v>5750.55396771431</v>
      </c>
      <c r="M425" s="7">
        <v>41.0</v>
      </c>
      <c r="N425" s="7">
        <v>11.0</v>
      </c>
      <c r="O425" s="7">
        <v>1331.0</v>
      </c>
      <c r="P425" s="7">
        <v>8.26446280991735</v>
      </c>
      <c r="Q425" s="7">
        <v>1356.87453042824</v>
      </c>
      <c r="R425" s="7">
        <v>164.181818181818</v>
      </c>
      <c r="S425" s="7">
        <v>0.0</v>
      </c>
      <c r="T425" s="7">
        <v>0.0</v>
      </c>
      <c r="U425" s="2" t="s">
        <v>645</v>
      </c>
    </row>
    <row r="426">
      <c r="A426" s="2" t="s">
        <v>33</v>
      </c>
      <c r="B426" s="2" t="s">
        <v>114</v>
      </c>
      <c r="C426" s="2" t="s">
        <v>23</v>
      </c>
      <c r="D426" s="2" t="s">
        <v>64</v>
      </c>
      <c r="E426" s="2" t="s">
        <v>34</v>
      </c>
      <c r="F426" s="7">
        <v>0.0</v>
      </c>
      <c r="G426" s="2" t="s">
        <v>642</v>
      </c>
      <c r="H426" s="7">
        <v>2564.0</v>
      </c>
      <c r="I426" s="7">
        <v>0.0</v>
      </c>
      <c r="J426" s="7">
        <v>0.0</v>
      </c>
      <c r="K426" s="7">
        <v>0.141878098571011</v>
      </c>
      <c r="L426" s="7">
        <v>8254.96936035156</v>
      </c>
      <c r="M426" s="7">
        <v>24.0</v>
      </c>
      <c r="N426" s="7">
        <v>12.0</v>
      </c>
      <c r="O426" s="7">
        <v>2286.0</v>
      </c>
      <c r="P426" s="7">
        <v>5.24934383202099</v>
      </c>
      <c r="Q426" s="7">
        <v>1121.60979877515</v>
      </c>
      <c r="R426" s="7">
        <v>213.666666666666</v>
      </c>
      <c r="S426" s="7">
        <v>0.0</v>
      </c>
      <c r="T426" s="7">
        <v>0.0</v>
      </c>
      <c r="U426" s="2" t="s">
        <v>646</v>
      </c>
    </row>
    <row r="427">
      <c r="A427" s="2" t="s">
        <v>33</v>
      </c>
      <c r="B427" s="2" t="s">
        <v>114</v>
      </c>
      <c r="C427" s="2" t="s">
        <v>23</v>
      </c>
      <c r="D427" s="2" t="s">
        <v>64</v>
      </c>
      <c r="E427" s="2" t="s">
        <v>47</v>
      </c>
      <c r="F427" s="7">
        <v>0.0</v>
      </c>
      <c r="G427" s="2" t="s">
        <v>642</v>
      </c>
      <c r="H427" s="7">
        <v>3397.0</v>
      </c>
      <c r="I427" s="7">
        <v>0.0</v>
      </c>
      <c r="J427" s="7">
        <v>0.0</v>
      </c>
      <c r="K427" s="7">
        <v>0.127533460803059</v>
      </c>
      <c r="L427" s="7">
        <v>13394.3567819595</v>
      </c>
      <c r="M427" s="7">
        <v>46.0</v>
      </c>
      <c r="N427" s="7">
        <v>12.0</v>
      </c>
      <c r="O427" s="7">
        <v>2615.0</v>
      </c>
      <c r="P427" s="7">
        <v>4.58891013384321</v>
      </c>
      <c r="Q427" s="7">
        <v>1299.04397705544</v>
      </c>
      <c r="R427" s="7">
        <v>283.083333333333</v>
      </c>
      <c r="S427" s="7">
        <v>0.0</v>
      </c>
      <c r="T427" s="7">
        <v>0.0</v>
      </c>
      <c r="U427" s="2" t="s">
        <v>647</v>
      </c>
    </row>
    <row r="428">
      <c r="A428" s="2" t="s">
        <v>33</v>
      </c>
      <c r="B428" s="2" t="s">
        <v>114</v>
      </c>
      <c r="C428" s="2" t="s">
        <v>23</v>
      </c>
      <c r="D428" s="2" t="s">
        <v>64</v>
      </c>
      <c r="E428" s="2" t="s">
        <v>51</v>
      </c>
      <c r="F428" s="7">
        <v>0.0</v>
      </c>
      <c r="G428" s="2" t="s">
        <v>642</v>
      </c>
      <c r="H428" s="7">
        <v>1049.0</v>
      </c>
      <c r="I428" s="7">
        <v>0.0</v>
      </c>
      <c r="J428" s="7">
        <v>0.0</v>
      </c>
      <c r="K428" s="7">
        <v>0.10133495145631</v>
      </c>
      <c r="L428" s="7">
        <v>3913.2658419609</v>
      </c>
      <c r="M428" s="7">
        <v>40.0</v>
      </c>
      <c r="N428" s="7">
        <v>6.0</v>
      </c>
      <c r="O428" s="7">
        <v>824.0</v>
      </c>
      <c r="P428" s="7">
        <v>7.28155339805825</v>
      </c>
      <c r="Q428" s="7">
        <v>1273.05825242718</v>
      </c>
      <c r="R428" s="7">
        <v>174.833333333333</v>
      </c>
      <c r="S428" s="7">
        <v>0.0</v>
      </c>
      <c r="T428" s="7">
        <v>0.0</v>
      </c>
      <c r="U428" s="2" t="s">
        <v>648</v>
      </c>
    </row>
    <row r="429">
      <c r="A429" s="2" t="s">
        <v>32</v>
      </c>
      <c r="B429" s="2" t="s">
        <v>22</v>
      </c>
      <c r="C429" s="2" t="s">
        <v>23</v>
      </c>
      <c r="D429" s="2" t="s">
        <v>64</v>
      </c>
      <c r="E429" s="2" t="s">
        <v>25</v>
      </c>
      <c r="F429" s="7">
        <v>0.0</v>
      </c>
      <c r="G429" s="2" t="s">
        <v>649</v>
      </c>
      <c r="H429" s="7">
        <v>727.0</v>
      </c>
      <c r="I429" s="7">
        <v>0.0</v>
      </c>
      <c r="J429" s="7">
        <v>0.0</v>
      </c>
      <c r="K429" s="7">
        <v>0.162790697674418</v>
      </c>
      <c r="L429" s="7">
        <v>3043.75093722343</v>
      </c>
      <c r="M429" s="7">
        <v>59.0</v>
      </c>
      <c r="N429" s="7">
        <v>6.0</v>
      </c>
      <c r="O429" s="7">
        <v>1032.0</v>
      </c>
      <c r="P429" s="7">
        <v>5.81395348837209</v>
      </c>
      <c r="Q429" s="7">
        <v>704.457364341085</v>
      </c>
      <c r="R429" s="7">
        <v>121.166666666666</v>
      </c>
      <c r="S429" s="7">
        <v>0.0</v>
      </c>
      <c r="T429" s="7">
        <v>0.0</v>
      </c>
      <c r="U429" s="2" t="s">
        <v>650</v>
      </c>
    </row>
    <row r="430">
      <c r="A430" s="2" t="s">
        <v>32</v>
      </c>
      <c r="B430" s="2" t="s">
        <v>22</v>
      </c>
      <c r="C430" s="2" t="s">
        <v>23</v>
      </c>
      <c r="D430" s="2" t="s">
        <v>64</v>
      </c>
      <c r="E430" s="2" t="s">
        <v>39</v>
      </c>
      <c r="F430" s="7">
        <v>0.0</v>
      </c>
      <c r="G430" s="2" t="s">
        <v>649</v>
      </c>
      <c r="H430" s="7">
        <v>142.0</v>
      </c>
      <c r="I430" s="7">
        <v>0.0</v>
      </c>
      <c r="J430" s="7">
        <v>0.0</v>
      </c>
      <c r="K430" s="7">
        <v>0.0985</v>
      </c>
      <c r="L430" s="7">
        <v>760.492516517639</v>
      </c>
      <c r="M430" s="2"/>
      <c r="N430" s="7">
        <v>0.0</v>
      </c>
      <c r="O430" s="7">
        <v>500.0</v>
      </c>
      <c r="P430" s="7">
        <v>0.0</v>
      </c>
      <c r="Q430" s="7">
        <v>284.0</v>
      </c>
      <c r="R430" s="2"/>
      <c r="S430" s="7">
        <v>0.0</v>
      </c>
      <c r="T430" s="7">
        <v>0.0</v>
      </c>
      <c r="U430" s="2" t="s">
        <v>651</v>
      </c>
    </row>
    <row r="431">
      <c r="A431" s="2" t="s">
        <v>32</v>
      </c>
      <c r="B431" s="2" t="s">
        <v>22</v>
      </c>
      <c r="C431" s="2" t="s">
        <v>23</v>
      </c>
      <c r="D431" s="2" t="s">
        <v>64</v>
      </c>
      <c r="E431" s="2" t="s">
        <v>43</v>
      </c>
      <c r="F431" s="7">
        <v>0.0</v>
      </c>
      <c r="G431" s="2" t="s">
        <v>649</v>
      </c>
      <c r="H431" s="7">
        <v>756.0</v>
      </c>
      <c r="I431" s="7">
        <v>0.0</v>
      </c>
      <c r="J431" s="7">
        <v>0.0</v>
      </c>
      <c r="K431" s="7">
        <v>0.0927186468646864</v>
      </c>
      <c r="L431" s="7">
        <v>4471.21579027175</v>
      </c>
      <c r="M431" s="7">
        <v>103.0</v>
      </c>
      <c r="N431" s="7">
        <v>11.0</v>
      </c>
      <c r="O431" s="7">
        <v>1616.0</v>
      </c>
      <c r="P431" s="7">
        <v>6.8069306930693</v>
      </c>
      <c r="Q431" s="7">
        <v>467.821782178217</v>
      </c>
      <c r="R431" s="7">
        <v>68.7272727272727</v>
      </c>
      <c r="S431" s="7">
        <v>0.0</v>
      </c>
      <c r="T431" s="7">
        <v>0.0</v>
      </c>
      <c r="U431" s="2" t="s">
        <v>652</v>
      </c>
    </row>
    <row r="432">
      <c r="A432" s="2" t="s">
        <v>32</v>
      </c>
      <c r="B432" s="2" t="s">
        <v>22</v>
      </c>
      <c r="C432" s="2" t="s">
        <v>23</v>
      </c>
      <c r="D432" s="2" t="s">
        <v>64</v>
      </c>
      <c r="E432" s="2" t="s">
        <v>34</v>
      </c>
      <c r="F432" s="7">
        <v>0.0</v>
      </c>
      <c r="G432" s="2" t="s">
        <v>649</v>
      </c>
      <c r="H432" s="7">
        <v>541.0</v>
      </c>
      <c r="I432" s="7">
        <v>0.0</v>
      </c>
      <c r="J432" s="7">
        <v>1.0</v>
      </c>
      <c r="K432" s="7">
        <v>0.438868613138686</v>
      </c>
      <c r="L432" s="7">
        <v>4344.32957148551</v>
      </c>
      <c r="M432" s="7">
        <v>24.0</v>
      </c>
      <c r="N432" s="7">
        <v>2.0</v>
      </c>
      <c r="O432" s="7">
        <v>548.0</v>
      </c>
      <c r="P432" s="7">
        <v>3.64963503649635</v>
      </c>
      <c r="Q432" s="7">
        <v>987.226277372262</v>
      </c>
      <c r="R432" s="7">
        <v>270.5</v>
      </c>
      <c r="S432" s="7">
        <v>0.00184842883548983</v>
      </c>
      <c r="T432" s="7">
        <v>0.0</v>
      </c>
      <c r="U432" s="2" t="s">
        <v>653</v>
      </c>
    </row>
    <row r="433">
      <c r="A433" s="2" t="s">
        <v>32</v>
      </c>
      <c r="B433" s="2" t="s">
        <v>22</v>
      </c>
      <c r="C433" s="2" t="s">
        <v>23</v>
      </c>
      <c r="D433" s="2" t="s">
        <v>64</v>
      </c>
      <c r="E433" s="2" t="s">
        <v>47</v>
      </c>
      <c r="F433" s="7">
        <v>0.0</v>
      </c>
      <c r="G433" s="2" t="s">
        <v>649</v>
      </c>
      <c r="H433" s="7">
        <v>1486.0</v>
      </c>
      <c r="I433" s="7">
        <v>0.0</v>
      </c>
      <c r="J433" s="7">
        <v>0.0</v>
      </c>
      <c r="K433" s="7">
        <v>0.114597315436241</v>
      </c>
      <c r="L433" s="7">
        <v>10532.8316440582</v>
      </c>
      <c r="M433" s="7">
        <v>46.0</v>
      </c>
      <c r="N433" s="7">
        <v>10.0</v>
      </c>
      <c r="O433" s="7">
        <v>2235.0</v>
      </c>
      <c r="P433" s="7">
        <v>4.47427293064877</v>
      </c>
      <c r="Q433" s="7">
        <v>664.876957494407</v>
      </c>
      <c r="R433" s="7">
        <v>148.6</v>
      </c>
      <c r="S433" s="7">
        <v>0.0</v>
      </c>
      <c r="T433" s="7">
        <v>0.0</v>
      </c>
      <c r="U433" s="2" t="s">
        <v>654</v>
      </c>
    </row>
    <row r="434">
      <c r="A434" s="2" t="s">
        <v>32</v>
      </c>
      <c r="B434" s="2" t="s">
        <v>22</v>
      </c>
      <c r="C434" s="2" t="s">
        <v>23</v>
      </c>
      <c r="D434" s="2" t="s">
        <v>64</v>
      </c>
      <c r="E434" s="2" t="s">
        <v>51</v>
      </c>
      <c r="F434" s="7">
        <v>0.0</v>
      </c>
      <c r="G434" s="2" t="s">
        <v>649</v>
      </c>
      <c r="H434" s="7">
        <v>235.0</v>
      </c>
      <c r="I434" s="7">
        <v>0.0</v>
      </c>
      <c r="J434" s="7">
        <v>0.0</v>
      </c>
      <c r="K434" s="7">
        <v>0.0677238805970149</v>
      </c>
      <c r="L434" s="7">
        <v>1569.6289589405</v>
      </c>
      <c r="M434" s="7">
        <v>85.0</v>
      </c>
      <c r="N434" s="7">
        <v>2.0</v>
      </c>
      <c r="O434" s="7">
        <v>670.0</v>
      </c>
      <c r="P434" s="7">
        <v>2.98507462686567</v>
      </c>
      <c r="Q434" s="7">
        <v>350.746268656716</v>
      </c>
      <c r="R434" s="7">
        <v>117.5</v>
      </c>
      <c r="S434" s="7">
        <v>0.0</v>
      </c>
      <c r="T434" s="7">
        <v>0.0</v>
      </c>
      <c r="U434" s="2" t="s">
        <v>655</v>
      </c>
    </row>
    <row r="435">
      <c r="A435" s="2" t="s">
        <v>32</v>
      </c>
      <c r="B435" s="2" t="s">
        <v>22</v>
      </c>
      <c r="C435" s="2" t="s">
        <v>23</v>
      </c>
      <c r="D435" s="2" t="s">
        <v>54</v>
      </c>
      <c r="E435" s="2" t="s">
        <v>25</v>
      </c>
      <c r="F435" s="7">
        <v>0.0</v>
      </c>
      <c r="G435" s="2" t="s">
        <v>356</v>
      </c>
      <c r="H435" s="7">
        <v>449.0</v>
      </c>
      <c r="I435" s="7">
        <v>0.0</v>
      </c>
      <c r="J435" s="7">
        <v>34.0</v>
      </c>
      <c r="K435" s="7">
        <v>0.150550795593635</v>
      </c>
      <c r="L435" s="7">
        <v>13251.2754757404</v>
      </c>
      <c r="M435" s="7">
        <v>317.0</v>
      </c>
      <c r="N435" s="7">
        <v>1.0</v>
      </c>
      <c r="O435" s="7">
        <v>817.0</v>
      </c>
      <c r="P435" s="7">
        <v>1.22399020807833</v>
      </c>
      <c r="Q435" s="7">
        <v>549.571603427172</v>
      </c>
      <c r="R435" s="7">
        <v>449.0</v>
      </c>
      <c r="S435" s="7">
        <v>0.0757238307349666</v>
      </c>
      <c r="T435" s="7">
        <v>0.0</v>
      </c>
      <c r="U435" s="2" t="s">
        <v>656</v>
      </c>
    </row>
    <row r="436">
      <c r="A436" s="2" t="s">
        <v>32</v>
      </c>
      <c r="B436" s="2" t="s">
        <v>22</v>
      </c>
      <c r="C436" s="2" t="s">
        <v>23</v>
      </c>
      <c r="D436" s="2" t="s">
        <v>102</v>
      </c>
      <c r="E436" s="2" t="s">
        <v>25</v>
      </c>
      <c r="F436" s="7">
        <v>0.0</v>
      </c>
      <c r="G436" s="2" t="s">
        <v>356</v>
      </c>
      <c r="H436" s="7">
        <v>500.0</v>
      </c>
      <c r="I436" s="7">
        <v>0.0</v>
      </c>
      <c r="J436" s="7">
        <v>1000.0</v>
      </c>
      <c r="K436" s="7">
        <v>0.0</v>
      </c>
      <c r="L436" s="7">
        <v>30083.4243907928</v>
      </c>
      <c r="M436" s="2"/>
      <c r="N436" s="7">
        <v>0.0</v>
      </c>
      <c r="O436" s="7">
        <v>500.0</v>
      </c>
      <c r="P436" s="7">
        <v>0.0</v>
      </c>
      <c r="Q436" s="7">
        <v>1000.0</v>
      </c>
      <c r="R436" s="2"/>
      <c r="S436" s="7">
        <v>2.0</v>
      </c>
      <c r="T436" s="7">
        <v>0.0</v>
      </c>
      <c r="U436" s="2" t="s">
        <v>657</v>
      </c>
    </row>
    <row r="437">
      <c r="A437" s="2" t="s">
        <v>32</v>
      </c>
      <c r="B437" s="2" t="s">
        <v>22</v>
      </c>
      <c r="C437" s="2" t="s">
        <v>23</v>
      </c>
      <c r="D437" s="2" t="s">
        <v>102</v>
      </c>
      <c r="E437" s="2" t="s">
        <v>39</v>
      </c>
      <c r="F437" s="7">
        <v>0.0</v>
      </c>
      <c r="G437" s="2" t="s">
        <v>356</v>
      </c>
      <c r="H437" s="7">
        <v>500.0</v>
      </c>
      <c r="I437" s="7">
        <v>0.0</v>
      </c>
      <c r="J437" s="7">
        <v>2000.0</v>
      </c>
      <c r="K437" s="7">
        <v>0.0</v>
      </c>
      <c r="L437" s="7">
        <v>30133.4025990963</v>
      </c>
      <c r="M437" s="2"/>
      <c r="N437" s="7">
        <v>0.0</v>
      </c>
      <c r="O437" s="7">
        <v>500.0</v>
      </c>
      <c r="P437" s="7">
        <v>0.0</v>
      </c>
      <c r="Q437" s="7">
        <v>1000.0</v>
      </c>
      <c r="R437" s="2"/>
      <c r="S437" s="7">
        <v>4.0</v>
      </c>
      <c r="T437" s="7">
        <v>0.0</v>
      </c>
      <c r="U437" s="2" t="s">
        <v>658</v>
      </c>
    </row>
    <row r="438">
      <c r="A438" s="2" t="s">
        <v>32</v>
      </c>
      <c r="B438" s="2" t="s">
        <v>22</v>
      </c>
      <c r="C438" s="2" t="s">
        <v>23</v>
      </c>
      <c r="D438" s="2" t="s">
        <v>102</v>
      </c>
      <c r="E438" s="2" t="s">
        <v>43</v>
      </c>
      <c r="F438" s="7">
        <v>0.0</v>
      </c>
      <c r="G438" s="2" t="s">
        <v>356</v>
      </c>
      <c r="H438" s="7">
        <v>500.0</v>
      </c>
      <c r="I438" s="7">
        <v>0.0</v>
      </c>
      <c r="J438" s="7">
        <v>3000.0</v>
      </c>
      <c r="K438" s="7">
        <v>0.0</v>
      </c>
      <c r="L438" s="7">
        <v>30161.9431638717</v>
      </c>
      <c r="M438" s="2"/>
      <c r="N438" s="7">
        <v>0.0</v>
      </c>
      <c r="O438" s="7">
        <v>500.0</v>
      </c>
      <c r="P438" s="7">
        <v>0.0</v>
      </c>
      <c r="Q438" s="7">
        <v>1000.0</v>
      </c>
      <c r="R438" s="2"/>
      <c r="S438" s="7">
        <v>6.0</v>
      </c>
      <c r="T438" s="7">
        <v>0.0</v>
      </c>
      <c r="U438" s="2" t="s">
        <v>659</v>
      </c>
    </row>
    <row r="439">
      <c r="A439" s="2" t="s">
        <v>32</v>
      </c>
      <c r="B439" s="2" t="s">
        <v>22</v>
      </c>
      <c r="C439" s="2" t="s">
        <v>23</v>
      </c>
      <c r="D439" s="2" t="s">
        <v>102</v>
      </c>
      <c r="E439" s="2" t="s">
        <v>34</v>
      </c>
      <c r="F439" s="7">
        <v>0.0</v>
      </c>
      <c r="G439" s="2" t="s">
        <v>356</v>
      </c>
      <c r="H439" s="7">
        <v>500.0</v>
      </c>
      <c r="I439" s="7">
        <v>0.0</v>
      </c>
      <c r="J439" s="7">
        <v>3000.0</v>
      </c>
      <c r="K439" s="7">
        <v>0.0</v>
      </c>
      <c r="L439" s="7">
        <v>30169.5493388175</v>
      </c>
      <c r="M439" s="2"/>
      <c r="N439" s="7">
        <v>0.0</v>
      </c>
      <c r="O439" s="7">
        <v>500.0</v>
      </c>
      <c r="P439" s="7">
        <v>0.0</v>
      </c>
      <c r="Q439" s="7">
        <v>1000.0</v>
      </c>
      <c r="R439" s="2"/>
      <c r="S439" s="7">
        <v>6.0</v>
      </c>
      <c r="T439" s="7">
        <v>0.0</v>
      </c>
      <c r="U439" s="2" t="s">
        <v>660</v>
      </c>
    </row>
    <row r="440">
      <c r="A440" s="2" t="s">
        <v>32</v>
      </c>
      <c r="B440" s="2" t="s">
        <v>22</v>
      </c>
      <c r="C440" s="2" t="s">
        <v>23</v>
      </c>
      <c r="D440" s="2" t="s">
        <v>102</v>
      </c>
      <c r="E440" s="2" t="s">
        <v>47</v>
      </c>
      <c r="F440" s="7">
        <v>0.0</v>
      </c>
      <c r="G440" s="2" t="s">
        <v>356</v>
      </c>
      <c r="H440" s="7">
        <v>500.0</v>
      </c>
      <c r="I440" s="7">
        <v>0.0</v>
      </c>
      <c r="J440" s="7">
        <v>4000.0</v>
      </c>
      <c r="K440" s="7">
        <v>0.0</v>
      </c>
      <c r="L440" s="7">
        <v>30311.795037508</v>
      </c>
      <c r="M440" s="2"/>
      <c r="N440" s="7">
        <v>0.0</v>
      </c>
      <c r="O440" s="7">
        <v>500.0</v>
      </c>
      <c r="P440" s="7">
        <v>0.0</v>
      </c>
      <c r="Q440" s="7">
        <v>1000.0</v>
      </c>
      <c r="R440" s="2"/>
      <c r="S440" s="7">
        <v>8.0</v>
      </c>
      <c r="T440" s="7">
        <v>0.0</v>
      </c>
      <c r="U440" s="2" t="s">
        <v>661</v>
      </c>
    </row>
    <row r="441">
      <c r="A441" s="2" t="s">
        <v>32</v>
      </c>
      <c r="B441" s="2" t="s">
        <v>22</v>
      </c>
      <c r="C441" s="2" t="s">
        <v>23</v>
      </c>
      <c r="D441" s="2" t="s">
        <v>102</v>
      </c>
      <c r="E441" s="2" t="s">
        <v>51</v>
      </c>
      <c r="F441" s="7">
        <v>0.0</v>
      </c>
      <c r="G441" s="2" t="s">
        <v>356</v>
      </c>
      <c r="H441" s="7">
        <v>500.0</v>
      </c>
      <c r="I441" s="7">
        <v>0.0</v>
      </c>
      <c r="J441" s="7">
        <v>4000.0</v>
      </c>
      <c r="K441" s="7">
        <v>0.0</v>
      </c>
      <c r="L441" s="7">
        <v>30284.3078854084</v>
      </c>
      <c r="M441" s="2"/>
      <c r="N441" s="7">
        <v>0.0</v>
      </c>
      <c r="O441" s="7">
        <v>500.0</v>
      </c>
      <c r="P441" s="7">
        <v>0.0</v>
      </c>
      <c r="Q441" s="7">
        <v>1000.0</v>
      </c>
      <c r="R441" s="2"/>
      <c r="S441" s="7">
        <v>8.0</v>
      </c>
      <c r="T441" s="7">
        <v>0.0</v>
      </c>
      <c r="U441" s="2" t="s">
        <v>662</v>
      </c>
    </row>
    <row r="442">
      <c r="A442" s="2" t="s">
        <v>32</v>
      </c>
      <c r="B442" s="2" t="s">
        <v>22</v>
      </c>
      <c r="C442" s="2" t="s">
        <v>23</v>
      </c>
      <c r="D442" s="2" t="s">
        <v>118</v>
      </c>
      <c r="E442" s="2" t="s">
        <v>25</v>
      </c>
      <c r="F442" s="7">
        <v>0.0</v>
      </c>
      <c r="G442" s="2" t="s">
        <v>356</v>
      </c>
      <c r="H442" s="7">
        <v>731.0</v>
      </c>
      <c r="I442" s="7">
        <v>0.0</v>
      </c>
      <c r="J442" s="7">
        <v>0.0</v>
      </c>
      <c r="K442" s="7">
        <v>0.314702308626974</v>
      </c>
      <c r="L442" s="7">
        <v>1874.59433102607</v>
      </c>
      <c r="M442" s="7">
        <v>59.0</v>
      </c>
      <c r="N442" s="7">
        <v>4.0</v>
      </c>
      <c r="O442" s="7">
        <v>823.0</v>
      </c>
      <c r="P442" s="7">
        <v>4.8602673147023</v>
      </c>
      <c r="Q442" s="7">
        <v>888.213851761846</v>
      </c>
      <c r="R442" s="7">
        <v>182.75</v>
      </c>
      <c r="S442" s="7">
        <v>0.0</v>
      </c>
      <c r="T442" s="7">
        <v>0.0</v>
      </c>
      <c r="U442" s="2" t="s">
        <v>663</v>
      </c>
    </row>
    <row r="443">
      <c r="A443" s="2" t="s">
        <v>32</v>
      </c>
      <c r="B443" s="2" t="s">
        <v>22</v>
      </c>
      <c r="C443" s="2" t="s">
        <v>23</v>
      </c>
      <c r="D443" s="2" t="s">
        <v>118</v>
      </c>
      <c r="E443" s="2" t="s">
        <v>39</v>
      </c>
      <c r="F443" s="7">
        <v>0.0</v>
      </c>
      <c r="G443" s="2" t="s">
        <v>356</v>
      </c>
      <c r="H443" s="7">
        <v>679.0</v>
      </c>
      <c r="I443" s="7">
        <v>0.0</v>
      </c>
      <c r="J443" s="7">
        <v>0.0</v>
      </c>
      <c r="K443" s="7">
        <v>0.288209606986899</v>
      </c>
      <c r="L443" s="7">
        <v>2413.79650878906</v>
      </c>
      <c r="M443" s="7">
        <v>70.0</v>
      </c>
      <c r="N443" s="7">
        <v>3.0</v>
      </c>
      <c r="O443" s="7">
        <v>916.0</v>
      </c>
      <c r="P443" s="7">
        <v>3.27510917030567</v>
      </c>
      <c r="Q443" s="7">
        <v>741.266375545851</v>
      </c>
      <c r="R443" s="7">
        <v>226.333333333333</v>
      </c>
      <c r="S443" s="7">
        <v>0.0</v>
      </c>
      <c r="T443" s="7">
        <v>0.0</v>
      </c>
      <c r="U443" s="2" t="s">
        <v>664</v>
      </c>
    </row>
    <row r="444">
      <c r="A444" s="2" t="s">
        <v>32</v>
      </c>
      <c r="B444" s="2" t="s">
        <v>22</v>
      </c>
      <c r="C444" s="2" t="s">
        <v>23</v>
      </c>
      <c r="D444" s="2" t="s">
        <v>118</v>
      </c>
      <c r="E444" s="2" t="s">
        <v>43</v>
      </c>
      <c r="F444" s="7">
        <v>0.0</v>
      </c>
      <c r="G444" s="2" t="s">
        <v>356</v>
      </c>
      <c r="H444" s="7">
        <v>634.0</v>
      </c>
      <c r="I444" s="7">
        <v>0.0</v>
      </c>
      <c r="J444" s="7">
        <v>36.0</v>
      </c>
      <c r="K444" s="7">
        <v>0.100956696878147</v>
      </c>
      <c r="L444" s="7">
        <v>2982.29960560798</v>
      </c>
      <c r="M444" s="7">
        <v>53.0</v>
      </c>
      <c r="N444" s="7">
        <v>10.0</v>
      </c>
      <c r="O444" s="7">
        <v>1324.0</v>
      </c>
      <c r="P444" s="7">
        <v>7.55287009063444</v>
      </c>
      <c r="Q444" s="7">
        <v>478.851963746223</v>
      </c>
      <c r="R444" s="7">
        <v>63.4</v>
      </c>
      <c r="S444" s="7">
        <v>0.056782334384858</v>
      </c>
      <c r="T444" s="7">
        <v>0.0</v>
      </c>
      <c r="U444" s="2" t="s">
        <v>665</v>
      </c>
    </row>
    <row r="445">
      <c r="A445" s="2" t="s">
        <v>32</v>
      </c>
      <c r="B445" s="2" t="s">
        <v>22</v>
      </c>
      <c r="C445" s="2" t="s">
        <v>23</v>
      </c>
      <c r="D445" s="2" t="s">
        <v>118</v>
      </c>
      <c r="E445" s="2" t="s">
        <v>34</v>
      </c>
      <c r="F445" s="7">
        <v>0.0</v>
      </c>
      <c r="G445" s="2" t="s">
        <v>356</v>
      </c>
      <c r="H445" s="7">
        <v>2312.0</v>
      </c>
      <c r="I445" s="7">
        <v>0.0</v>
      </c>
      <c r="J445" s="7">
        <v>328.0</v>
      </c>
      <c r="K445" s="7">
        <v>0.299173878835562</v>
      </c>
      <c r="L445" s="7">
        <v>13314.2568602561</v>
      </c>
      <c r="M445" s="7">
        <v>60.0</v>
      </c>
      <c r="N445" s="7">
        <v>14.0</v>
      </c>
      <c r="O445" s="7">
        <v>2542.0</v>
      </c>
      <c r="P445" s="7">
        <v>5.507474429583</v>
      </c>
      <c r="Q445" s="7">
        <v>909.520062942564</v>
      </c>
      <c r="R445" s="7">
        <v>165.142857142857</v>
      </c>
      <c r="S445" s="7">
        <v>0.141868512110726</v>
      </c>
      <c r="T445" s="7">
        <v>0.0</v>
      </c>
      <c r="U445" s="2" t="s">
        <v>666</v>
      </c>
    </row>
    <row r="446">
      <c r="A446" s="2" t="s">
        <v>32</v>
      </c>
      <c r="B446" s="2" t="s">
        <v>22</v>
      </c>
      <c r="C446" s="2" t="s">
        <v>23</v>
      </c>
      <c r="D446" s="2" t="s">
        <v>118</v>
      </c>
      <c r="E446" s="2" t="s">
        <v>47</v>
      </c>
      <c r="F446" s="7">
        <v>0.0</v>
      </c>
      <c r="G446" s="2" t="s">
        <v>356</v>
      </c>
      <c r="H446" s="7">
        <v>500.0</v>
      </c>
      <c r="I446" s="7">
        <v>0.0</v>
      </c>
      <c r="J446" s="7">
        <v>587.0</v>
      </c>
      <c r="K446" s="7">
        <v>0.481</v>
      </c>
      <c r="L446" s="7">
        <v>3982.73953914642</v>
      </c>
      <c r="M446" s="2"/>
      <c r="N446" s="7">
        <v>0.0</v>
      </c>
      <c r="O446" s="7">
        <v>500.0</v>
      </c>
      <c r="P446" s="7">
        <v>0.0</v>
      </c>
      <c r="Q446" s="7">
        <v>1000.0</v>
      </c>
      <c r="R446" s="2"/>
      <c r="S446" s="7">
        <v>1.174</v>
      </c>
      <c r="T446" s="7">
        <v>0.0</v>
      </c>
      <c r="U446" s="2" t="s">
        <v>667</v>
      </c>
    </row>
    <row r="447">
      <c r="A447" s="2" t="s">
        <v>32</v>
      </c>
      <c r="B447" s="2" t="s">
        <v>22</v>
      </c>
      <c r="C447" s="2" t="s">
        <v>23</v>
      </c>
      <c r="D447" s="2" t="s">
        <v>118</v>
      </c>
      <c r="E447" s="2" t="s">
        <v>51</v>
      </c>
      <c r="F447" s="7">
        <v>0.0</v>
      </c>
      <c r="G447" s="2" t="s">
        <v>356</v>
      </c>
      <c r="H447" s="7">
        <v>428.0</v>
      </c>
      <c r="I447" s="7">
        <v>0.0</v>
      </c>
      <c r="J447" s="7">
        <v>22.0</v>
      </c>
      <c r="K447" s="7">
        <v>0.0653765690376569</v>
      </c>
      <c r="L447" s="7">
        <v>2339.4928047657</v>
      </c>
      <c r="M447" s="7">
        <v>32.0</v>
      </c>
      <c r="N447" s="7">
        <v>5.0</v>
      </c>
      <c r="O447" s="7">
        <v>956.0</v>
      </c>
      <c r="P447" s="7">
        <v>5.23012552301255</v>
      </c>
      <c r="Q447" s="7">
        <v>447.698744769874</v>
      </c>
      <c r="R447" s="7">
        <v>85.6</v>
      </c>
      <c r="S447" s="7">
        <v>0.0514018691588785</v>
      </c>
      <c r="T447" s="7">
        <v>0.0</v>
      </c>
      <c r="U447" s="2" t="s">
        <v>669</v>
      </c>
    </row>
    <row r="448">
      <c r="A448" s="2" t="s">
        <v>32</v>
      </c>
      <c r="B448" s="2" t="s">
        <v>22</v>
      </c>
      <c r="C448" s="2" t="s">
        <v>23</v>
      </c>
      <c r="D448" s="2" t="s">
        <v>24</v>
      </c>
      <c r="E448" s="2" t="s">
        <v>25</v>
      </c>
      <c r="F448" s="7">
        <v>0.0</v>
      </c>
      <c r="G448" s="2" t="s">
        <v>670</v>
      </c>
      <c r="H448" s="7">
        <v>195.0</v>
      </c>
      <c r="I448" s="7">
        <v>0.0</v>
      </c>
      <c r="J448" s="7">
        <v>7.0</v>
      </c>
      <c r="K448" s="7">
        <v>0.03</v>
      </c>
      <c r="L448" s="7">
        <v>366.247517108917</v>
      </c>
      <c r="M448" s="2"/>
      <c r="N448" s="7">
        <v>0.0</v>
      </c>
      <c r="O448" s="7">
        <v>500.0</v>
      </c>
      <c r="P448" s="7">
        <v>0.0</v>
      </c>
      <c r="Q448" s="7">
        <v>390.0</v>
      </c>
      <c r="R448" s="2"/>
      <c r="S448" s="7">
        <v>0.0358974358974358</v>
      </c>
      <c r="T448" s="7">
        <v>0.0</v>
      </c>
      <c r="U448" s="2" t="s">
        <v>671</v>
      </c>
    </row>
    <row r="449">
      <c r="A449" s="2" t="s">
        <v>32</v>
      </c>
      <c r="B449" s="2" t="s">
        <v>22</v>
      </c>
      <c r="C449" s="2" t="s">
        <v>23</v>
      </c>
      <c r="D449" s="2" t="s">
        <v>24</v>
      </c>
      <c r="E449" s="2" t="s">
        <v>39</v>
      </c>
      <c r="F449" s="7">
        <v>0.0</v>
      </c>
      <c r="G449" s="2" t="s">
        <v>670</v>
      </c>
      <c r="H449" s="7">
        <v>370.0</v>
      </c>
      <c r="I449" s="7">
        <v>0.0</v>
      </c>
      <c r="J449" s="7">
        <v>82.0</v>
      </c>
      <c r="K449" s="7">
        <v>0.1735</v>
      </c>
      <c r="L449" s="7">
        <v>735.982610940933</v>
      </c>
      <c r="M449" s="2"/>
      <c r="N449" s="7">
        <v>0.0</v>
      </c>
      <c r="O449" s="7">
        <v>500.0</v>
      </c>
      <c r="P449" s="7">
        <v>0.0</v>
      </c>
      <c r="Q449" s="7">
        <v>740.0</v>
      </c>
      <c r="R449" s="2"/>
      <c r="S449" s="7">
        <v>0.221621621621621</v>
      </c>
      <c r="T449" s="7">
        <v>0.0</v>
      </c>
      <c r="U449" s="2" t="s">
        <v>672</v>
      </c>
    </row>
    <row r="450">
      <c r="A450" s="2" t="s">
        <v>32</v>
      </c>
      <c r="B450" s="2" t="s">
        <v>22</v>
      </c>
      <c r="C450" s="2" t="s">
        <v>23</v>
      </c>
      <c r="D450" s="2" t="s">
        <v>24</v>
      </c>
      <c r="E450" s="2" t="s">
        <v>43</v>
      </c>
      <c r="F450" s="7">
        <v>0.0</v>
      </c>
      <c r="G450" s="2" t="s">
        <v>670</v>
      </c>
      <c r="H450" s="7">
        <v>752.0</v>
      </c>
      <c r="I450" s="7">
        <v>0.0</v>
      </c>
      <c r="J450" s="7">
        <v>401.0</v>
      </c>
      <c r="K450" s="7">
        <v>0.0845303867403314</v>
      </c>
      <c r="L450" s="7">
        <v>1644.60511326789</v>
      </c>
      <c r="M450" s="7">
        <v>405.0</v>
      </c>
      <c r="N450" s="7">
        <v>1.0</v>
      </c>
      <c r="O450" s="7">
        <v>905.0</v>
      </c>
      <c r="P450" s="7">
        <v>1.1049723756906</v>
      </c>
      <c r="Q450" s="7">
        <v>830.939226519337</v>
      </c>
      <c r="R450" s="7">
        <v>752.0</v>
      </c>
      <c r="S450" s="7">
        <v>0.533244680851063</v>
      </c>
      <c r="T450" s="7">
        <v>0.0</v>
      </c>
      <c r="U450" s="2" t="s">
        <v>673</v>
      </c>
    </row>
    <row r="451">
      <c r="A451" s="2" t="s">
        <v>32</v>
      </c>
      <c r="B451" s="2" t="s">
        <v>22</v>
      </c>
      <c r="C451" s="2" t="s">
        <v>23</v>
      </c>
      <c r="D451" s="2" t="s">
        <v>24</v>
      </c>
      <c r="E451" s="2" t="s">
        <v>34</v>
      </c>
      <c r="F451" s="7">
        <v>0.0</v>
      </c>
      <c r="G451" s="2" t="s">
        <v>670</v>
      </c>
      <c r="H451" s="7">
        <v>418.0</v>
      </c>
      <c r="I451" s="7">
        <v>0.0</v>
      </c>
      <c r="J451" s="7">
        <v>124.0</v>
      </c>
      <c r="K451" s="7">
        <v>0.157333333333333</v>
      </c>
      <c r="L451" s="7">
        <v>908.728969573974</v>
      </c>
      <c r="M451" s="2"/>
      <c r="N451" s="7">
        <v>0.0</v>
      </c>
      <c r="O451" s="7">
        <v>500.0</v>
      </c>
      <c r="P451" s="7">
        <v>0.0</v>
      </c>
      <c r="Q451" s="7">
        <v>836.0</v>
      </c>
      <c r="R451" s="2"/>
      <c r="S451" s="7">
        <v>0.296650717703349</v>
      </c>
      <c r="T451" s="7">
        <v>0.0</v>
      </c>
      <c r="U451" s="2" t="s">
        <v>674</v>
      </c>
    </row>
    <row r="452">
      <c r="A452" s="2" t="s">
        <v>32</v>
      </c>
      <c r="B452" s="2" t="s">
        <v>22</v>
      </c>
      <c r="C452" s="2" t="s">
        <v>23</v>
      </c>
      <c r="D452" s="2" t="s">
        <v>24</v>
      </c>
      <c r="E452" s="2" t="s">
        <v>47</v>
      </c>
      <c r="F452" s="7">
        <v>0.0</v>
      </c>
      <c r="G452" s="2" t="s">
        <v>670</v>
      </c>
      <c r="H452" s="7">
        <v>628.0</v>
      </c>
      <c r="I452" s="7">
        <v>0.0</v>
      </c>
      <c r="J452" s="7">
        <v>302.0</v>
      </c>
      <c r="K452" s="7">
        <v>0.122201492537313</v>
      </c>
      <c r="L452" s="7">
        <v>1656.17514514923</v>
      </c>
      <c r="M452" s="7">
        <v>170.0</v>
      </c>
      <c r="N452" s="7">
        <v>1.0</v>
      </c>
      <c r="O452" s="7">
        <v>670.0</v>
      </c>
      <c r="P452" s="7">
        <v>1.49253731343283</v>
      </c>
      <c r="Q452" s="7">
        <v>937.31343283582</v>
      </c>
      <c r="R452" s="7">
        <v>628.0</v>
      </c>
      <c r="S452" s="7">
        <v>0.480891719745222</v>
      </c>
      <c r="T452" s="7">
        <v>0.0</v>
      </c>
      <c r="U452" s="2" t="s">
        <v>675</v>
      </c>
    </row>
    <row r="453">
      <c r="A453" s="2" t="s">
        <v>32</v>
      </c>
      <c r="B453" s="2" t="s">
        <v>22</v>
      </c>
      <c r="C453" s="2" t="s">
        <v>23</v>
      </c>
      <c r="D453" s="2" t="s">
        <v>24</v>
      </c>
      <c r="E453" s="2" t="s">
        <v>51</v>
      </c>
      <c r="F453" s="7">
        <v>0.0</v>
      </c>
      <c r="G453" s="2" t="s">
        <v>670</v>
      </c>
      <c r="H453" s="7">
        <v>819.0</v>
      </c>
      <c r="I453" s="7">
        <v>0.0</v>
      </c>
      <c r="J453" s="7">
        <v>649.0</v>
      </c>
      <c r="K453" s="7">
        <v>0.0915614236509758</v>
      </c>
      <c r="L453" s="7">
        <v>1986.89306640625</v>
      </c>
      <c r="M453" s="7">
        <v>312.0</v>
      </c>
      <c r="N453" s="7">
        <v>2.0</v>
      </c>
      <c r="O453" s="7">
        <v>871.0</v>
      </c>
      <c r="P453" s="7">
        <v>2.29621125143513</v>
      </c>
      <c r="Q453" s="7">
        <v>940.298507462686</v>
      </c>
      <c r="R453" s="7">
        <v>409.5</v>
      </c>
      <c r="S453" s="7">
        <v>0.792429792429792</v>
      </c>
      <c r="T453" s="7">
        <v>0.0</v>
      </c>
      <c r="U453" s="2" t="s">
        <v>676</v>
      </c>
    </row>
    <row r="454">
      <c r="A454" s="2" t="s">
        <v>32</v>
      </c>
      <c r="B454" s="2" t="s">
        <v>22</v>
      </c>
      <c r="C454" s="2" t="s">
        <v>23</v>
      </c>
      <c r="D454" s="2" t="s">
        <v>54</v>
      </c>
      <c r="E454" s="2" t="s">
        <v>25</v>
      </c>
      <c r="F454" s="7">
        <v>0.0</v>
      </c>
      <c r="G454" s="2" t="s">
        <v>677</v>
      </c>
      <c r="H454" s="7">
        <v>360.0</v>
      </c>
      <c r="I454" s="7">
        <v>0.0</v>
      </c>
      <c r="J454" s="7">
        <v>62.0</v>
      </c>
      <c r="K454" s="7">
        <v>0.112</v>
      </c>
      <c r="L454" s="7">
        <v>1621.31639909744</v>
      </c>
      <c r="M454" s="2"/>
      <c r="N454" s="7">
        <v>0.0</v>
      </c>
      <c r="O454" s="7">
        <v>500.0</v>
      </c>
      <c r="P454" s="7">
        <v>0.0</v>
      </c>
      <c r="Q454" s="7">
        <v>720.0</v>
      </c>
      <c r="R454" s="2"/>
      <c r="S454" s="7">
        <v>0.172222222222222</v>
      </c>
      <c r="T454" s="7">
        <v>0.0</v>
      </c>
      <c r="U454" s="2" t="s">
        <v>678</v>
      </c>
    </row>
    <row r="455">
      <c r="A455" s="2" t="s">
        <v>32</v>
      </c>
      <c r="B455" s="2" t="s">
        <v>22</v>
      </c>
      <c r="C455" s="2" t="s">
        <v>23</v>
      </c>
      <c r="D455" s="2" t="s">
        <v>54</v>
      </c>
      <c r="E455" s="2" t="s">
        <v>39</v>
      </c>
      <c r="F455" s="7">
        <v>0.0</v>
      </c>
      <c r="G455" s="2" t="s">
        <v>677</v>
      </c>
      <c r="H455" s="7">
        <v>617.0</v>
      </c>
      <c r="I455" s="7">
        <v>0.0</v>
      </c>
      <c r="J455" s="7">
        <v>597.0</v>
      </c>
      <c r="K455" s="7">
        <v>0.208834134615384</v>
      </c>
      <c r="L455" s="7">
        <v>3628.49224543571</v>
      </c>
      <c r="M455" s="7">
        <v>322.0</v>
      </c>
      <c r="N455" s="7">
        <v>2.0</v>
      </c>
      <c r="O455" s="7">
        <v>832.0</v>
      </c>
      <c r="P455" s="7">
        <v>2.40384615384615</v>
      </c>
      <c r="Q455" s="7">
        <v>741.586538461538</v>
      </c>
      <c r="R455" s="7">
        <v>308.5</v>
      </c>
      <c r="S455" s="7">
        <v>0.967585089141004</v>
      </c>
      <c r="T455" s="7">
        <v>0.0</v>
      </c>
      <c r="U455" s="2" t="s">
        <v>679</v>
      </c>
    </row>
    <row r="456">
      <c r="A456" s="2" t="s">
        <v>32</v>
      </c>
      <c r="B456" s="2" t="s">
        <v>22</v>
      </c>
      <c r="C456" s="2" t="s">
        <v>23</v>
      </c>
      <c r="D456" s="2" t="s">
        <v>54</v>
      </c>
      <c r="E456" s="2" t="s">
        <v>43</v>
      </c>
      <c r="F456" s="7">
        <v>0.0</v>
      </c>
      <c r="G456" s="2" t="s">
        <v>677</v>
      </c>
      <c r="H456" s="7">
        <v>1492.0</v>
      </c>
      <c r="I456" s="7">
        <v>0.0</v>
      </c>
      <c r="J456" s="7">
        <v>350.0</v>
      </c>
      <c r="K456" s="7">
        <v>0.141582491582491</v>
      </c>
      <c r="L456" s="7">
        <v>9455.93739414215</v>
      </c>
      <c r="M456" s="7">
        <v>130.0</v>
      </c>
      <c r="N456" s="7">
        <v>20.0</v>
      </c>
      <c r="O456" s="7">
        <v>1980.0</v>
      </c>
      <c r="P456" s="7">
        <v>10.1010101010101</v>
      </c>
      <c r="Q456" s="7">
        <v>753.535353535353</v>
      </c>
      <c r="R456" s="7">
        <v>74.6</v>
      </c>
      <c r="S456" s="7">
        <v>0.234584450402144</v>
      </c>
      <c r="T456" s="7">
        <v>0.0</v>
      </c>
      <c r="U456" s="2" t="s">
        <v>680</v>
      </c>
    </row>
    <row r="457">
      <c r="A457" s="2" t="s">
        <v>32</v>
      </c>
      <c r="B457" s="2" t="s">
        <v>22</v>
      </c>
      <c r="C457" s="2" t="s">
        <v>23</v>
      </c>
      <c r="D457" s="2" t="s">
        <v>54</v>
      </c>
      <c r="E457" s="2" t="s">
        <v>34</v>
      </c>
      <c r="F457" s="7">
        <v>0.0</v>
      </c>
      <c r="G457" s="2" t="s">
        <v>677</v>
      </c>
      <c r="H457" s="7">
        <v>1912.0</v>
      </c>
      <c r="I457" s="7">
        <v>0.0</v>
      </c>
      <c r="J457" s="7">
        <v>889.0</v>
      </c>
      <c r="K457" s="7">
        <v>0.201425631981187</v>
      </c>
      <c r="L457" s="7">
        <v>15936.153671503</v>
      </c>
      <c r="M457" s="7">
        <v>221.0</v>
      </c>
      <c r="N457" s="7">
        <v>8.0</v>
      </c>
      <c r="O457" s="7">
        <v>2268.0</v>
      </c>
      <c r="P457" s="7">
        <v>3.52733686067019</v>
      </c>
      <c r="Q457" s="7">
        <v>843.033509700176</v>
      </c>
      <c r="R457" s="7">
        <v>239.0</v>
      </c>
      <c r="S457" s="7">
        <v>0.464958158995815</v>
      </c>
      <c r="T457" s="7">
        <v>0.0</v>
      </c>
      <c r="U457" s="2" t="s">
        <v>681</v>
      </c>
    </row>
    <row r="458">
      <c r="A458" s="2" t="s">
        <v>32</v>
      </c>
      <c r="B458" s="2" t="s">
        <v>22</v>
      </c>
      <c r="C458" s="2" t="s">
        <v>23</v>
      </c>
      <c r="D458" s="2" t="s">
        <v>54</v>
      </c>
      <c r="E458" s="2" t="s">
        <v>47</v>
      </c>
      <c r="F458" s="7">
        <v>0.0</v>
      </c>
      <c r="G458" s="2" t="s">
        <v>677</v>
      </c>
      <c r="H458" s="7">
        <v>1816.0</v>
      </c>
      <c r="I458" s="7">
        <v>0.0</v>
      </c>
      <c r="J458" s="7">
        <v>828.0</v>
      </c>
      <c r="K458" s="7">
        <v>0.16623650868137</v>
      </c>
      <c r="L458" s="7">
        <v>15569.7724821567</v>
      </c>
      <c r="M458" s="7">
        <v>68.0</v>
      </c>
      <c r="N458" s="7">
        <v>20.0</v>
      </c>
      <c r="O458" s="7">
        <v>2131.0</v>
      </c>
      <c r="P458" s="7">
        <v>9.38526513374002</v>
      </c>
      <c r="Q458" s="7">
        <v>852.182074143594</v>
      </c>
      <c r="R458" s="7">
        <v>90.8</v>
      </c>
      <c r="S458" s="7">
        <v>0.455947136563876</v>
      </c>
      <c r="T458" s="7">
        <v>0.0</v>
      </c>
      <c r="U458" s="2" t="s">
        <v>682</v>
      </c>
    </row>
    <row r="459">
      <c r="A459" s="2" t="s">
        <v>32</v>
      </c>
      <c r="B459" s="2" t="s">
        <v>22</v>
      </c>
      <c r="C459" s="2" t="s">
        <v>23</v>
      </c>
      <c r="D459" s="2" t="s">
        <v>54</v>
      </c>
      <c r="E459" s="2" t="s">
        <v>51</v>
      </c>
      <c r="F459" s="7">
        <v>0.0</v>
      </c>
      <c r="G459" s="2" t="s">
        <v>677</v>
      </c>
      <c r="H459" s="7">
        <v>1477.0</v>
      </c>
      <c r="I459" s="7">
        <v>0.0</v>
      </c>
      <c r="J459" s="7">
        <v>446.0</v>
      </c>
      <c r="K459" s="7">
        <v>0.143848666303756</v>
      </c>
      <c r="L459" s="7">
        <v>11086.583063364</v>
      </c>
      <c r="M459" s="7">
        <v>38.0</v>
      </c>
      <c r="N459" s="7">
        <v>20.0</v>
      </c>
      <c r="O459" s="7">
        <v>1837.0</v>
      </c>
      <c r="P459" s="7">
        <v>10.8873162765378</v>
      </c>
      <c r="Q459" s="7">
        <v>804.028307022319</v>
      </c>
      <c r="R459" s="7">
        <v>73.85</v>
      </c>
      <c r="S459" s="7">
        <v>0.301963439404197</v>
      </c>
      <c r="T459" s="7">
        <v>0.0</v>
      </c>
      <c r="U459" s="2" t="s">
        <v>683</v>
      </c>
    </row>
    <row r="460">
      <c r="A460" s="2" t="s">
        <v>32</v>
      </c>
      <c r="B460" s="2" t="s">
        <v>22</v>
      </c>
      <c r="C460" s="2" t="s">
        <v>23</v>
      </c>
      <c r="D460" s="2" t="s">
        <v>72</v>
      </c>
      <c r="E460" s="2" t="s">
        <v>25</v>
      </c>
      <c r="F460" s="7">
        <v>0.0</v>
      </c>
      <c r="G460" s="2" t="s">
        <v>684</v>
      </c>
      <c r="H460" s="7">
        <v>842.0</v>
      </c>
      <c r="I460" s="7">
        <v>0.0</v>
      </c>
      <c r="J460" s="7">
        <v>274.0</v>
      </c>
      <c r="K460" s="7">
        <v>0.245041586692258</v>
      </c>
      <c r="L460" s="7">
        <v>2901.94255065917</v>
      </c>
      <c r="M460" s="7">
        <v>309.0</v>
      </c>
      <c r="N460" s="7">
        <v>5.0</v>
      </c>
      <c r="O460" s="7">
        <v>1563.0</v>
      </c>
      <c r="P460" s="7">
        <v>3.19897632757517</v>
      </c>
      <c r="Q460" s="7">
        <v>538.707613563659</v>
      </c>
      <c r="R460" s="7">
        <v>168.4</v>
      </c>
      <c r="S460" s="7">
        <v>0.325415676959619</v>
      </c>
      <c r="T460" s="7">
        <v>0.0</v>
      </c>
      <c r="U460" s="2" t="s">
        <v>685</v>
      </c>
    </row>
    <row r="461">
      <c r="A461" s="2" t="s">
        <v>32</v>
      </c>
      <c r="B461" s="2" t="s">
        <v>22</v>
      </c>
      <c r="C461" s="2" t="s">
        <v>23</v>
      </c>
      <c r="D461" s="2" t="s">
        <v>72</v>
      </c>
      <c r="E461" s="2" t="s">
        <v>39</v>
      </c>
      <c r="F461" s="7">
        <v>0.0</v>
      </c>
      <c r="G461" s="2" t="s">
        <v>684</v>
      </c>
      <c r="H461" s="7">
        <v>372.0</v>
      </c>
      <c r="I461" s="7">
        <v>0.0</v>
      </c>
      <c r="J461" s="7">
        <v>31.0</v>
      </c>
      <c r="K461" s="7">
        <v>0.11275565123789</v>
      </c>
      <c r="L461" s="7">
        <v>1348.97109007835</v>
      </c>
      <c r="M461" s="7">
        <v>429.0</v>
      </c>
      <c r="N461" s="7">
        <v>1.0</v>
      </c>
      <c r="O461" s="7">
        <v>929.0</v>
      </c>
      <c r="P461" s="7">
        <v>1.07642626480086</v>
      </c>
      <c r="Q461" s="7">
        <v>400.43057050592</v>
      </c>
      <c r="R461" s="7">
        <v>372.0</v>
      </c>
      <c r="S461" s="7">
        <v>0.0833333333333333</v>
      </c>
      <c r="T461" s="7">
        <v>0.0</v>
      </c>
      <c r="U461" s="2" t="s">
        <v>686</v>
      </c>
    </row>
    <row r="462">
      <c r="A462" s="2" t="s">
        <v>32</v>
      </c>
      <c r="B462" s="2" t="s">
        <v>22</v>
      </c>
      <c r="C462" s="2" t="s">
        <v>23</v>
      </c>
      <c r="D462" s="2" t="s">
        <v>72</v>
      </c>
      <c r="E462" s="2" t="s">
        <v>43</v>
      </c>
      <c r="F462" s="7">
        <v>0.0</v>
      </c>
      <c r="G462" s="2" t="s">
        <v>684</v>
      </c>
      <c r="H462" s="7">
        <v>1082.0</v>
      </c>
      <c r="I462" s="7">
        <v>0.0</v>
      </c>
      <c r="J462" s="7">
        <v>211.0</v>
      </c>
      <c r="K462" s="7">
        <v>0.135282546494992</v>
      </c>
      <c r="L462" s="7">
        <v>4566.66118812561</v>
      </c>
      <c r="M462" s="7">
        <v>69.0</v>
      </c>
      <c r="N462" s="7">
        <v>13.0</v>
      </c>
      <c r="O462" s="7">
        <v>1864.0</v>
      </c>
      <c r="P462" s="7">
        <v>6.97424892703862</v>
      </c>
      <c r="Q462" s="7">
        <v>580.472103004291</v>
      </c>
      <c r="R462" s="7">
        <v>83.2307692307692</v>
      </c>
      <c r="S462" s="7">
        <v>0.195009242144177</v>
      </c>
      <c r="T462" s="7">
        <v>0.0</v>
      </c>
      <c r="U462" s="2" t="s">
        <v>687</v>
      </c>
    </row>
    <row r="463">
      <c r="A463" s="2" t="s">
        <v>32</v>
      </c>
      <c r="B463" s="2" t="s">
        <v>22</v>
      </c>
      <c r="C463" s="2" t="s">
        <v>23</v>
      </c>
      <c r="D463" s="2" t="s">
        <v>72</v>
      </c>
      <c r="E463" s="2" t="s">
        <v>34</v>
      </c>
      <c r="F463" s="7">
        <v>0.0</v>
      </c>
      <c r="G463" s="2" t="s">
        <v>684</v>
      </c>
      <c r="H463" s="7">
        <v>522.0</v>
      </c>
      <c r="I463" s="7">
        <v>0.0</v>
      </c>
      <c r="J463" s="7">
        <v>260.0</v>
      </c>
      <c r="K463" s="7">
        <v>0.319868342309994</v>
      </c>
      <c r="L463" s="7">
        <v>2840.74536466598</v>
      </c>
      <c r="M463" s="7">
        <v>57.0</v>
      </c>
      <c r="N463" s="7">
        <v>1.0</v>
      </c>
      <c r="O463" s="7">
        <v>557.0</v>
      </c>
      <c r="P463" s="7">
        <v>1.79533213644524</v>
      </c>
      <c r="Q463" s="7">
        <v>937.163375224416</v>
      </c>
      <c r="R463" s="7">
        <v>522.0</v>
      </c>
      <c r="S463" s="7">
        <v>0.498084291187739</v>
      </c>
      <c r="T463" s="7">
        <v>0.0</v>
      </c>
      <c r="U463" s="2" t="s">
        <v>688</v>
      </c>
    </row>
    <row r="464">
      <c r="A464" s="2" t="s">
        <v>32</v>
      </c>
      <c r="B464" s="2" t="s">
        <v>22</v>
      </c>
      <c r="C464" s="2" t="s">
        <v>23</v>
      </c>
      <c r="D464" s="2" t="s">
        <v>72</v>
      </c>
      <c r="E464" s="2" t="s">
        <v>47</v>
      </c>
      <c r="F464" s="7">
        <v>0.0</v>
      </c>
      <c r="G464" s="2" t="s">
        <v>684</v>
      </c>
      <c r="H464" s="7">
        <v>1659.0</v>
      </c>
      <c r="I464" s="7">
        <v>0.0</v>
      </c>
      <c r="J464" s="7">
        <v>498.0</v>
      </c>
      <c r="K464" s="7">
        <v>0.17703171456888</v>
      </c>
      <c r="L464" s="7">
        <v>9582.02196741104</v>
      </c>
      <c r="M464" s="7">
        <v>101.0</v>
      </c>
      <c r="N464" s="7">
        <v>12.0</v>
      </c>
      <c r="O464" s="7">
        <v>2018.0</v>
      </c>
      <c r="P464" s="7">
        <v>5.94648166501486</v>
      </c>
      <c r="Q464" s="7">
        <v>822.101090188305</v>
      </c>
      <c r="R464" s="7">
        <v>138.25</v>
      </c>
      <c r="S464" s="7">
        <v>0.300180831826401</v>
      </c>
      <c r="T464" s="7">
        <v>0.0</v>
      </c>
      <c r="U464" s="2" t="s">
        <v>689</v>
      </c>
    </row>
    <row r="465">
      <c r="A465" s="2" t="s">
        <v>32</v>
      </c>
      <c r="B465" s="2" t="s">
        <v>22</v>
      </c>
      <c r="C465" s="2" t="s">
        <v>23</v>
      </c>
      <c r="D465" s="2" t="s">
        <v>72</v>
      </c>
      <c r="E465" s="2" t="s">
        <v>51</v>
      </c>
      <c r="F465" s="7">
        <v>0.0</v>
      </c>
      <c r="G465" s="2" t="s">
        <v>684</v>
      </c>
      <c r="H465" s="7">
        <v>976.0</v>
      </c>
      <c r="I465" s="7">
        <v>0.0</v>
      </c>
      <c r="J465" s="7">
        <v>132.0</v>
      </c>
      <c r="K465" s="7">
        <v>0.0996947300771208</v>
      </c>
      <c r="L465" s="7">
        <v>4847.99223136901</v>
      </c>
      <c r="M465" s="7">
        <v>33.0</v>
      </c>
      <c r="N465" s="7">
        <v>11.0</v>
      </c>
      <c r="O465" s="7">
        <v>1556.0</v>
      </c>
      <c r="P465" s="7">
        <v>7.06940874035989</v>
      </c>
      <c r="Q465" s="7">
        <v>627.249357326478</v>
      </c>
      <c r="R465" s="7">
        <v>88.7272727272727</v>
      </c>
      <c r="S465" s="7">
        <v>0.135245901639344</v>
      </c>
      <c r="T465" s="7">
        <v>0.0</v>
      </c>
      <c r="U465" s="2" t="s">
        <v>690</v>
      </c>
    </row>
    <row r="466">
      <c r="A466" s="2" t="s">
        <v>33</v>
      </c>
      <c r="B466" s="2" t="s">
        <v>22</v>
      </c>
      <c r="C466" s="2" t="s">
        <v>35</v>
      </c>
      <c r="D466" s="2" t="s">
        <v>24</v>
      </c>
      <c r="E466" s="2" t="s">
        <v>34</v>
      </c>
      <c r="F466" s="7">
        <v>0.0</v>
      </c>
      <c r="G466" s="2" t="s">
        <v>691</v>
      </c>
      <c r="H466" s="7">
        <v>483.0</v>
      </c>
      <c r="I466" s="7">
        <v>10.0</v>
      </c>
      <c r="J466" s="7">
        <v>10.0</v>
      </c>
      <c r="K466" s="7">
        <v>0.0</v>
      </c>
      <c r="L466" s="7">
        <v>2818.34566116333</v>
      </c>
      <c r="M466" s="2"/>
      <c r="N466" s="7">
        <v>0.0</v>
      </c>
      <c r="O466" s="7">
        <v>500.0</v>
      </c>
      <c r="P466" s="7">
        <v>0.0</v>
      </c>
      <c r="Q466" s="7">
        <v>966.0</v>
      </c>
      <c r="R466" s="2"/>
      <c r="S466" s="7">
        <v>0.020703933747412</v>
      </c>
      <c r="T466" s="7">
        <v>0.020703933747412</v>
      </c>
      <c r="U466" s="2" t="s">
        <v>692</v>
      </c>
    </row>
    <row r="467">
      <c r="A467" s="2" t="s">
        <v>33</v>
      </c>
      <c r="B467" s="2" t="s">
        <v>22</v>
      </c>
      <c r="C467" s="2" t="s">
        <v>35</v>
      </c>
      <c r="D467" s="2" t="s">
        <v>72</v>
      </c>
      <c r="E467" s="2" t="s">
        <v>34</v>
      </c>
      <c r="F467" s="7">
        <v>0.0</v>
      </c>
      <c r="G467" s="2" t="s">
        <v>691</v>
      </c>
      <c r="H467" s="7">
        <v>1697.0</v>
      </c>
      <c r="I467" s="7">
        <v>2.0</v>
      </c>
      <c r="J467" s="7">
        <v>33.0</v>
      </c>
      <c r="K467" s="7">
        <v>0.208683473389355</v>
      </c>
      <c r="L467" s="7">
        <v>7910.52621316909</v>
      </c>
      <c r="M467" s="7">
        <v>47.0</v>
      </c>
      <c r="N467" s="7">
        <v>12.0</v>
      </c>
      <c r="O467" s="7">
        <v>2023.0</v>
      </c>
      <c r="P467" s="7">
        <v>5.93178447849728</v>
      </c>
      <c r="Q467" s="7">
        <v>838.853188334157</v>
      </c>
      <c r="R467" s="7">
        <v>141.416666666666</v>
      </c>
      <c r="S467" s="7">
        <v>0.0194460813199764</v>
      </c>
      <c r="T467" s="7">
        <v>0.00117855038302887</v>
      </c>
      <c r="U467" s="2" t="s">
        <v>693</v>
      </c>
    </row>
    <row r="468">
      <c r="A468" s="2" t="s">
        <v>460</v>
      </c>
      <c r="B468" s="2" t="s">
        <v>22</v>
      </c>
      <c r="C468" s="2" t="s">
        <v>35</v>
      </c>
      <c r="D468" s="2" t="s">
        <v>64</v>
      </c>
      <c r="E468" s="2" t="s">
        <v>25</v>
      </c>
      <c r="F468" s="7">
        <v>0.0</v>
      </c>
      <c r="G468" s="2" t="s">
        <v>694</v>
      </c>
      <c r="H468" s="7">
        <v>767.0</v>
      </c>
      <c r="I468" s="7">
        <v>0.0</v>
      </c>
      <c r="J468" s="7">
        <v>0.0</v>
      </c>
      <c r="K468" s="7">
        <v>0.338011695906432</v>
      </c>
      <c r="L468" s="7">
        <v>3752.51924085617</v>
      </c>
      <c r="M468" s="7">
        <v>59.0</v>
      </c>
      <c r="N468" s="7">
        <v>5.0</v>
      </c>
      <c r="O468" s="7">
        <v>855.0</v>
      </c>
      <c r="P468" s="7">
        <v>5.84795321637426</v>
      </c>
      <c r="Q468" s="7">
        <v>897.076023391812</v>
      </c>
      <c r="R468" s="7">
        <v>153.4</v>
      </c>
      <c r="S468" s="7">
        <v>0.0</v>
      </c>
      <c r="T468" s="7">
        <v>0.0</v>
      </c>
      <c r="U468" s="2" t="s">
        <v>695</v>
      </c>
    </row>
    <row r="469">
      <c r="A469" s="2" t="s">
        <v>460</v>
      </c>
      <c r="B469" s="2" t="s">
        <v>22</v>
      </c>
      <c r="C469" s="2" t="s">
        <v>35</v>
      </c>
      <c r="D469" s="2" t="s">
        <v>64</v>
      </c>
      <c r="E469" s="2" t="s">
        <v>39</v>
      </c>
      <c r="F469" s="7">
        <v>0.0</v>
      </c>
      <c r="G469" s="2" t="s">
        <v>694</v>
      </c>
      <c r="H469" s="7">
        <v>152.0</v>
      </c>
      <c r="I469" s="7">
        <v>0.0</v>
      </c>
      <c r="J469" s="7">
        <v>0.0</v>
      </c>
      <c r="K469" s="7">
        <v>0.102</v>
      </c>
      <c r="L469" s="7">
        <v>974.990356206893</v>
      </c>
      <c r="M469" s="2"/>
      <c r="N469" s="7">
        <v>0.0</v>
      </c>
      <c r="O469" s="7">
        <v>500.0</v>
      </c>
      <c r="P469" s="7">
        <v>0.0</v>
      </c>
      <c r="Q469" s="7">
        <v>304.0</v>
      </c>
      <c r="R469" s="2"/>
      <c r="S469" s="7">
        <v>0.0</v>
      </c>
      <c r="T469" s="7">
        <v>0.0</v>
      </c>
      <c r="U469" s="2" t="s">
        <v>696</v>
      </c>
    </row>
    <row r="470">
      <c r="A470" s="2" t="s">
        <v>460</v>
      </c>
      <c r="B470" s="2" t="s">
        <v>22</v>
      </c>
      <c r="C470" s="2" t="s">
        <v>35</v>
      </c>
      <c r="D470" s="2" t="s">
        <v>64</v>
      </c>
      <c r="E470" s="2" t="s">
        <v>43</v>
      </c>
      <c r="F470" s="7">
        <v>0.0</v>
      </c>
      <c r="G470" s="2" t="s">
        <v>694</v>
      </c>
      <c r="H470" s="7">
        <v>832.0</v>
      </c>
      <c r="I470" s="7">
        <v>0.0</v>
      </c>
      <c r="J470" s="7">
        <v>0.0</v>
      </c>
      <c r="K470" s="7">
        <v>0.0996987951807228</v>
      </c>
      <c r="L470" s="7">
        <v>5718.07079267501</v>
      </c>
      <c r="M470" s="7">
        <v>60.0</v>
      </c>
      <c r="N470" s="7">
        <v>9.0</v>
      </c>
      <c r="O470" s="7">
        <v>1660.0</v>
      </c>
      <c r="P470" s="7">
        <v>5.42168674698795</v>
      </c>
      <c r="Q470" s="7">
        <v>501.204819277108</v>
      </c>
      <c r="R470" s="7">
        <v>92.4444444444444</v>
      </c>
      <c r="S470" s="7">
        <v>0.0</v>
      </c>
      <c r="T470" s="7">
        <v>0.0</v>
      </c>
      <c r="U470" s="2" t="s">
        <v>697</v>
      </c>
    </row>
    <row r="471">
      <c r="A471" s="2" t="s">
        <v>460</v>
      </c>
      <c r="B471" s="2" t="s">
        <v>22</v>
      </c>
      <c r="C471" s="2" t="s">
        <v>35</v>
      </c>
      <c r="D471" s="2" t="s">
        <v>64</v>
      </c>
      <c r="E471" s="2" t="s">
        <v>34</v>
      </c>
      <c r="F471" s="7">
        <v>0.0</v>
      </c>
      <c r="G471" s="2" t="s">
        <v>694</v>
      </c>
      <c r="H471" s="7">
        <v>638.0</v>
      </c>
      <c r="I471" s="7">
        <v>0.0</v>
      </c>
      <c r="J471" s="7">
        <v>0.0</v>
      </c>
      <c r="K471" s="7">
        <v>0.150542941757156</v>
      </c>
      <c r="L471" s="7">
        <v>4749.34038543701</v>
      </c>
      <c r="M471" s="7">
        <v>24.0</v>
      </c>
      <c r="N471" s="7">
        <v>3.0</v>
      </c>
      <c r="O471" s="7">
        <v>1013.0</v>
      </c>
      <c r="P471" s="7">
        <v>2.96150049358341</v>
      </c>
      <c r="Q471" s="7">
        <v>629.812438302073</v>
      </c>
      <c r="R471" s="7">
        <v>212.666666666666</v>
      </c>
      <c r="S471" s="7">
        <v>0.0</v>
      </c>
      <c r="T471" s="7">
        <v>0.0</v>
      </c>
      <c r="U471" s="2" t="s">
        <v>698</v>
      </c>
    </row>
    <row r="472">
      <c r="A472" s="2" t="s">
        <v>460</v>
      </c>
      <c r="B472" s="2" t="s">
        <v>22</v>
      </c>
      <c r="C472" s="2" t="s">
        <v>35</v>
      </c>
      <c r="D472" s="2" t="s">
        <v>64</v>
      </c>
      <c r="E472" s="2" t="s">
        <v>47</v>
      </c>
      <c r="F472" s="7">
        <v>0.0</v>
      </c>
      <c r="G472" s="2" t="s">
        <v>694</v>
      </c>
      <c r="H472" s="7">
        <v>734.0</v>
      </c>
      <c r="I472" s="7">
        <v>0.0</v>
      </c>
      <c r="J472" s="7">
        <v>1.0</v>
      </c>
      <c r="K472" s="7">
        <v>0.127334267040149</v>
      </c>
      <c r="L472" s="7">
        <v>7068.10955715179</v>
      </c>
      <c r="M472" s="7">
        <v>51.0</v>
      </c>
      <c r="N472" s="7">
        <v>7.0</v>
      </c>
      <c r="O472" s="7">
        <v>1071.0</v>
      </c>
      <c r="P472" s="7">
        <v>6.5359477124183</v>
      </c>
      <c r="Q472" s="7">
        <v>685.340802987861</v>
      </c>
      <c r="R472" s="7">
        <v>104.857142857142</v>
      </c>
      <c r="S472" s="7">
        <v>0.00136239782016348</v>
      </c>
      <c r="T472" s="7">
        <v>0.0</v>
      </c>
      <c r="U472" s="2" t="s">
        <v>699</v>
      </c>
    </row>
    <row r="473">
      <c r="A473" s="2" t="s">
        <v>460</v>
      </c>
      <c r="B473" s="2" t="s">
        <v>22</v>
      </c>
      <c r="C473" s="2" t="s">
        <v>35</v>
      </c>
      <c r="D473" s="2" t="s">
        <v>64</v>
      </c>
      <c r="E473" s="2" t="s">
        <v>51</v>
      </c>
      <c r="F473" s="7">
        <v>0.0</v>
      </c>
      <c r="G473" s="2" t="s">
        <v>694</v>
      </c>
      <c r="H473" s="7">
        <v>308.0</v>
      </c>
      <c r="I473" s="7">
        <v>0.0</v>
      </c>
      <c r="J473" s="7">
        <v>0.0</v>
      </c>
      <c r="K473" s="7">
        <v>0.0725511695906432</v>
      </c>
      <c r="L473" s="7">
        <v>2465.67692232131</v>
      </c>
      <c r="M473" s="7">
        <v>40.0</v>
      </c>
      <c r="N473" s="7">
        <v>4.0</v>
      </c>
      <c r="O473" s="7">
        <v>684.0</v>
      </c>
      <c r="P473" s="7">
        <v>5.84795321637426</v>
      </c>
      <c r="Q473" s="7">
        <v>450.292397660818</v>
      </c>
      <c r="R473" s="7">
        <v>77.0</v>
      </c>
      <c r="S473" s="7">
        <v>0.0</v>
      </c>
      <c r="T473" s="7">
        <v>0.0</v>
      </c>
      <c r="U473" s="2" t="s">
        <v>700</v>
      </c>
    </row>
    <row r="474">
      <c r="A474" s="2" t="s">
        <v>33</v>
      </c>
      <c r="B474" s="2" t="s">
        <v>22</v>
      </c>
      <c r="C474" s="2" t="s">
        <v>35</v>
      </c>
      <c r="D474" s="2" t="s">
        <v>102</v>
      </c>
      <c r="E474" s="2" t="s">
        <v>25</v>
      </c>
      <c r="F474" s="7">
        <v>0.0</v>
      </c>
      <c r="G474" s="2" t="s">
        <v>701</v>
      </c>
      <c r="H474" s="7">
        <v>170.0</v>
      </c>
      <c r="I474" s="7">
        <v>0.0</v>
      </c>
      <c r="J474" s="7">
        <v>0.0</v>
      </c>
      <c r="K474" s="7">
        <v>0.0951492537313432</v>
      </c>
      <c r="L474" s="7">
        <v>1219.19974207878</v>
      </c>
      <c r="M474" s="7">
        <v>36.0</v>
      </c>
      <c r="N474" s="7">
        <v>1.0</v>
      </c>
      <c r="O474" s="7">
        <v>536.0</v>
      </c>
      <c r="P474" s="7">
        <v>1.86567164179104</v>
      </c>
      <c r="Q474" s="7">
        <v>317.164179104477</v>
      </c>
      <c r="R474" s="7">
        <v>170.0</v>
      </c>
      <c r="S474" s="7">
        <v>0.0</v>
      </c>
      <c r="T474" s="7">
        <v>0.0</v>
      </c>
      <c r="U474" s="2" t="s">
        <v>702</v>
      </c>
    </row>
    <row r="475">
      <c r="A475" s="2" t="s">
        <v>33</v>
      </c>
      <c r="B475" s="2" t="s">
        <v>22</v>
      </c>
      <c r="C475" s="2" t="s">
        <v>35</v>
      </c>
      <c r="D475" s="2" t="s">
        <v>102</v>
      </c>
      <c r="E475" s="2" t="s">
        <v>39</v>
      </c>
      <c r="F475" s="7">
        <v>0.0</v>
      </c>
      <c r="G475" s="2" t="s">
        <v>701</v>
      </c>
      <c r="H475" s="7">
        <v>183.0</v>
      </c>
      <c r="I475" s="7">
        <v>0.0</v>
      </c>
      <c r="J475" s="7">
        <v>0.0</v>
      </c>
      <c r="K475" s="7">
        <v>0.08</v>
      </c>
      <c r="L475" s="7">
        <v>1378.99270582199</v>
      </c>
      <c r="M475" s="2"/>
      <c r="N475" s="7">
        <v>0.0</v>
      </c>
      <c r="O475" s="7">
        <v>500.0</v>
      </c>
      <c r="P475" s="7">
        <v>0.0</v>
      </c>
      <c r="Q475" s="7">
        <v>366.0</v>
      </c>
      <c r="R475" s="2"/>
      <c r="S475" s="7">
        <v>0.0</v>
      </c>
      <c r="T475" s="7">
        <v>0.0</v>
      </c>
      <c r="U475" s="2" t="s">
        <v>703</v>
      </c>
    </row>
    <row r="476">
      <c r="A476" s="2" t="s">
        <v>33</v>
      </c>
      <c r="B476" s="2" t="s">
        <v>22</v>
      </c>
      <c r="C476" s="2" t="s">
        <v>35</v>
      </c>
      <c r="D476" s="2" t="s">
        <v>102</v>
      </c>
      <c r="E476" s="2" t="s">
        <v>43</v>
      </c>
      <c r="F476" s="7">
        <v>0.0</v>
      </c>
      <c r="G476" s="2" t="s">
        <v>701</v>
      </c>
      <c r="H476" s="7">
        <v>1086.0</v>
      </c>
      <c r="I476" s="7">
        <v>0.0</v>
      </c>
      <c r="J476" s="7">
        <v>0.0</v>
      </c>
      <c r="K476" s="7">
        <v>0.0923671497584541</v>
      </c>
      <c r="L476" s="7">
        <v>9661.56710481643</v>
      </c>
      <c r="M476" s="7">
        <v>38.0</v>
      </c>
      <c r="N476" s="7">
        <v>16.0</v>
      </c>
      <c r="O476" s="7">
        <v>1725.0</v>
      </c>
      <c r="P476" s="7">
        <v>9.27536231884058</v>
      </c>
      <c r="Q476" s="7">
        <v>629.565217391304</v>
      </c>
      <c r="R476" s="7">
        <v>67.875</v>
      </c>
      <c r="S476" s="7">
        <v>0.0</v>
      </c>
      <c r="T476" s="7">
        <v>0.0</v>
      </c>
      <c r="U476" s="2" t="s">
        <v>704</v>
      </c>
    </row>
    <row r="477">
      <c r="A477" s="2" t="s">
        <v>33</v>
      </c>
      <c r="B477" s="2" t="s">
        <v>22</v>
      </c>
      <c r="C477" s="2" t="s">
        <v>35</v>
      </c>
      <c r="D477" s="2" t="s">
        <v>102</v>
      </c>
      <c r="E477" s="2" t="s">
        <v>34</v>
      </c>
      <c r="F477" s="7">
        <v>0.0</v>
      </c>
      <c r="G477" s="2" t="s">
        <v>701</v>
      </c>
      <c r="H477" s="7">
        <v>985.0</v>
      </c>
      <c r="I477" s="7">
        <v>0.0</v>
      </c>
      <c r="J477" s="7">
        <v>0.0</v>
      </c>
      <c r="K477" s="7">
        <v>0.16083508280849</v>
      </c>
      <c r="L477" s="7">
        <v>8314.07924747467</v>
      </c>
      <c r="M477" s="7">
        <v>23.0</v>
      </c>
      <c r="N477" s="7">
        <v>8.0</v>
      </c>
      <c r="O477" s="7">
        <v>1429.0</v>
      </c>
      <c r="P477" s="7">
        <v>5.59832050384884</v>
      </c>
      <c r="Q477" s="7">
        <v>689.293212036389</v>
      </c>
      <c r="R477" s="7">
        <v>123.125</v>
      </c>
      <c r="S477" s="7">
        <v>0.0</v>
      </c>
      <c r="T477" s="7">
        <v>0.0</v>
      </c>
      <c r="U477" s="2" t="s">
        <v>705</v>
      </c>
    </row>
    <row r="478">
      <c r="A478" s="2" t="s">
        <v>33</v>
      </c>
      <c r="B478" s="2" t="s">
        <v>22</v>
      </c>
      <c r="C478" s="2" t="s">
        <v>35</v>
      </c>
      <c r="D478" s="2" t="s">
        <v>102</v>
      </c>
      <c r="E478" s="2" t="s">
        <v>47</v>
      </c>
      <c r="F478" s="7">
        <v>0.0</v>
      </c>
      <c r="G478" s="2" t="s">
        <v>701</v>
      </c>
      <c r="H478" s="7">
        <v>554.0</v>
      </c>
      <c r="I478" s="7">
        <v>0.0</v>
      </c>
      <c r="J478" s="7">
        <v>0.0</v>
      </c>
      <c r="K478" s="7">
        <v>0.0483091787439613</v>
      </c>
      <c r="L478" s="7">
        <v>6552.13746619224</v>
      </c>
      <c r="M478" s="7">
        <v>51.0</v>
      </c>
      <c r="N478" s="7">
        <v>4.0</v>
      </c>
      <c r="O478" s="7">
        <v>621.0</v>
      </c>
      <c r="P478" s="7">
        <v>6.44122383252818</v>
      </c>
      <c r="Q478" s="7">
        <v>892.109500805153</v>
      </c>
      <c r="R478" s="7">
        <v>138.5</v>
      </c>
      <c r="S478" s="7">
        <v>0.0</v>
      </c>
      <c r="T478" s="7">
        <v>0.0</v>
      </c>
      <c r="U478" s="2" t="s">
        <v>706</v>
      </c>
    </row>
    <row r="479">
      <c r="A479" s="2" t="s">
        <v>33</v>
      </c>
      <c r="B479" s="2" t="s">
        <v>22</v>
      </c>
      <c r="C479" s="2" t="s">
        <v>35</v>
      </c>
      <c r="D479" s="2" t="s">
        <v>102</v>
      </c>
      <c r="E479" s="2" t="s">
        <v>51</v>
      </c>
      <c r="F479" s="7">
        <v>0.0</v>
      </c>
      <c r="G479" s="2" t="s">
        <v>701</v>
      </c>
      <c r="H479" s="7">
        <v>287.0</v>
      </c>
      <c r="I479" s="7">
        <v>0.0</v>
      </c>
      <c r="J479" s="7">
        <v>0.0</v>
      </c>
      <c r="K479" s="7">
        <v>0.0683962264150943</v>
      </c>
      <c r="L479" s="7">
        <v>2723.41183781623</v>
      </c>
      <c r="M479" s="7">
        <v>40.0</v>
      </c>
      <c r="N479" s="7">
        <v>4.0</v>
      </c>
      <c r="O479" s="7">
        <v>636.0</v>
      </c>
      <c r="P479" s="7">
        <v>6.28930817610062</v>
      </c>
      <c r="Q479" s="7">
        <v>451.25786163522</v>
      </c>
      <c r="R479" s="7">
        <v>71.75</v>
      </c>
      <c r="S479" s="7">
        <v>0.0</v>
      </c>
      <c r="T479" s="7">
        <v>0.0</v>
      </c>
      <c r="U479" s="2" t="s">
        <v>707</v>
      </c>
    </row>
    <row r="480">
      <c r="A480" s="2" t="s">
        <v>33</v>
      </c>
      <c r="B480" s="2" t="s">
        <v>22</v>
      </c>
      <c r="C480" s="2" t="s">
        <v>35</v>
      </c>
      <c r="D480" s="2" t="s">
        <v>118</v>
      </c>
      <c r="E480" s="2" t="s">
        <v>25</v>
      </c>
      <c r="F480" s="7">
        <v>0.0</v>
      </c>
      <c r="G480" s="2" t="s">
        <v>708</v>
      </c>
      <c r="H480" s="7">
        <v>504.0</v>
      </c>
      <c r="I480" s="7">
        <v>0.0</v>
      </c>
      <c r="J480" s="7">
        <v>25.0</v>
      </c>
      <c r="K480" s="7">
        <v>0.398926654740608</v>
      </c>
      <c r="L480" s="7">
        <v>2637.38968563079</v>
      </c>
      <c r="M480" s="7">
        <v>59.0</v>
      </c>
      <c r="N480" s="7">
        <v>1.0</v>
      </c>
      <c r="O480" s="7">
        <v>559.0</v>
      </c>
      <c r="P480" s="7">
        <v>1.78890876565295</v>
      </c>
      <c r="Q480" s="7">
        <v>901.610017889087</v>
      </c>
      <c r="R480" s="7">
        <v>504.0</v>
      </c>
      <c r="S480" s="7">
        <v>0.0496031746031746</v>
      </c>
      <c r="T480" s="7">
        <v>0.0</v>
      </c>
      <c r="U480" s="2" t="s">
        <v>709</v>
      </c>
      <c r="V480" s="2"/>
    </row>
    <row r="481">
      <c r="A481" s="2" t="s">
        <v>33</v>
      </c>
      <c r="B481" s="2" t="s">
        <v>22</v>
      </c>
      <c r="C481" s="2" t="s">
        <v>35</v>
      </c>
      <c r="D481" s="2" t="s">
        <v>118</v>
      </c>
      <c r="E481" s="2" t="s">
        <v>39</v>
      </c>
      <c r="F481" s="7">
        <v>0.0</v>
      </c>
      <c r="G481" s="2" t="s">
        <v>708</v>
      </c>
      <c r="H481" s="7">
        <v>164.0</v>
      </c>
      <c r="I481" s="7">
        <v>0.0</v>
      </c>
      <c r="J481" s="7">
        <v>0.0</v>
      </c>
      <c r="K481" s="7">
        <v>0.1145</v>
      </c>
      <c r="L481" s="7">
        <v>1392.83812355995</v>
      </c>
      <c r="M481" s="2"/>
      <c r="N481" s="7">
        <v>0.0</v>
      </c>
      <c r="O481" s="7">
        <v>500.0</v>
      </c>
      <c r="P481" s="7">
        <v>0.0</v>
      </c>
      <c r="Q481" s="7">
        <v>328.0</v>
      </c>
      <c r="R481" s="2"/>
      <c r="S481" s="7">
        <v>0.0</v>
      </c>
      <c r="T481" s="7">
        <v>0.0</v>
      </c>
      <c r="U481" s="2" t="s">
        <v>710</v>
      </c>
      <c r="V481" s="2"/>
    </row>
    <row r="482">
      <c r="A482" s="2" t="s">
        <v>33</v>
      </c>
      <c r="B482" s="2" t="s">
        <v>22</v>
      </c>
      <c r="C482" s="2" t="s">
        <v>35</v>
      </c>
      <c r="D482" s="2" t="s">
        <v>118</v>
      </c>
      <c r="E482" s="2" t="s">
        <v>43</v>
      </c>
      <c r="F482" s="7">
        <v>0.0</v>
      </c>
      <c r="G482" s="2" t="s">
        <v>708</v>
      </c>
      <c r="H482" s="7">
        <v>1030.0</v>
      </c>
      <c r="I482" s="7">
        <v>0.0</v>
      </c>
      <c r="J482" s="7">
        <v>1.0</v>
      </c>
      <c r="K482" s="7">
        <v>0.104416466826538</v>
      </c>
      <c r="L482" s="7">
        <v>11241.6395356655</v>
      </c>
      <c r="M482" s="7">
        <v>41.0</v>
      </c>
      <c r="N482" s="7">
        <v>14.0</v>
      </c>
      <c r="O482" s="7">
        <v>1668.0</v>
      </c>
      <c r="P482" s="7">
        <v>8.39328537170263</v>
      </c>
      <c r="Q482" s="7">
        <v>617.505995203837</v>
      </c>
      <c r="R482" s="7">
        <v>73.5714285714285</v>
      </c>
      <c r="S482" s="7">
        <v>9.70873786407767E-4</v>
      </c>
      <c r="T482" s="7">
        <v>0.0</v>
      </c>
      <c r="U482" s="2" t="s">
        <v>711</v>
      </c>
      <c r="V482" s="2"/>
    </row>
    <row r="483">
      <c r="A483" s="2" t="s">
        <v>33</v>
      </c>
      <c r="B483" s="2" t="s">
        <v>22</v>
      </c>
      <c r="C483" s="2" t="s">
        <v>35</v>
      </c>
      <c r="D483" s="2" t="s">
        <v>118</v>
      </c>
      <c r="E483" s="2" t="s">
        <v>34</v>
      </c>
      <c r="F483" s="7">
        <v>0.0</v>
      </c>
      <c r="G483" s="2" t="s">
        <v>708</v>
      </c>
      <c r="H483" s="7">
        <v>486.0</v>
      </c>
      <c r="I483" s="7">
        <v>0.0</v>
      </c>
      <c r="J483" s="7">
        <v>1.0</v>
      </c>
      <c r="K483" s="7">
        <v>0.418951858622791</v>
      </c>
      <c r="L483" s="7">
        <v>7284.02166104316</v>
      </c>
      <c r="M483" s="7">
        <v>37.0</v>
      </c>
      <c r="N483" s="7">
        <v>2.0</v>
      </c>
      <c r="O483" s="7">
        <v>547.0</v>
      </c>
      <c r="P483" s="7">
        <v>3.6563071297989</v>
      </c>
      <c r="Q483" s="7">
        <v>888.482632541133</v>
      </c>
      <c r="R483" s="7">
        <v>243.0</v>
      </c>
      <c r="S483" s="7">
        <v>0.00205761316872428</v>
      </c>
      <c r="T483" s="7">
        <v>0.0</v>
      </c>
      <c r="U483" s="2" t="s">
        <v>712</v>
      </c>
      <c r="V483" s="2"/>
    </row>
    <row r="484">
      <c r="A484" s="2" t="s">
        <v>33</v>
      </c>
      <c r="B484" s="2" t="s">
        <v>22</v>
      </c>
      <c r="C484" s="2" t="s">
        <v>35</v>
      </c>
      <c r="D484" s="2" t="s">
        <v>118</v>
      </c>
      <c r="E484" s="2" t="s">
        <v>47</v>
      </c>
      <c r="F484" s="7">
        <v>0.0</v>
      </c>
      <c r="G484" s="2" t="s">
        <v>708</v>
      </c>
      <c r="H484" s="7">
        <v>1412.0</v>
      </c>
      <c r="I484" s="7">
        <v>0.0</v>
      </c>
      <c r="J484" s="7">
        <v>0.0</v>
      </c>
      <c r="K484" s="7">
        <v>0.132153846153846</v>
      </c>
      <c r="L484" s="7">
        <v>21390.1491703987</v>
      </c>
      <c r="M484" s="7">
        <v>62.0</v>
      </c>
      <c r="N484" s="7">
        <v>20.0</v>
      </c>
      <c r="O484" s="7">
        <v>1625.0</v>
      </c>
      <c r="P484" s="7">
        <v>12.3076923076923</v>
      </c>
      <c r="Q484" s="7">
        <v>868.923076923076</v>
      </c>
      <c r="R484" s="7">
        <v>70.6</v>
      </c>
      <c r="S484" s="7">
        <v>0.0</v>
      </c>
      <c r="T484" s="7">
        <v>0.0</v>
      </c>
      <c r="U484" s="2" t="s">
        <v>713</v>
      </c>
      <c r="V484" s="2"/>
    </row>
    <row r="485">
      <c r="A485" s="2" t="s">
        <v>33</v>
      </c>
      <c r="B485" s="2" t="s">
        <v>22</v>
      </c>
      <c r="C485" s="2" t="s">
        <v>35</v>
      </c>
      <c r="D485" s="2" t="s">
        <v>118</v>
      </c>
      <c r="E485" s="2" t="s">
        <v>51</v>
      </c>
      <c r="F485" s="7">
        <v>0.0</v>
      </c>
      <c r="G485" s="2" t="s">
        <v>708</v>
      </c>
      <c r="H485" s="7">
        <v>371.0</v>
      </c>
      <c r="I485" s="7">
        <v>0.0</v>
      </c>
      <c r="J485" s="7">
        <v>0.0</v>
      </c>
      <c r="K485" s="7">
        <v>0.084597875569044</v>
      </c>
      <c r="L485" s="7">
        <v>5054.75208187103</v>
      </c>
      <c r="M485" s="7">
        <v>73.0</v>
      </c>
      <c r="N485" s="7">
        <v>6.0</v>
      </c>
      <c r="O485" s="7">
        <v>659.0</v>
      </c>
      <c r="P485" s="7">
        <v>9.10470409711684</v>
      </c>
      <c r="Q485" s="7">
        <v>562.974203338391</v>
      </c>
      <c r="R485" s="7">
        <v>61.8333333333333</v>
      </c>
      <c r="S485" s="7">
        <v>0.0</v>
      </c>
      <c r="T485" s="7">
        <v>0.0</v>
      </c>
      <c r="U485" s="2" t="s">
        <v>714</v>
      </c>
      <c r="V485" s="2"/>
    </row>
    <row r="486">
      <c r="A486" s="2" t="s">
        <v>33</v>
      </c>
      <c r="B486" s="2" t="s">
        <v>22</v>
      </c>
      <c r="C486" s="2" t="s">
        <v>23</v>
      </c>
      <c r="D486" s="2" t="s">
        <v>102</v>
      </c>
      <c r="E486" s="2" t="s">
        <v>25</v>
      </c>
      <c r="F486" s="7">
        <v>0.0</v>
      </c>
      <c r="G486" s="2" t="s">
        <v>715</v>
      </c>
      <c r="H486" s="7">
        <v>169.0</v>
      </c>
      <c r="I486" s="7">
        <v>0.0</v>
      </c>
      <c r="J486" s="7">
        <v>0.0</v>
      </c>
      <c r="K486" s="7">
        <v>0.0951492537313432</v>
      </c>
      <c r="L486" s="7">
        <v>2459.51105546951</v>
      </c>
      <c r="M486" s="7">
        <v>36.0</v>
      </c>
      <c r="N486" s="7">
        <v>1.0</v>
      </c>
      <c r="O486" s="7">
        <v>536.0</v>
      </c>
      <c r="P486" s="7">
        <v>1.86567164179104</v>
      </c>
      <c r="Q486" s="7">
        <v>315.298507462686</v>
      </c>
      <c r="R486" s="7">
        <v>169.0</v>
      </c>
      <c r="S486" s="7">
        <v>0.0</v>
      </c>
      <c r="T486" s="7">
        <v>0.0</v>
      </c>
      <c r="U486" s="2" t="s">
        <v>716</v>
      </c>
    </row>
    <row r="487">
      <c r="A487" s="2" t="s">
        <v>33</v>
      </c>
      <c r="B487" s="2" t="s">
        <v>22</v>
      </c>
      <c r="C487" s="2" t="s">
        <v>23</v>
      </c>
      <c r="D487" s="2" t="s">
        <v>102</v>
      </c>
      <c r="E487" s="2" t="s">
        <v>39</v>
      </c>
      <c r="F487" s="7">
        <v>0.0</v>
      </c>
      <c r="G487" s="2" t="s">
        <v>715</v>
      </c>
      <c r="H487" s="7">
        <v>144.0</v>
      </c>
      <c r="I487" s="7">
        <v>0.0</v>
      </c>
      <c r="J487" s="7">
        <v>1.0</v>
      </c>
      <c r="K487" s="7">
        <v>0.0975</v>
      </c>
      <c r="L487" s="7">
        <v>2190.48638153076</v>
      </c>
      <c r="M487" s="2"/>
      <c r="N487" s="7">
        <v>0.0</v>
      </c>
      <c r="O487" s="7">
        <v>500.0</v>
      </c>
      <c r="P487" s="7">
        <v>0.0</v>
      </c>
      <c r="Q487" s="7">
        <v>288.0</v>
      </c>
      <c r="R487" s="2"/>
      <c r="S487" s="7">
        <v>0.00694444444444444</v>
      </c>
      <c r="T487" s="7">
        <v>0.0</v>
      </c>
      <c r="U487" s="2" t="s">
        <v>717</v>
      </c>
    </row>
    <row r="488">
      <c r="A488" s="2" t="s">
        <v>33</v>
      </c>
      <c r="B488" s="2" t="s">
        <v>22</v>
      </c>
      <c r="C488" s="2" t="s">
        <v>23</v>
      </c>
      <c r="D488" s="2" t="s">
        <v>102</v>
      </c>
      <c r="E488" s="2" t="s">
        <v>43</v>
      </c>
      <c r="F488" s="7">
        <v>0.0</v>
      </c>
      <c r="G488" s="2" t="s">
        <v>715</v>
      </c>
      <c r="H488" s="7">
        <v>1054.0</v>
      </c>
      <c r="I488" s="7">
        <v>0.0</v>
      </c>
      <c r="J488" s="7">
        <v>36.0</v>
      </c>
      <c r="K488" s="7">
        <v>0.106877154781346</v>
      </c>
      <c r="L488" s="7">
        <v>17192.5071473121</v>
      </c>
      <c r="M488" s="7">
        <v>26.0</v>
      </c>
      <c r="N488" s="7">
        <v>15.0</v>
      </c>
      <c r="O488" s="7">
        <v>1837.0</v>
      </c>
      <c r="P488" s="7">
        <v>8.16548720740337</v>
      </c>
      <c r="Q488" s="7">
        <v>573.761567773543</v>
      </c>
      <c r="R488" s="7">
        <v>70.2666666666666</v>
      </c>
      <c r="S488" s="7">
        <v>0.0341555977229601</v>
      </c>
      <c r="T488" s="7">
        <v>0.0</v>
      </c>
      <c r="U488" s="2" t="s">
        <v>718</v>
      </c>
    </row>
    <row r="489">
      <c r="A489" s="2" t="s">
        <v>33</v>
      </c>
      <c r="B489" s="2" t="s">
        <v>22</v>
      </c>
      <c r="C489" s="2" t="s">
        <v>23</v>
      </c>
      <c r="D489" s="2" t="s">
        <v>102</v>
      </c>
      <c r="E489" s="2" t="s">
        <v>34</v>
      </c>
      <c r="F489" s="7">
        <v>0.0</v>
      </c>
      <c r="G489" s="2" t="s">
        <v>715</v>
      </c>
      <c r="H489" s="7">
        <v>772.0</v>
      </c>
      <c r="I489" s="7">
        <v>0.0</v>
      </c>
      <c r="J489" s="7">
        <v>18.0</v>
      </c>
      <c r="K489" s="7">
        <v>0.144698763483293</v>
      </c>
      <c r="L489" s="7">
        <v>12977.9823579788</v>
      </c>
      <c r="M489" s="7">
        <v>22.0</v>
      </c>
      <c r="N489" s="7">
        <v>5.0</v>
      </c>
      <c r="O489" s="7">
        <v>1267.0</v>
      </c>
      <c r="P489" s="7">
        <v>3.94632991318074</v>
      </c>
      <c r="Q489" s="7">
        <v>609.313338595106</v>
      </c>
      <c r="R489" s="7">
        <v>154.4</v>
      </c>
      <c r="S489" s="7">
        <v>0.0233160621761658</v>
      </c>
      <c r="T489" s="7">
        <v>0.0</v>
      </c>
      <c r="U489" s="2" t="s">
        <v>719</v>
      </c>
    </row>
    <row r="490">
      <c r="A490" s="2" t="s">
        <v>33</v>
      </c>
      <c r="B490" s="2" t="s">
        <v>22</v>
      </c>
      <c r="C490" s="2" t="s">
        <v>23</v>
      </c>
      <c r="D490" s="2" t="s">
        <v>102</v>
      </c>
      <c r="E490" s="2" t="s">
        <v>47</v>
      </c>
      <c r="F490" s="7">
        <v>0.0</v>
      </c>
      <c r="G490" s="2" t="s">
        <v>715</v>
      </c>
      <c r="H490" s="7">
        <v>410.0</v>
      </c>
      <c r="I490" s="7">
        <v>0.0</v>
      </c>
      <c r="J490" s="7">
        <v>30.0</v>
      </c>
      <c r="K490" s="7">
        <v>0.128961965134706</v>
      </c>
      <c r="L490" s="7">
        <v>7506.37451410293</v>
      </c>
      <c r="M490" s="7">
        <v>47.0</v>
      </c>
      <c r="N490" s="7">
        <v>4.0</v>
      </c>
      <c r="O490" s="7">
        <v>631.0</v>
      </c>
      <c r="P490" s="7">
        <v>6.3391442155309</v>
      </c>
      <c r="Q490" s="7">
        <v>649.762282091917</v>
      </c>
      <c r="R490" s="7">
        <v>102.5</v>
      </c>
      <c r="S490" s="7">
        <v>0.073170731707317</v>
      </c>
      <c r="T490" s="7">
        <v>0.0</v>
      </c>
      <c r="U490" s="2" t="s">
        <v>720</v>
      </c>
    </row>
    <row r="491">
      <c r="A491" s="2" t="s">
        <v>33</v>
      </c>
      <c r="B491" s="2" t="s">
        <v>22</v>
      </c>
      <c r="C491" s="2" t="s">
        <v>23</v>
      </c>
      <c r="D491" s="2" t="s">
        <v>102</v>
      </c>
      <c r="E491" s="2" t="s">
        <v>51</v>
      </c>
      <c r="F491" s="7">
        <v>0.0</v>
      </c>
      <c r="G491" s="2" t="s">
        <v>715</v>
      </c>
      <c r="H491" s="7">
        <v>465.0</v>
      </c>
      <c r="I491" s="7">
        <v>0.0</v>
      </c>
      <c r="J491" s="7">
        <v>18.0</v>
      </c>
      <c r="K491" s="7">
        <v>0.0501835985312117</v>
      </c>
      <c r="L491" s="7">
        <v>8184.34994792938</v>
      </c>
      <c r="M491" s="7">
        <v>36.0</v>
      </c>
      <c r="N491" s="7">
        <v>6.0</v>
      </c>
      <c r="O491" s="7">
        <v>817.0</v>
      </c>
      <c r="P491" s="7">
        <v>7.34394124847001</v>
      </c>
      <c r="Q491" s="7">
        <v>569.155446756425</v>
      </c>
      <c r="R491" s="7">
        <v>77.5</v>
      </c>
      <c r="S491" s="7">
        <v>0.0387096774193548</v>
      </c>
      <c r="T491" s="7">
        <v>0.0</v>
      </c>
      <c r="U491" s="2" t="s">
        <v>721</v>
      </c>
    </row>
    <row r="492">
      <c r="A492" s="2" t="s">
        <v>33</v>
      </c>
      <c r="B492" s="2" t="s">
        <v>22</v>
      </c>
      <c r="C492" s="2" t="s">
        <v>23</v>
      </c>
      <c r="D492" s="2" t="s">
        <v>118</v>
      </c>
      <c r="E492" s="2" t="s">
        <v>25</v>
      </c>
      <c r="F492" s="7">
        <v>0.0</v>
      </c>
      <c r="G492" s="2" t="s">
        <v>722</v>
      </c>
      <c r="H492" s="7">
        <v>95.0</v>
      </c>
      <c r="I492" s="7">
        <v>0.0</v>
      </c>
      <c r="J492" s="7">
        <v>0.0</v>
      </c>
      <c r="K492" s="7">
        <v>0.114953271028037</v>
      </c>
      <c r="L492" s="7">
        <v>621.429899215698</v>
      </c>
      <c r="M492" s="7">
        <v>35.0</v>
      </c>
      <c r="N492" s="7">
        <v>1.0</v>
      </c>
      <c r="O492" s="7">
        <v>535.0</v>
      </c>
      <c r="P492" s="7">
        <v>1.86915887850467</v>
      </c>
      <c r="Q492" s="7">
        <v>177.570093457943</v>
      </c>
      <c r="R492" s="7">
        <v>95.0</v>
      </c>
      <c r="S492" s="7">
        <v>0.0</v>
      </c>
      <c r="T492" s="7">
        <v>0.0</v>
      </c>
      <c r="U492" s="2" t="s">
        <v>723</v>
      </c>
    </row>
    <row r="493">
      <c r="A493" s="2" t="s">
        <v>33</v>
      </c>
      <c r="B493" s="2" t="s">
        <v>22</v>
      </c>
      <c r="C493" s="2" t="s">
        <v>23</v>
      </c>
      <c r="D493" s="2" t="s">
        <v>118</v>
      </c>
      <c r="E493" s="2" t="s">
        <v>39</v>
      </c>
      <c r="F493" s="7">
        <v>0.0</v>
      </c>
      <c r="G493" s="2" t="s">
        <v>722</v>
      </c>
      <c r="H493" s="7">
        <v>694.0</v>
      </c>
      <c r="I493" s="7">
        <v>0.0</v>
      </c>
      <c r="J493" s="7">
        <v>0.0</v>
      </c>
      <c r="K493" s="7">
        <v>0.116155988857938</v>
      </c>
      <c r="L493" s="7">
        <v>4892.24437236785</v>
      </c>
      <c r="M493" s="7">
        <v>391.0</v>
      </c>
      <c r="N493" s="7">
        <v>3.0</v>
      </c>
      <c r="O493" s="7">
        <v>1795.0</v>
      </c>
      <c r="P493" s="7">
        <v>1.67130919220055</v>
      </c>
      <c r="Q493" s="7">
        <v>386.629526462395</v>
      </c>
      <c r="R493" s="7">
        <v>231.333333333333</v>
      </c>
      <c r="S493" s="7">
        <v>0.0</v>
      </c>
      <c r="T493" s="7">
        <v>0.0</v>
      </c>
      <c r="U493" s="2" t="s">
        <v>724</v>
      </c>
    </row>
    <row r="494">
      <c r="A494" s="2" t="s">
        <v>33</v>
      </c>
      <c r="B494" s="2" t="s">
        <v>22</v>
      </c>
      <c r="C494" s="2" t="s">
        <v>23</v>
      </c>
      <c r="D494" s="2" t="s">
        <v>118</v>
      </c>
      <c r="E494" s="2" t="s">
        <v>43</v>
      </c>
      <c r="F494" s="7">
        <v>0.0</v>
      </c>
      <c r="G494" s="2" t="s">
        <v>722</v>
      </c>
      <c r="H494" s="7">
        <v>653.0</v>
      </c>
      <c r="I494" s="7">
        <v>0.0</v>
      </c>
      <c r="J494" s="7">
        <v>1.0</v>
      </c>
      <c r="K494" s="7">
        <v>0.0967687074829932</v>
      </c>
      <c r="L494" s="7">
        <v>5475.78773498535</v>
      </c>
      <c r="M494" s="7">
        <v>37.0</v>
      </c>
      <c r="N494" s="7">
        <v>8.0</v>
      </c>
      <c r="O494" s="7">
        <v>980.0</v>
      </c>
      <c r="P494" s="7">
        <v>8.16326530612245</v>
      </c>
      <c r="Q494" s="7">
        <v>666.326530612244</v>
      </c>
      <c r="R494" s="7">
        <v>81.625</v>
      </c>
      <c r="S494" s="7">
        <v>0.00153139356814701</v>
      </c>
      <c r="T494" s="7">
        <v>0.0</v>
      </c>
      <c r="U494" s="2" t="s">
        <v>725</v>
      </c>
    </row>
    <row r="495">
      <c r="A495" s="2" t="s">
        <v>33</v>
      </c>
      <c r="B495" s="2" t="s">
        <v>22</v>
      </c>
      <c r="C495" s="2" t="s">
        <v>23</v>
      </c>
      <c r="D495" s="2" t="s">
        <v>118</v>
      </c>
      <c r="E495" s="2" t="s">
        <v>34</v>
      </c>
      <c r="F495" s="7">
        <v>0.0</v>
      </c>
      <c r="G495" s="2" t="s">
        <v>722</v>
      </c>
      <c r="H495" s="7">
        <v>897.0</v>
      </c>
      <c r="I495" s="7">
        <v>0.0</v>
      </c>
      <c r="J495" s="7">
        <v>5.0</v>
      </c>
      <c r="K495" s="7">
        <v>0.401074151074151</v>
      </c>
      <c r="L495" s="7">
        <v>9229.367405653</v>
      </c>
      <c r="M495" s="7">
        <v>37.0</v>
      </c>
      <c r="N495" s="7">
        <v>4.0</v>
      </c>
      <c r="O495" s="7">
        <v>962.0</v>
      </c>
      <c r="P495" s="7">
        <v>4.15800415800415</v>
      </c>
      <c r="Q495" s="7">
        <v>932.432432432432</v>
      </c>
      <c r="R495" s="7">
        <v>224.25</v>
      </c>
      <c r="S495" s="7">
        <v>0.00557413600891861</v>
      </c>
      <c r="T495" s="7">
        <v>0.0</v>
      </c>
      <c r="U495" s="2" t="s">
        <v>726</v>
      </c>
    </row>
    <row r="496">
      <c r="A496" s="2" t="s">
        <v>33</v>
      </c>
      <c r="B496" s="2" t="s">
        <v>22</v>
      </c>
      <c r="C496" s="2" t="s">
        <v>23</v>
      </c>
      <c r="D496" s="2" t="s">
        <v>118</v>
      </c>
      <c r="E496" s="2" t="s">
        <v>47</v>
      </c>
      <c r="F496" s="7">
        <v>0.0</v>
      </c>
      <c r="G496" s="2" t="s">
        <v>722</v>
      </c>
      <c r="H496" s="7">
        <v>1080.0</v>
      </c>
      <c r="I496" s="7">
        <v>0.0</v>
      </c>
      <c r="J496" s="7">
        <v>2.0</v>
      </c>
      <c r="K496" s="7">
        <v>0.127725563909774</v>
      </c>
      <c r="L496" s="7">
        <v>11976.6529581546</v>
      </c>
      <c r="M496" s="7">
        <v>67.0</v>
      </c>
      <c r="N496" s="7">
        <v>14.0</v>
      </c>
      <c r="O496" s="7">
        <v>1330.0</v>
      </c>
      <c r="P496" s="7">
        <v>10.5263157894736</v>
      </c>
      <c r="Q496" s="7">
        <v>812.030075187969</v>
      </c>
      <c r="R496" s="7">
        <v>77.1428571428571</v>
      </c>
      <c r="S496" s="7">
        <v>0.00185185185185185</v>
      </c>
      <c r="T496" s="7">
        <v>0.0</v>
      </c>
      <c r="U496" s="2" t="s">
        <v>727</v>
      </c>
    </row>
    <row r="497">
      <c r="A497" s="2" t="s">
        <v>33</v>
      </c>
      <c r="B497" s="2" t="s">
        <v>22</v>
      </c>
      <c r="C497" s="2" t="s">
        <v>23</v>
      </c>
      <c r="D497" s="2" t="s">
        <v>118</v>
      </c>
      <c r="E497" s="2" t="s">
        <v>51</v>
      </c>
      <c r="F497" s="7">
        <v>0.0</v>
      </c>
      <c r="G497" s="2" t="s">
        <v>722</v>
      </c>
      <c r="H497" s="7">
        <v>426.0</v>
      </c>
      <c r="I497" s="7">
        <v>0.0</v>
      </c>
      <c r="J497" s="7">
        <v>7.0</v>
      </c>
      <c r="K497" s="7">
        <v>0.0675064599483204</v>
      </c>
      <c r="L497" s="7">
        <v>4103.94503259658</v>
      </c>
      <c r="M497" s="7">
        <v>32.0</v>
      </c>
      <c r="N497" s="7">
        <v>7.0</v>
      </c>
      <c r="O497" s="7">
        <v>774.0</v>
      </c>
      <c r="P497" s="7">
        <v>9.04392764857881</v>
      </c>
      <c r="Q497" s="7">
        <v>550.387596899224</v>
      </c>
      <c r="R497" s="7">
        <v>60.8571428571428</v>
      </c>
      <c r="S497" s="7">
        <v>0.0164319248826291</v>
      </c>
      <c r="T497" s="7">
        <v>0.0</v>
      </c>
      <c r="U497" s="2" t="s">
        <v>728</v>
      </c>
    </row>
    <row r="498">
      <c r="A498" s="2" t="s">
        <v>460</v>
      </c>
      <c r="B498" s="2" t="s">
        <v>22</v>
      </c>
      <c r="C498" s="2" t="s">
        <v>35</v>
      </c>
      <c r="D498" s="2" t="s">
        <v>102</v>
      </c>
      <c r="E498" s="2" t="s">
        <v>25</v>
      </c>
      <c r="F498" s="7">
        <v>0.0</v>
      </c>
      <c r="G498" s="2" t="s">
        <v>729</v>
      </c>
      <c r="H498" s="7">
        <v>175.0</v>
      </c>
      <c r="I498" s="7">
        <v>0.0</v>
      </c>
      <c r="J498" s="7">
        <v>0.0</v>
      </c>
      <c r="K498" s="7">
        <v>0.0972477064220183</v>
      </c>
      <c r="L498" s="7">
        <v>1252.98013210296</v>
      </c>
      <c r="M498" s="7">
        <v>45.0</v>
      </c>
      <c r="N498" s="7">
        <v>1.0</v>
      </c>
      <c r="O498" s="7">
        <v>545.0</v>
      </c>
      <c r="P498" s="7">
        <v>1.8348623853211</v>
      </c>
      <c r="Q498" s="7">
        <v>321.100917431192</v>
      </c>
      <c r="R498" s="7">
        <v>175.0</v>
      </c>
      <c r="S498" s="7">
        <v>0.0</v>
      </c>
      <c r="T498" s="7">
        <v>0.0</v>
      </c>
      <c r="U498" s="2" t="s">
        <v>730</v>
      </c>
    </row>
    <row r="499">
      <c r="A499" s="2" t="s">
        <v>460</v>
      </c>
      <c r="B499" s="2" t="s">
        <v>22</v>
      </c>
      <c r="C499" s="2" t="s">
        <v>35</v>
      </c>
      <c r="D499" s="2" t="s">
        <v>102</v>
      </c>
      <c r="E499" s="2" t="s">
        <v>39</v>
      </c>
      <c r="F499" s="7">
        <v>0.0</v>
      </c>
      <c r="G499" s="2" t="s">
        <v>729</v>
      </c>
      <c r="H499" s="7">
        <v>135.0</v>
      </c>
      <c r="I499" s="7">
        <v>0.0</v>
      </c>
      <c r="J499" s="7">
        <v>0.0</v>
      </c>
      <c r="K499" s="7">
        <v>0.1</v>
      </c>
      <c r="L499" s="7">
        <v>1005.03499293327</v>
      </c>
      <c r="M499" s="2"/>
      <c r="N499" s="7">
        <v>0.0</v>
      </c>
      <c r="O499" s="7">
        <v>500.0</v>
      </c>
      <c r="P499" s="7">
        <v>0.0</v>
      </c>
      <c r="Q499" s="7">
        <v>270.0</v>
      </c>
      <c r="R499" s="2"/>
      <c r="S499" s="7">
        <v>0.0</v>
      </c>
      <c r="T499" s="7">
        <v>0.0</v>
      </c>
      <c r="U499" s="2" t="s">
        <v>731</v>
      </c>
    </row>
    <row r="500">
      <c r="A500" s="2" t="s">
        <v>460</v>
      </c>
      <c r="B500" s="2" t="s">
        <v>22</v>
      </c>
      <c r="C500" s="2" t="s">
        <v>35</v>
      </c>
      <c r="D500" s="2" t="s">
        <v>102</v>
      </c>
      <c r="E500" s="2" t="s">
        <v>43</v>
      </c>
      <c r="F500" s="7">
        <v>0.0</v>
      </c>
      <c r="G500" s="2" t="s">
        <v>729</v>
      </c>
      <c r="H500" s="7">
        <v>1111.0</v>
      </c>
      <c r="I500" s="7">
        <v>0.0</v>
      </c>
      <c r="J500" s="7">
        <v>0.0</v>
      </c>
      <c r="K500" s="7">
        <v>0.0873121131741821</v>
      </c>
      <c r="L500" s="7">
        <v>9700.26038384437</v>
      </c>
      <c r="M500" s="7">
        <v>22.0</v>
      </c>
      <c r="N500" s="7">
        <v>13.0</v>
      </c>
      <c r="O500" s="7">
        <v>2262.0</v>
      </c>
      <c r="P500" s="7">
        <v>5.7471264367816</v>
      </c>
      <c r="Q500" s="7">
        <v>491.158267020336</v>
      </c>
      <c r="R500" s="7">
        <v>85.4615384615384</v>
      </c>
      <c r="S500" s="7">
        <v>0.0</v>
      </c>
      <c r="T500" s="7">
        <v>0.0</v>
      </c>
      <c r="U500" s="2" t="s">
        <v>732</v>
      </c>
    </row>
    <row r="501">
      <c r="A501" s="2" t="s">
        <v>460</v>
      </c>
      <c r="B501" s="2" t="s">
        <v>22</v>
      </c>
      <c r="C501" s="2" t="s">
        <v>35</v>
      </c>
      <c r="D501" s="2" t="s">
        <v>102</v>
      </c>
      <c r="E501" s="2" t="s">
        <v>34</v>
      </c>
      <c r="F501" s="7">
        <v>0.0</v>
      </c>
      <c r="G501" s="2" t="s">
        <v>729</v>
      </c>
      <c r="H501" s="7">
        <v>1626.0</v>
      </c>
      <c r="I501" s="7">
        <v>1.0</v>
      </c>
      <c r="J501" s="7">
        <v>5.0</v>
      </c>
      <c r="K501" s="7">
        <v>0.161923780995173</v>
      </c>
      <c r="L501" s="7">
        <v>15859.6179344654</v>
      </c>
      <c r="M501" s="7">
        <v>23.0</v>
      </c>
      <c r="N501" s="7">
        <v>20.0</v>
      </c>
      <c r="O501" s="7">
        <v>2003.0</v>
      </c>
      <c r="P501" s="7">
        <v>9.98502246630055</v>
      </c>
      <c r="Q501" s="7">
        <v>811.782326510234</v>
      </c>
      <c r="R501" s="7">
        <v>81.3</v>
      </c>
      <c r="S501" s="7">
        <v>0.0030750307503075</v>
      </c>
      <c r="T501" s="7">
        <v>6.150061500615E-4</v>
      </c>
      <c r="U501" s="2" t="s">
        <v>733</v>
      </c>
    </row>
    <row r="502">
      <c r="A502" s="2" t="s">
        <v>460</v>
      </c>
      <c r="B502" s="2" t="s">
        <v>22</v>
      </c>
      <c r="C502" s="2" t="s">
        <v>35</v>
      </c>
      <c r="D502" s="2" t="s">
        <v>102</v>
      </c>
      <c r="E502" s="2" t="s">
        <v>47</v>
      </c>
      <c r="F502" s="7">
        <v>0.0</v>
      </c>
      <c r="G502" s="2" t="s">
        <v>729</v>
      </c>
      <c r="H502" s="7">
        <v>1016.0</v>
      </c>
      <c r="I502" s="7">
        <v>0.0</v>
      </c>
      <c r="J502" s="7">
        <v>0.0</v>
      </c>
      <c r="K502" s="7">
        <v>0.107274741506646</v>
      </c>
      <c r="L502" s="7">
        <v>10998.0149810314</v>
      </c>
      <c r="M502" s="7">
        <v>51.0</v>
      </c>
      <c r="N502" s="7">
        <v>9.0</v>
      </c>
      <c r="O502" s="7">
        <v>1354.0</v>
      </c>
      <c r="P502" s="7">
        <v>6.64697193500738</v>
      </c>
      <c r="Q502" s="7">
        <v>750.369276218611</v>
      </c>
      <c r="R502" s="7">
        <v>112.888888888888</v>
      </c>
      <c r="S502" s="7">
        <v>0.0</v>
      </c>
      <c r="T502" s="7">
        <v>0.0</v>
      </c>
      <c r="U502" s="2" t="s">
        <v>734</v>
      </c>
    </row>
    <row r="503">
      <c r="A503" s="2" t="s">
        <v>460</v>
      </c>
      <c r="B503" s="2" t="s">
        <v>22</v>
      </c>
      <c r="C503" s="2" t="s">
        <v>35</v>
      </c>
      <c r="D503" s="2" t="s">
        <v>102</v>
      </c>
      <c r="E503" s="2" t="s">
        <v>51</v>
      </c>
      <c r="F503" s="7">
        <v>0.0</v>
      </c>
      <c r="G503" s="2" t="s">
        <v>729</v>
      </c>
      <c r="H503" s="7">
        <v>642.0</v>
      </c>
      <c r="I503" s="7">
        <v>0.0</v>
      </c>
      <c r="J503" s="7">
        <v>0.0</v>
      </c>
      <c r="K503" s="7">
        <v>0.0648820326678766</v>
      </c>
      <c r="L503" s="7">
        <v>6501.64213061332</v>
      </c>
      <c r="M503" s="7">
        <v>29.0</v>
      </c>
      <c r="N503" s="7">
        <v>10.0</v>
      </c>
      <c r="O503" s="7">
        <v>1102.0</v>
      </c>
      <c r="P503" s="7">
        <v>9.07441016333938</v>
      </c>
      <c r="Q503" s="7">
        <v>582.577132486388</v>
      </c>
      <c r="R503" s="7">
        <v>64.2</v>
      </c>
      <c r="S503" s="7">
        <v>0.0</v>
      </c>
      <c r="T503" s="7">
        <v>0.0</v>
      </c>
      <c r="U503" s="2" t="s">
        <v>735</v>
      </c>
    </row>
    <row r="504">
      <c r="A504" s="2" t="s">
        <v>460</v>
      </c>
      <c r="B504" s="2" t="s">
        <v>22</v>
      </c>
      <c r="C504" s="2" t="s">
        <v>35</v>
      </c>
      <c r="D504" s="2" t="s">
        <v>118</v>
      </c>
      <c r="E504" s="2" t="s">
        <v>25</v>
      </c>
      <c r="F504" s="7">
        <v>0.0</v>
      </c>
      <c r="G504" s="2" t="s">
        <v>736</v>
      </c>
      <c r="H504" s="7">
        <v>503.0</v>
      </c>
      <c r="I504" s="7">
        <v>0.0</v>
      </c>
      <c r="J504" s="7">
        <v>27.0</v>
      </c>
      <c r="K504" s="7">
        <v>0.415619389587073</v>
      </c>
      <c r="L504" s="7">
        <v>2703.52244114875</v>
      </c>
      <c r="M504" s="7">
        <v>57.0</v>
      </c>
      <c r="N504" s="7">
        <v>1.0</v>
      </c>
      <c r="O504" s="7">
        <v>557.0</v>
      </c>
      <c r="P504" s="7">
        <v>1.79533213644524</v>
      </c>
      <c r="Q504" s="7">
        <v>903.052064631956</v>
      </c>
      <c r="R504" s="7">
        <v>503.0</v>
      </c>
      <c r="S504" s="7">
        <v>0.0536779324055666</v>
      </c>
      <c r="T504" s="7">
        <v>0.0</v>
      </c>
      <c r="U504" s="2" t="s">
        <v>737</v>
      </c>
    </row>
    <row r="505">
      <c r="A505" s="2" t="s">
        <v>460</v>
      </c>
      <c r="B505" s="2" t="s">
        <v>22</v>
      </c>
      <c r="C505" s="2" t="s">
        <v>35</v>
      </c>
      <c r="D505" s="2" t="s">
        <v>118</v>
      </c>
      <c r="E505" s="2" t="s">
        <v>39</v>
      </c>
      <c r="F505" s="7">
        <v>0.0</v>
      </c>
      <c r="G505" s="2" t="s">
        <v>736</v>
      </c>
      <c r="H505" s="7">
        <v>157.0</v>
      </c>
      <c r="I505" s="7">
        <v>0.0</v>
      </c>
      <c r="J505" s="7">
        <v>0.0</v>
      </c>
      <c r="K505" s="7">
        <v>0.101</v>
      </c>
      <c r="L505" s="7">
        <v>1325.99074792861</v>
      </c>
      <c r="M505" s="2"/>
      <c r="N505" s="7">
        <v>0.0</v>
      </c>
      <c r="O505" s="7">
        <v>500.0</v>
      </c>
      <c r="P505" s="7">
        <v>0.0</v>
      </c>
      <c r="Q505" s="7">
        <v>314.0</v>
      </c>
      <c r="R505" s="2"/>
      <c r="S505" s="7">
        <v>0.0</v>
      </c>
      <c r="T505" s="7">
        <v>0.0</v>
      </c>
      <c r="U505" s="2" t="s">
        <v>738</v>
      </c>
    </row>
    <row r="506">
      <c r="A506" s="2" t="s">
        <v>460</v>
      </c>
      <c r="B506" s="2" t="s">
        <v>22</v>
      </c>
      <c r="C506" s="2" t="s">
        <v>35</v>
      </c>
      <c r="D506" s="2" t="s">
        <v>118</v>
      </c>
      <c r="E506" s="2" t="s">
        <v>43</v>
      </c>
      <c r="F506" s="7">
        <v>0.0</v>
      </c>
      <c r="G506" s="2" t="s">
        <v>736</v>
      </c>
      <c r="H506" s="7">
        <v>660.0</v>
      </c>
      <c r="I506" s="7">
        <v>0.0</v>
      </c>
      <c r="J506" s="7">
        <v>4.0</v>
      </c>
      <c r="K506" s="7">
        <v>0.110887096774193</v>
      </c>
      <c r="L506" s="7">
        <v>7469.31334996223</v>
      </c>
      <c r="M506" s="7">
        <v>41.0</v>
      </c>
      <c r="N506" s="7">
        <v>10.0</v>
      </c>
      <c r="O506" s="7">
        <v>992.0</v>
      </c>
      <c r="P506" s="7">
        <v>10.0806451612903</v>
      </c>
      <c r="Q506" s="7">
        <v>665.322580645161</v>
      </c>
      <c r="R506" s="7">
        <v>66.0</v>
      </c>
      <c r="S506" s="7">
        <v>0.00606060606060606</v>
      </c>
      <c r="T506" s="7">
        <v>0.0</v>
      </c>
      <c r="U506" s="2" t="s">
        <v>739</v>
      </c>
    </row>
    <row r="507">
      <c r="A507" s="2" t="s">
        <v>460</v>
      </c>
      <c r="B507" s="2" t="s">
        <v>22</v>
      </c>
      <c r="C507" s="2" t="s">
        <v>35</v>
      </c>
      <c r="D507" s="2" t="s">
        <v>118</v>
      </c>
      <c r="E507" s="2" t="s">
        <v>34</v>
      </c>
      <c r="F507" s="7">
        <v>0.0</v>
      </c>
      <c r="G507" s="2" t="s">
        <v>736</v>
      </c>
      <c r="H507" s="7">
        <v>698.0</v>
      </c>
      <c r="I507" s="7">
        <v>0.0</v>
      </c>
      <c r="J507" s="7">
        <v>0.0</v>
      </c>
      <c r="K507" s="7">
        <v>0.453360768175583</v>
      </c>
      <c r="L507" s="7">
        <v>9835.91823863983</v>
      </c>
      <c r="M507" s="7">
        <v>37.0</v>
      </c>
      <c r="N507" s="7">
        <v>3.0</v>
      </c>
      <c r="O507" s="7">
        <v>729.0</v>
      </c>
      <c r="P507" s="7">
        <v>4.11522633744856</v>
      </c>
      <c r="Q507" s="7">
        <v>957.475994513031</v>
      </c>
      <c r="R507" s="7">
        <v>232.666666666666</v>
      </c>
      <c r="S507" s="7">
        <v>0.0</v>
      </c>
      <c r="T507" s="7">
        <v>0.0</v>
      </c>
      <c r="U507" s="2" t="s">
        <v>740</v>
      </c>
    </row>
    <row r="508">
      <c r="A508" s="2" t="s">
        <v>460</v>
      </c>
      <c r="B508" s="2" t="s">
        <v>22</v>
      </c>
      <c r="C508" s="2" t="s">
        <v>35</v>
      </c>
      <c r="D508" s="2" t="s">
        <v>118</v>
      </c>
      <c r="E508" s="2" t="s">
        <v>47</v>
      </c>
      <c r="F508" s="7">
        <v>0.0</v>
      </c>
      <c r="G508" s="2" t="s">
        <v>736</v>
      </c>
      <c r="H508" s="7">
        <v>1679.0</v>
      </c>
      <c r="I508" s="7">
        <v>0.0</v>
      </c>
      <c r="J508" s="7">
        <v>0.0</v>
      </c>
      <c r="K508" s="7">
        <v>0.106199905704856</v>
      </c>
      <c r="L508" s="7">
        <v>26110.6200361251</v>
      </c>
      <c r="M508" s="7">
        <v>62.0</v>
      </c>
      <c r="N508" s="7">
        <v>11.0</v>
      </c>
      <c r="O508" s="7">
        <v>2121.0</v>
      </c>
      <c r="P508" s="7">
        <v>5.18623290900518</v>
      </c>
      <c r="Q508" s="7">
        <v>791.607732201791</v>
      </c>
      <c r="R508" s="7">
        <v>152.636363636363</v>
      </c>
      <c r="S508" s="7">
        <v>0.0</v>
      </c>
      <c r="T508" s="7">
        <v>0.0</v>
      </c>
      <c r="U508" s="2" t="s">
        <v>741</v>
      </c>
    </row>
    <row r="509">
      <c r="A509" s="2" t="s">
        <v>460</v>
      </c>
      <c r="B509" s="2" t="s">
        <v>22</v>
      </c>
      <c r="C509" s="2" t="s">
        <v>35</v>
      </c>
      <c r="D509" s="2" t="s">
        <v>118</v>
      </c>
      <c r="E509" s="2" t="s">
        <v>51</v>
      </c>
      <c r="F509" s="7">
        <v>0.0</v>
      </c>
      <c r="G509" s="2" t="s">
        <v>736</v>
      </c>
      <c r="H509" s="7">
        <v>391.0</v>
      </c>
      <c r="I509" s="7">
        <v>0.0</v>
      </c>
      <c r="J509" s="7">
        <v>1.0</v>
      </c>
      <c r="K509" s="7">
        <v>0.0563583815028901</v>
      </c>
      <c r="L509" s="7">
        <v>5861.27054834365</v>
      </c>
      <c r="M509" s="7">
        <v>32.0</v>
      </c>
      <c r="N509" s="7">
        <v>7.0</v>
      </c>
      <c r="O509" s="7">
        <v>692.0</v>
      </c>
      <c r="P509" s="7">
        <v>10.1156069364161</v>
      </c>
      <c r="Q509" s="7">
        <v>565.028901734104</v>
      </c>
      <c r="R509" s="7">
        <v>55.8571428571428</v>
      </c>
      <c r="S509" s="7">
        <v>0.00255754475703324</v>
      </c>
      <c r="T509" s="7">
        <v>0.0</v>
      </c>
      <c r="U509" s="2" t="s">
        <v>742</v>
      </c>
    </row>
    <row r="510">
      <c r="A510" s="2" t="s">
        <v>460</v>
      </c>
      <c r="B510" s="2" t="s">
        <v>114</v>
      </c>
      <c r="C510" s="2" t="s">
        <v>35</v>
      </c>
      <c r="D510" s="2" t="s">
        <v>102</v>
      </c>
      <c r="E510" s="2" t="s">
        <v>25</v>
      </c>
      <c r="F510" s="7">
        <v>0.0</v>
      </c>
      <c r="G510" s="2" t="s">
        <v>743</v>
      </c>
      <c r="H510" s="7">
        <v>182.0</v>
      </c>
      <c r="I510" s="7">
        <v>0.0</v>
      </c>
      <c r="J510" s="7">
        <v>0.0</v>
      </c>
      <c r="K510" s="7">
        <v>0.0925233644859813</v>
      </c>
      <c r="L510" s="7">
        <v>754.567655086517</v>
      </c>
      <c r="M510" s="7">
        <v>35.0</v>
      </c>
      <c r="N510" s="7">
        <v>1.0</v>
      </c>
      <c r="O510" s="7">
        <v>535.0</v>
      </c>
      <c r="P510" s="7">
        <v>1.86915887850467</v>
      </c>
      <c r="Q510" s="7">
        <v>340.18691588785</v>
      </c>
      <c r="R510" s="7">
        <v>182.0</v>
      </c>
      <c r="S510" s="7">
        <v>0.0</v>
      </c>
      <c r="T510" s="7">
        <v>0.0</v>
      </c>
      <c r="U510" s="2" t="s">
        <v>744</v>
      </c>
    </row>
    <row r="511">
      <c r="A511" s="2" t="s">
        <v>460</v>
      </c>
      <c r="B511" s="2" t="s">
        <v>114</v>
      </c>
      <c r="C511" s="2" t="s">
        <v>35</v>
      </c>
      <c r="D511" s="2" t="s">
        <v>102</v>
      </c>
      <c r="E511" s="2" t="s">
        <v>39</v>
      </c>
      <c r="F511" s="7">
        <v>0.0</v>
      </c>
      <c r="G511" s="2" t="s">
        <v>743</v>
      </c>
      <c r="H511" s="7">
        <v>1096.0</v>
      </c>
      <c r="I511" s="7">
        <v>0.0</v>
      </c>
      <c r="J511" s="7">
        <v>0.0</v>
      </c>
      <c r="K511" s="7">
        <v>0.0794060684312459</v>
      </c>
      <c r="L511" s="7">
        <v>5414.12490916252</v>
      </c>
      <c r="M511" s="7">
        <v>72.0</v>
      </c>
      <c r="N511" s="7">
        <v>5.0</v>
      </c>
      <c r="O511" s="7">
        <v>1549.0</v>
      </c>
      <c r="P511" s="7">
        <v>3.22788896061975</v>
      </c>
      <c r="Q511" s="7">
        <v>707.55326016785</v>
      </c>
      <c r="R511" s="7">
        <v>219.2</v>
      </c>
      <c r="S511" s="7">
        <v>0.0</v>
      </c>
      <c r="T511" s="7">
        <v>0.0</v>
      </c>
      <c r="U511" s="2" t="s">
        <v>746</v>
      </c>
    </row>
    <row r="512">
      <c r="A512" s="2" t="s">
        <v>460</v>
      </c>
      <c r="B512" s="2" t="s">
        <v>114</v>
      </c>
      <c r="C512" s="2" t="s">
        <v>35</v>
      </c>
      <c r="D512" s="2" t="s">
        <v>102</v>
      </c>
      <c r="E512" s="2" t="s">
        <v>43</v>
      </c>
      <c r="F512" s="7">
        <v>0.0</v>
      </c>
      <c r="G512" s="2" t="s">
        <v>743</v>
      </c>
      <c r="H512" s="7">
        <v>1264.0</v>
      </c>
      <c r="I512" s="7">
        <v>0.0</v>
      </c>
      <c r="J512" s="7">
        <v>0.0</v>
      </c>
      <c r="K512" s="7">
        <v>0.0611492499364352</v>
      </c>
      <c r="L512" s="7">
        <v>6946.35436248779</v>
      </c>
      <c r="M512" s="7">
        <v>41.0</v>
      </c>
      <c r="N512" s="7">
        <v>10.0</v>
      </c>
      <c r="O512" s="7">
        <v>1311.0</v>
      </c>
      <c r="P512" s="7">
        <v>7.627765064836</v>
      </c>
      <c r="Q512" s="7">
        <v>964.14950419527</v>
      </c>
      <c r="R512" s="7">
        <v>126.4</v>
      </c>
      <c r="S512" s="7">
        <v>0.0</v>
      </c>
      <c r="T512" s="7">
        <v>0.0</v>
      </c>
      <c r="U512" s="2" t="s">
        <v>747</v>
      </c>
    </row>
    <row r="513">
      <c r="A513" s="2" t="s">
        <v>460</v>
      </c>
      <c r="B513" s="2" t="s">
        <v>114</v>
      </c>
      <c r="C513" s="2" t="s">
        <v>35</v>
      </c>
      <c r="D513" s="2" t="s">
        <v>102</v>
      </c>
      <c r="E513" s="2" t="s">
        <v>34</v>
      </c>
      <c r="F513" s="7">
        <v>0.0</v>
      </c>
      <c r="G513" s="2" t="s">
        <v>743</v>
      </c>
      <c r="H513" s="7">
        <v>1926.0</v>
      </c>
      <c r="I513" s="7">
        <v>0.0</v>
      </c>
      <c r="J513" s="7">
        <v>0.0</v>
      </c>
      <c r="K513" s="7">
        <v>0.139138576779026</v>
      </c>
      <c r="L513" s="7">
        <v>9905.67817282676</v>
      </c>
      <c r="M513" s="7">
        <v>24.0</v>
      </c>
      <c r="N513" s="7">
        <v>7.0</v>
      </c>
      <c r="O513" s="7">
        <v>1780.0</v>
      </c>
      <c r="P513" s="7">
        <v>3.93258426966292</v>
      </c>
      <c r="Q513" s="7">
        <v>1082.02247191011</v>
      </c>
      <c r="R513" s="7">
        <v>275.142857142857</v>
      </c>
      <c r="S513" s="7">
        <v>0.0</v>
      </c>
      <c r="T513" s="7">
        <v>0.0</v>
      </c>
      <c r="U513" s="2" t="s">
        <v>748</v>
      </c>
    </row>
    <row r="514">
      <c r="A514" s="2" t="s">
        <v>460</v>
      </c>
      <c r="B514" s="2" t="s">
        <v>114</v>
      </c>
      <c r="C514" s="2" t="s">
        <v>35</v>
      </c>
      <c r="D514" s="2" t="s">
        <v>102</v>
      </c>
      <c r="E514" s="2" t="s">
        <v>47</v>
      </c>
      <c r="F514" s="7">
        <v>0.0</v>
      </c>
      <c r="G514" s="2" t="s">
        <v>743</v>
      </c>
      <c r="H514" s="7">
        <v>756.0</v>
      </c>
      <c r="I514" s="7">
        <v>0.0</v>
      </c>
      <c r="J514" s="7">
        <v>0.0</v>
      </c>
      <c r="K514" s="7">
        <v>0.10983606557377</v>
      </c>
      <c r="L514" s="7">
        <v>4911.52934789657</v>
      </c>
      <c r="M514" s="7">
        <v>46.0</v>
      </c>
      <c r="N514" s="7">
        <v>4.0</v>
      </c>
      <c r="O514" s="7">
        <v>610.0</v>
      </c>
      <c r="P514" s="7">
        <v>6.55737704918032</v>
      </c>
      <c r="Q514" s="7">
        <v>1239.34426229508</v>
      </c>
      <c r="R514" s="7">
        <v>189.0</v>
      </c>
      <c r="S514" s="7">
        <v>0.0</v>
      </c>
      <c r="T514" s="7">
        <v>0.0</v>
      </c>
      <c r="U514" s="2" t="s">
        <v>749</v>
      </c>
    </row>
    <row r="515">
      <c r="A515" s="2" t="s">
        <v>460</v>
      </c>
      <c r="B515" s="2" t="s">
        <v>114</v>
      </c>
      <c r="C515" s="2" t="s">
        <v>35</v>
      </c>
      <c r="D515" s="2" t="s">
        <v>102</v>
      </c>
      <c r="E515" s="2" t="s">
        <v>51</v>
      </c>
      <c r="F515" s="7">
        <v>0.0</v>
      </c>
      <c r="G515" s="2" t="s">
        <v>743</v>
      </c>
      <c r="H515" s="7">
        <v>646.0</v>
      </c>
      <c r="I515" s="7">
        <v>0.0</v>
      </c>
      <c r="J515" s="7">
        <v>0.0</v>
      </c>
      <c r="K515" s="7">
        <v>0.0662403474903474</v>
      </c>
      <c r="L515" s="7">
        <v>4420.3774125576</v>
      </c>
      <c r="M515" s="7">
        <v>40.0</v>
      </c>
      <c r="N515" s="7">
        <v>5.0</v>
      </c>
      <c r="O515" s="7">
        <v>1036.0</v>
      </c>
      <c r="P515" s="7">
        <v>4.82625482625482</v>
      </c>
      <c r="Q515" s="7">
        <v>623.552123552123</v>
      </c>
      <c r="R515" s="7">
        <v>129.2</v>
      </c>
      <c r="S515" s="7">
        <v>0.0</v>
      </c>
      <c r="T515" s="7">
        <v>0.0</v>
      </c>
      <c r="U515" s="2" t="s">
        <v>750</v>
      </c>
    </row>
    <row r="516">
      <c r="A516" s="2" t="s">
        <v>460</v>
      </c>
      <c r="B516" s="2" t="s">
        <v>114</v>
      </c>
      <c r="C516" s="2" t="s">
        <v>35</v>
      </c>
      <c r="D516" s="2" t="s">
        <v>102</v>
      </c>
      <c r="E516" s="2" t="s">
        <v>25</v>
      </c>
      <c r="F516" s="7">
        <v>0.0</v>
      </c>
      <c r="G516" s="2" t="s">
        <v>743</v>
      </c>
      <c r="H516" s="7">
        <v>182.0</v>
      </c>
      <c r="I516" s="7">
        <v>0.0</v>
      </c>
      <c r="J516" s="7">
        <v>0.0</v>
      </c>
      <c r="K516" s="7">
        <v>0.0925233644859813</v>
      </c>
      <c r="L516" s="7">
        <v>749.807479619979</v>
      </c>
      <c r="M516" s="7">
        <v>35.0</v>
      </c>
      <c r="N516" s="7">
        <v>1.0</v>
      </c>
      <c r="O516" s="7">
        <v>535.0</v>
      </c>
      <c r="P516" s="7">
        <v>1.86915887850467</v>
      </c>
      <c r="Q516" s="7">
        <v>340.18691588785</v>
      </c>
      <c r="R516" s="7">
        <v>182.0</v>
      </c>
      <c r="S516" s="7">
        <v>0.0</v>
      </c>
      <c r="T516" s="7">
        <v>0.0</v>
      </c>
      <c r="U516" s="2" t="s">
        <v>744</v>
      </c>
    </row>
    <row r="517">
      <c r="A517" s="2" t="s">
        <v>460</v>
      </c>
      <c r="B517" s="2" t="s">
        <v>114</v>
      </c>
      <c r="C517" s="2" t="s">
        <v>35</v>
      </c>
      <c r="D517" s="2" t="s">
        <v>102</v>
      </c>
      <c r="E517" s="2" t="s">
        <v>39</v>
      </c>
      <c r="F517" s="7">
        <v>0.0</v>
      </c>
      <c r="G517" s="2" t="s">
        <v>743</v>
      </c>
      <c r="H517" s="7">
        <v>152.0</v>
      </c>
      <c r="I517" s="7">
        <v>0.0</v>
      </c>
      <c r="J517" s="7">
        <v>0.0</v>
      </c>
      <c r="K517" s="7">
        <v>0.0985</v>
      </c>
      <c r="L517" s="7">
        <v>736.657053947448</v>
      </c>
      <c r="M517" s="2"/>
      <c r="N517" s="7">
        <v>0.0</v>
      </c>
      <c r="O517" s="7">
        <v>500.0</v>
      </c>
      <c r="P517" s="7">
        <v>0.0</v>
      </c>
      <c r="Q517" s="7">
        <v>304.0</v>
      </c>
      <c r="R517" s="2"/>
      <c r="S517" s="7">
        <v>0.0</v>
      </c>
      <c r="T517" s="7">
        <v>0.0</v>
      </c>
      <c r="U517" s="2" t="s">
        <v>746</v>
      </c>
    </row>
    <row r="518">
      <c r="A518" s="2" t="s">
        <v>460</v>
      </c>
      <c r="B518" s="2" t="s">
        <v>114</v>
      </c>
      <c r="C518" s="2" t="s">
        <v>35</v>
      </c>
      <c r="D518" s="2" t="s">
        <v>102</v>
      </c>
      <c r="E518" s="2" t="s">
        <v>43</v>
      </c>
      <c r="F518" s="7">
        <v>0.0</v>
      </c>
      <c r="G518" s="2" t="s">
        <v>743</v>
      </c>
      <c r="H518" s="7">
        <v>956.0</v>
      </c>
      <c r="I518" s="7">
        <v>0.0</v>
      </c>
      <c r="J518" s="7">
        <v>0.0</v>
      </c>
      <c r="K518" s="7">
        <v>0.0826666666666666</v>
      </c>
      <c r="L518" s="7">
        <v>5382.3919570446</v>
      </c>
      <c r="M518" s="7">
        <v>41.0</v>
      </c>
      <c r="N518" s="7">
        <v>9.0</v>
      </c>
      <c r="O518" s="7">
        <v>1000.0</v>
      </c>
      <c r="P518" s="7">
        <v>9.0</v>
      </c>
      <c r="Q518" s="7">
        <v>956.0</v>
      </c>
      <c r="R518" s="7">
        <v>106.222222222222</v>
      </c>
      <c r="S518" s="7">
        <v>0.0</v>
      </c>
      <c r="T518" s="7">
        <v>0.0</v>
      </c>
      <c r="U518" s="2" t="s">
        <v>747</v>
      </c>
    </row>
    <row r="519">
      <c r="A519" s="2" t="s">
        <v>460</v>
      </c>
      <c r="B519" s="2" t="s">
        <v>114</v>
      </c>
      <c r="C519" s="2" t="s">
        <v>35</v>
      </c>
      <c r="D519" s="2" t="s">
        <v>102</v>
      </c>
      <c r="E519" s="2" t="s">
        <v>34</v>
      </c>
      <c r="F519" s="7">
        <v>0.0</v>
      </c>
      <c r="G519" s="2" t="s">
        <v>743</v>
      </c>
      <c r="H519" s="7">
        <v>1510.0</v>
      </c>
      <c r="I519" s="7">
        <v>0.0</v>
      </c>
      <c r="J519" s="7">
        <v>0.0</v>
      </c>
      <c r="K519" s="7">
        <v>0.131969370662838</v>
      </c>
      <c r="L519" s="7">
        <v>7877.39633607864</v>
      </c>
      <c r="M519" s="7">
        <v>24.0</v>
      </c>
      <c r="N519" s="7">
        <v>6.0</v>
      </c>
      <c r="O519" s="7">
        <v>1393.0</v>
      </c>
      <c r="P519" s="7">
        <v>4.30725053840631</v>
      </c>
      <c r="Q519" s="7">
        <v>1083.99138549892</v>
      </c>
      <c r="R519" s="7">
        <v>251.666666666666</v>
      </c>
      <c r="S519" s="7">
        <v>0.0</v>
      </c>
      <c r="T519" s="7">
        <v>0.0</v>
      </c>
      <c r="U519" s="2" t="s">
        <v>748</v>
      </c>
    </row>
    <row r="520">
      <c r="A520" s="2" t="s">
        <v>460</v>
      </c>
      <c r="B520" s="2" t="s">
        <v>114</v>
      </c>
      <c r="C520" s="2" t="s">
        <v>35</v>
      </c>
      <c r="D520" s="2" t="s">
        <v>102</v>
      </c>
      <c r="E520" s="2" t="s">
        <v>47</v>
      </c>
      <c r="F520" s="7">
        <v>0.0</v>
      </c>
      <c r="G520" s="2" t="s">
        <v>743</v>
      </c>
      <c r="H520" s="7">
        <v>703.0</v>
      </c>
      <c r="I520" s="7">
        <v>0.0</v>
      </c>
      <c r="J520" s="7">
        <v>0.0</v>
      </c>
      <c r="K520" s="7">
        <v>0.113319672131147</v>
      </c>
      <c r="L520" s="7">
        <v>4575.06329941749</v>
      </c>
      <c r="M520" s="7">
        <v>46.0</v>
      </c>
      <c r="N520" s="7">
        <v>4.0</v>
      </c>
      <c r="O520" s="7">
        <v>610.0</v>
      </c>
      <c r="P520" s="7">
        <v>6.55737704918032</v>
      </c>
      <c r="Q520" s="7">
        <v>1152.45901639344</v>
      </c>
      <c r="R520" s="7">
        <v>175.75</v>
      </c>
      <c r="S520" s="7">
        <v>0.0</v>
      </c>
      <c r="T520" s="7">
        <v>0.0</v>
      </c>
      <c r="U520" s="2" t="s">
        <v>749</v>
      </c>
    </row>
    <row r="521">
      <c r="A521" s="2" t="s">
        <v>460</v>
      </c>
      <c r="B521" s="2" t="s">
        <v>114</v>
      </c>
      <c r="C521" s="2" t="s">
        <v>35</v>
      </c>
      <c r="D521" s="2" t="s">
        <v>102</v>
      </c>
      <c r="E521" s="2" t="s">
        <v>51</v>
      </c>
      <c r="F521" s="7">
        <v>0.0</v>
      </c>
      <c r="G521" s="2" t="s">
        <v>743</v>
      </c>
      <c r="H521" s="7">
        <v>612.0</v>
      </c>
      <c r="I521" s="7">
        <v>0.0</v>
      </c>
      <c r="J521" s="7">
        <v>0.0</v>
      </c>
      <c r="K521" s="7">
        <v>0.0685975609756097</v>
      </c>
      <c r="L521" s="7">
        <v>4146.21545052528</v>
      </c>
      <c r="M521" s="7">
        <v>40.0</v>
      </c>
      <c r="N521" s="7">
        <v>5.0</v>
      </c>
      <c r="O521" s="7">
        <v>902.0</v>
      </c>
      <c r="P521" s="7">
        <v>5.54323725055432</v>
      </c>
      <c r="Q521" s="7">
        <v>678.492239467849</v>
      </c>
      <c r="R521" s="7">
        <v>122.4</v>
      </c>
      <c r="S521" s="7">
        <v>0.0</v>
      </c>
      <c r="T521" s="7">
        <v>0.0</v>
      </c>
      <c r="U521" s="2" t="s">
        <v>750</v>
      </c>
    </row>
    <row r="522">
      <c r="A522" s="2" t="s">
        <v>460</v>
      </c>
      <c r="B522" s="2" t="s">
        <v>114</v>
      </c>
      <c r="C522" s="2" t="s">
        <v>35</v>
      </c>
      <c r="D522" s="2" t="s">
        <v>118</v>
      </c>
      <c r="E522" s="2" t="s">
        <v>25</v>
      </c>
      <c r="F522" s="7">
        <v>0.0</v>
      </c>
      <c r="G522" s="2" t="s">
        <v>755</v>
      </c>
      <c r="H522" s="7">
        <v>182.0</v>
      </c>
      <c r="I522" s="7">
        <v>0.0</v>
      </c>
      <c r="J522" s="7">
        <v>0.0</v>
      </c>
      <c r="K522" s="7">
        <v>0.0925233644859813</v>
      </c>
      <c r="L522" s="7">
        <v>679.456290721893</v>
      </c>
      <c r="M522" s="7">
        <v>35.0</v>
      </c>
      <c r="N522" s="7">
        <v>1.0</v>
      </c>
      <c r="O522" s="7">
        <v>535.0</v>
      </c>
      <c r="P522" s="7">
        <v>1.86915887850467</v>
      </c>
      <c r="Q522" s="7">
        <v>340.18691588785</v>
      </c>
      <c r="R522" s="7">
        <v>182.0</v>
      </c>
      <c r="S522" s="7">
        <v>0.0</v>
      </c>
      <c r="T522" s="7">
        <v>0.0</v>
      </c>
      <c r="U522" s="2" t="s">
        <v>756</v>
      </c>
    </row>
    <row r="523">
      <c r="A523" s="2" t="s">
        <v>460</v>
      </c>
      <c r="B523" s="2" t="s">
        <v>114</v>
      </c>
      <c r="C523" s="2" t="s">
        <v>35</v>
      </c>
      <c r="D523" s="2" t="s">
        <v>118</v>
      </c>
      <c r="E523" s="2" t="s">
        <v>39</v>
      </c>
      <c r="F523" s="7">
        <v>0.0</v>
      </c>
      <c r="G523" s="2" t="s">
        <v>755</v>
      </c>
      <c r="H523" s="7">
        <v>466.0</v>
      </c>
      <c r="I523" s="7">
        <v>0.0</v>
      </c>
      <c r="J523" s="7">
        <v>0.0</v>
      </c>
      <c r="K523" s="7">
        <v>0.108959537572254</v>
      </c>
      <c r="L523" s="7">
        <v>2206.17707896232</v>
      </c>
      <c r="M523" s="7">
        <v>72.0</v>
      </c>
      <c r="N523" s="7">
        <v>2.0</v>
      </c>
      <c r="O523" s="7">
        <v>865.0</v>
      </c>
      <c r="P523" s="7">
        <v>2.31213872832369</v>
      </c>
      <c r="Q523" s="7">
        <v>538.728323699421</v>
      </c>
      <c r="R523" s="7">
        <v>233.0</v>
      </c>
      <c r="S523" s="7">
        <v>0.0</v>
      </c>
      <c r="T523" s="7">
        <v>0.0</v>
      </c>
      <c r="U523" s="2" t="s">
        <v>757</v>
      </c>
    </row>
    <row r="524">
      <c r="A524" s="2" t="s">
        <v>460</v>
      </c>
      <c r="B524" s="2" t="s">
        <v>114</v>
      </c>
      <c r="C524" s="2" t="s">
        <v>35</v>
      </c>
      <c r="D524" s="2" t="s">
        <v>118</v>
      </c>
      <c r="E524" s="2" t="s">
        <v>43</v>
      </c>
      <c r="F524" s="7">
        <v>0.0</v>
      </c>
      <c r="G524" s="2" t="s">
        <v>755</v>
      </c>
      <c r="H524" s="7">
        <v>1165.0</v>
      </c>
      <c r="I524" s="7">
        <v>0.0</v>
      </c>
      <c r="J524" s="7">
        <v>0.0</v>
      </c>
      <c r="K524" s="7">
        <v>0.0391006842619745</v>
      </c>
      <c r="L524" s="7">
        <v>6829.1089375019</v>
      </c>
      <c r="M524" s="7">
        <v>24.0</v>
      </c>
      <c r="N524" s="7">
        <v>6.0</v>
      </c>
      <c r="O524" s="7">
        <v>682.0</v>
      </c>
      <c r="P524" s="7">
        <v>8.79765395894428</v>
      </c>
      <c r="Q524" s="7">
        <v>1708.21114369501</v>
      </c>
      <c r="R524" s="7">
        <v>194.166666666666</v>
      </c>
      <c r="S524" s="7">
        <v>0.0</v>
      </c>
      <c r="T524" s="7">
        <v>0.0</v>
      </c>
      <c r="U524" s="2" t="s">
        <v>758</v>
      </c>
    </row>
    <row r="525">
      <c r="A525" s="2" t="s">
        <v>460</v>
      </c>
      <c r="B525" s="2" t="s">
        <v>114</v>
      </c>
      <c r="C525" s="2" t="s">
        <v>35</v>
      </c>
      <c r="D525" s="2" t="s">
        <v>118</v>
      </c>
      <c r="E525" s="2" t="s">
        <v>34</v>
      </c>
      <c r="F525" s="7">
        <v>0.0</v>
      </c>
      <c r="G525" s="2" t="s">
        <v>755</v>
      </c>
      <c r="H525" s="7">
        <v>3672.0</v>
      </c>
      <c r="I525" s="7">
        <v>0.0</v>
      </c>
      <c r="J525" s="7">
        <v>0.0</v>
      </c>
      <c r="K525" s="7">
        <v>0.312437810945273</v>
      </c>
      <c r="L525" s="7">
        <v>16911.0091984272</v>
      </c>
      <c r="M525" s="7">
        <v>24.0</v>
      </c>
      <c r="N525" s="7">
        <v>10.0</v>
      </c>
      <c r="O525" s="7">
        <v>1340.0</v>
      </c>
      <c r="P525" s="7">
        <v>7.46268656716417</v>
      </c>
      <c r="Q525" s="7">
        <v>2740.29850746268</v>
      </c>
      <c r="R525" s="7">
        <v>367.2</v>
      </c>
      <c r="S525" s="7">
        <v>0.0</v>
      </c>
      <c r="T525" s="7">
        <v>0.0</v>
      </c>
      <c r="U525" s="2" t="s">
        <v>759</v>
      </c>
    </row>
    <row r="526">
      <c r="A526" s="2" t="s">
        <v>460</v>
      </c>
      <c r="B526" s="2" t="s">
        <v>114</v>
      </c>
      <c r="C526" s="2" t="s">
        <v>35</v>
      </c>
      <c r="D526" s="2" t="s">
        <v>118</v>
      </c>
      <c r="E526" s="2" t="s">
        <v>47</v>
      </c>
      <c r="F526" s="7">
        <v>0.0</v>
      </c>
      <c r="G526" s="2" t="s">
        <v>755</v>
      </c>
      <c r="H526" s="7">
        <v>945.0</v>
      </c>
      <c r="I526" s="7">
        <v>0.0</v>
      </c>
      <c r="J526" s="7">
        <v>0.0</v>
      </c>
      <c r="K526" s="7">
        <v>0.124169435215946</v>
      </c>
      <c r="L526" s="7">
        <v>5947.31085276603</v>
      </c>
      <c r="M526" s="7">
        <v>49.0</v>
      </c>
      <c r="N526" s="7">
        <v>4.0</v>
      </c>
      <c r="O526" s="7">
        <v>602.0</v>
      </c>
      <c r="P526" s="7">
        <v>6.64451827242524</v>
      </c>
      <c r="Q526" s="7">
        <v>1569.76744186046</v>
      </c>
      <c r="R526" s="7">
        <v>236.25</v>
      </c>
      <c r="S526" s="7">
        <v>0.0</v>
      </c>
      <c r="T526" s="7">
        <v>0.0</v>
      </c>
      <c r="U526" s="2" t="s">
        <v>760</v>
      </c>
    </row>
    <row r="527">
      <c r="A527" s="2" t="s">
        <v>460</v>
      </c>
      <c r="B527" s="2" t="s">
        <v>114</v>
      </c>
      <c r="C527" s="2" t="s">
        <v>35</v>
      </c>
      <c r="D527" s="2" t="s">
        <v>118</v>
      </c>
      <c r="E527" s="2" t="s">
        <v>51</v>
      </c>
      <c r="F527" s="7">
        <v>0.0</v>
      </c>
      <c r="G527" s="2" t="s">
        <v>755</v>
      </c>
      <c r="H527" s="7">
        <v>1916.0</v>
      </c>
      <c r="I527" s="7">
        <v>0.0</v>
      </c>
      <c r="J527" s="7">
        <v>0.0</v>
      </c>
      <c r="K527" s="7">
        <v>0.0735373054213633</v>
      </c>
      <c r="L527" s="7">
        <v>12797.9177610874</v>
      </c>
      <c r="M527" s="7">
        <v>40.0</v>
      </c>
      <c r="N527" s="7">
        <v>13.0</v>
      </c>
      <c r="O527" s="7">
        <v>1863.0</v>
      </c>
      <c r="P527" s="7">
        <v>6.97799248523886</v>
      </c>
      <c r="Q527" s="7">
        <v>1028.44873859366</v>
      </c>
      <c r="R527" s="7">
        <v>147.384615384615</v>
      </c>
      <c r="S527" s="7">
        <v>0.0</v>
      </c>
      <c r="T527" s="7">
        <v>0.0</v>
      </c>
      <c r="U527" s="2" t="s">
        <v>761</v>
      </c>
    </row>
  </sheetData>
  <autoFilter ref="$A$1:$U$52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1" max="21" width="43.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4"/>
    </row>
    <row r="2">
      <c r="A2" s="3" t="s">
        <v>21</v>
      </c>
      <c r="B2" s="3" t="s">
        <v>22</v>
      </c>
      <c r="C2" s="3" t="s">
        <v>23</v>
      </c>
      <c r="D2" s="3" t="s">
        <v>24</v>
      </c>
      <c r="E2" s="3" t="s">
        <v>25</v>
      </c>
      <c r="F2" s="3">
        <v>0.0</v>
      </c>
      <c r="G2" s="3" t="s">
        <v>26</v>
      </c>
      <c r="H2" s="3">
        <v>86.0</v>
      </c>
      <c r="I2" s="3" t="s">
        <v>27</v>
      </c>
      <c r="J2" s="3">
        <v>0.0</v>
      </c>
      <c r="L2" s="3">
        <v>219.199110031</v>
      </c>
      <c r="N2" s="3">
        <v>0.0</v>
      </c>
      <c r="O2" s="3">
        <v>200.0</v>
      </c>
      <c r="P2" s="3">
        <v>0.0</v>
      </c>
      <c r="Q2" s="3">
        <v>430.0</v>
      </c>
      <c r="S2" s="3">
        <v>0.0</v>
      </c>
      <c r="T2" s="3" t="s">
        <v>27</v>
      </c>
      <c r="U2" s="3" t="s">
        <v>30</v>
      </c>
    </row>
    <row r="3">
      <c r="A3" s="3" t="s">
        <v>21</v>
      </c>
      <c r="B3" s="3" t="s">
        <v>22</v>
      </c>
      <c r="C3" s="3" t="s">
        <v>23</v>
      </c>
      <c r="D3" s="3" t="s">
        <v>24</v>
      </c>
      <c r="E3" s="3" t="s">
        <v>34</v>
      </c>
      <c r="F3" s="3">
        <v>0.0</v>
      </c>
      <c r="G3" s="3" t="s">
        <v>26</v>
      </c>
      <c r="H3" s="3">
        <v>134.0</v>
      </c>
      <c r="I3" s="3" t="s">
        <v>27</v>
      </c>
      <c r="J3" s="3">
        <v>0.0</v>
      </c>
      <c r="L3" s="3">
        <v>394.114629507</v>
      </c>
      <c r="N3" s="3">
        <v>0.0</v>
      </c>
      <c r="O3" s="3">
        <v>200.0</v>
      </c>
      <c r="P3" s="3">
        <v>0.0</v>
      </c>
      <c r="Q3" s="3">
        <v>670.0</v>
      </c>
      <c r="S3" s="3">
        <v>0.0</v>
      </c>
      <c r="T3" s="3" t="s">
        <v>27</v>
      </c>
      <c r="U3" s="3" t="s">
        <v>37</v>
      </c>
    </row>
    <row r="4">
      <c r="A4" s="3" t="s">
        <v>21</v>
      </c>
      <c r="B4" s="3" t="s">
        <v>22</v>
      </c>
      <c r="C4" s="3" t="s">
        <v>23</v>
      </c>
      <c r="D4" s="3" t="s">
        <v>24</v>
      </c>
      <c r="E4" s="3" t="s">
        <v>39</v>
      </c>
      <c r="F4" s="3">
        <v>0.0</v>
      </c>
      <c r="G4" s="3" t="s">
        <v>26</v>
      </c>
      <c r="H4" s="3">
        <v>140.0</v>
      </c>
      <c r="I4" s="3" t="s">
        <v>27</v>
      </c>
      <c r="J4" s="3">
        <v>0.0</v>
      </c>
      <c r="L4" s="3">
        <v>386.430672646</v>
      </c>
      <c r="N4" s="3">
        <v>0.0</v>
      </c>
      <c r="O4" s="3">
        <v>200.0</v>
      </c>
      <c r="P4" s="3">
        <v>0.0</v>
      </c>
      <c r="Q4" s="3">
        <v>700.0</v>
      </c>
      <c r="S4" s="3">
        <v>0.0</v>
      </c>
      <c r="T4" s="3" t="s">
        <v>27</v>
      </c>
      <c r="U4" s="3" t="s">
        <v>41</v>
      </c>
    </row>
    <row r="5">
      <c r="A5" s="3" t="s">
        <v>21</v>
      </c>
      <c r="B5" s="3" t="s">
        <v>22</v>
      </c>
      <c r="C5" s="3" t="s">
        <v>23</v>
      </c>
      <c r="D5" s="3" t="s">
        <v>24</v>
      </c>
      <c r="E5" s="3" t="s">
        <v>43</v>
      </c>
      <c r="F5" s="3">
        <v>0.0</v>
      </c>
      <c r="G5" s="3" t="s">
        <v>26</v>
      </c>
      <c r="H5" s="3">
        <v>136.0</v>
      </c>
      <c r="I5" s="3" t="s">
        <v>27</v>
      </c>
      <c r="J5" s="3">
        <v>0.0</v>
      </c>
      <c r="L5" s="3">
        <v>398.971119881</v>
      </c>
      <c r="N5" s="3">
        <v>0.0</v>
      </c>
      <c r="O5" s="3">
        <v>200.0</v>
      </c>
      <c r="P5" s="3">
        <v>0.0</v>
      </c>
      <c r="Q5" s="3">
        <v>680.0</v>
      </c>
      <c r="S5" s="3">
        <v>0.0</v>
      </c>
      <c r="T5" s="3" t="s">
        <v>27</v>
      </c>
      <c r="U5" s="3" t="s">
        <v>46</v>
      </c>
    </row>
    <row r="6">
      <c r="A6" s="3" t="s">
        <v>21</v>
      </c>
      <c r="B6" s="3" t="s">
        <v>22</v>
      </c>
      <c r="C6" s="3" t="s">
        <v>23</v>
      </c>
      <c r="D6" s="3" t="s">
        <v>24</v>
      </c>
      <c r="E6" s="3" t="s">
        <v>47</v>
      </c>
      <c r="F6" s="3">
        <v>0.0</v>
      </c>
      <c r="G6" s="3" t="s">
        <v>26</v>
      </c>
      <c r="H6" s="3">
        <v>180.0</v>
      </c>
      <c r="I6" s="3" t="s">
        <v>27</v>
      </c>
      <c r="J6" s="3">
        <v>0.0</v>
      </c>
      <c r="L6" s="3">
        <v>520.57290864</v>
      </c>
      <c r="N6" s="3">
        <v>0.0</v>
      </c>
      <c r="O6" s="3">
        <v>200.0</v>
      </c>
      <c r="P6" s="3">
        <v>0.0</v>
      </c>
      <c r="Q6" s="3">
        <v>900.0</v>
      </c>
      <c r="S6" s="3">
        <v>0.0</v>
      </c>
      <c r="T6" s="3" t="s">
        <v>27</v>
      </c>
      <c r="U6" s="3" t="s">
        <v>50</v>
      </c>
    </row>
    <row r="7">
      <c r="A7" s="3" t="s">
        <v>21</v>
      </c>
      <c r="B7" s="3" t="s">
        <v>22</v>
      </c>
      <c r="C7" s="3" t="s">
        <v>23</v>
      </c>
      <c r="D7" s="3" t="s">
        <v>24</v>
      </c>
      <c r="E7" s="3" t="s">
        <v>51</v>
      </c>
      <c r="F7" s="3">
        <v>0.0</v>
      </c>
      <c r="G7" s="3" t="s">
        <v>26</v>
      </c>
      <c r="H7" s="3">
        <v>172.0</v>
      </c>
      <c r="I7" s="3" t="s">
        <v>27</v>
      </c>
      <c r="J7" s="3">
        <v>0.0</v>
      </c>
      <c r="L7" s="3">
        <v>363.414469719</v>
      </c>
      <c r="N7" s="3">
        <v>0.0</v>
      </c>
      <c r="O7" s="3">
        <v>200.0</v>
      </c>
      <c r="P7" s="3">
        <v>0.0</v>
      </c>
      <c r="Q7" s="3">
        <v>860.0</v>
      </c>
      <c r="S7" s="3">
        <v>0.0</v>
      </c>
      <c r="T7" s="3" t="s">
        <v>27</v>
      </c>
      <c r="U7" s="3" t="s">
        <v>53</v>
      </c>
    </row>
    <row r="8">
      <c r="A8" s="3" t="s">
        <v>21</v>
      </c>
      <c r="B8" s="3" t="s">
        <v>22</v>
      </c>
      <c r="C8" s="3" t="s">
        <v>23</v>
      </c>
      <c r="D8" s="3" t="s">
        <v>54</v>
      </c>
      <c r="E8" s="3" t="s">
        <v>25</v>
      </c>
      <c r="F8" s="3">
        <v>0.0</v>
      </c>
      <c r="G8" s="3" t="s">
        <v>26</v>
      </c>
      <c r="H8" s="3">
        <v>68.0</v>
      </c>
      <c r="I8" s="3" t="s">
        <v>27</v>
      </c>
      <c r="J8" s="3">
        <v>0.0</v>
      </c>
      <c r="L8" s="3">
        <v>119.893019438</v>
      </c>
      <c r="M8" s="3">
        <v>78.0</v>
      </c>
      <c r="N8" s="3">
        <v>1.0</v>
      </c>
      <c r="O8" s="3">
        <v>278.0</v>
      </c>
      <c r="P8" s="3">
        <v>3.59712230216</v>
      </c>
      <c r="Q8" s="3">
        <v>244.604316547</v>
      </c>
      <c r="R8" s="3">
        <v>68.0</v>
      </c>
      <c r="S8" s="3">
        <v>0.0</v>
      </c>
      <c r="T8" s="3" t="s">
        <v>27</v>
      </c>
      <c r="U8" s="3" t="s">
        <v>57</v>
      </c>
    </row>
    <row r="9">
      <c r="A9" s="3" t="s">
        <v>21</v>
      </c>
      <c r="B9" s="3" t="s">
        <v>22</v>
      </c>
      <c r="C9" s="3" t="s">
        <v>23</v>
      </c>
      <c r="D9" s="3" t="s">
        <v>54</v>
      </c>
      <c r="E9" s="3" t="s">
        <v>34</v>
      </c>
      <c r="F9" s="3">
        <v>0.0</v>
      </c>
      <c r="G9" s="3" t="s">
        <v>26</v>
      </c>
      <c r="H9" s="3">
        <v>148.0</v>
      </c>
      <c r="I9" s="3" t="s">
        <v>27</v>
      </c>
      <c r="J9" s="3">
        <v>0.0</v>
      </c>
      <c r="L9" s="3">
        <v>238.479668856</v>
      </c>
      <c r="N9" s="3">
        <v>0.0</v>
      </c>
      <c r="O9" s="3">
        <v>200.0</v>
      </c>
      <c r="P9" s="3">
        <v>0.0</v>
      </c>
      <c r="Q9" s="3">
        <v>740.0</v>
      </c>
      <c r="S9" s="3">
        <v>0.0</v>
      </c>
      <c r="T9" s="3" t="s">
        <v>27</v>
      </c>
      <c r="U9" s="3" t="s">
        <v>60</v>
      </c>
    </row>
    <row r="10">
      <c r="A10" s="3" t="s">
        <v>21</v>
      </c>
      <c r="B10" s="3" t="s">
        <v>22</v>
      </c>
      <c r="C10" s="3" t="s">
        <v>23</v>
      </c>
      <c r="D10" s="3" t="s">
        <v>54</v>
      </c>
      <c r="E10" s="3" t="s">
        <v>39</v>
      </c>
      <c r="F10" s="3">
        <v>0.0</v>
      </c>
      <c r="G10" s="3" t="s">
        <v>26</v>
      </c>
      <c r="H10" s="3">
        <v>241.0</v>
      </c>
      <c r="I10" s="3" t="s">
        <v>27</v>
      </c>
      <c r="J10" s="3">
        <v>0.0</v>
      </c>
      <c r="L10" s="3">
        <v>344.795945644</v>
      </c>
      <c r="M10" s="3">
        <v>174.0</v>
      </c>
      <c r="N10" s="3">
        <v>2.0</v>
      </c>
      <c r="O10" s="3">
        <v>398.0</v>
      </c>
      <c r="P10" s="3">
        <v>5.02512562814</v>
      </c>
      <c r="Q10" s="3">
        <v>605.527638191</v>
      </c>
      <c r="R10" s="3">
        <v>120.5</v>
      </c>
      <c r="S10" s="3">
        <v>0.0</v>
      </c>
      <c r="T10" s="3" t="s">
        <v>27</v>
      </c>
      <c r="U10" s="3" t="s">
        <v>62</v>
      </c>
    </row>
    <row r="11">
      <c r="A11" s="3" t="s">
        <v>21</v>
      </c>
      <c r="B11" s="3" t="s">
        <v>22</v>
      </c>
      <c r="C11" s="3" t="s">
        <v>23</v>
      </c>
      <c r="D11" s="3" t="s">
        <v>54</v>
      </c>
      <c r="E11" s="3" t="s">
        <v>43</v>
      </c>
      <c r="F11" s="3">
        <v>0.0</v>
      </c>
      <c r="G11" s="3" t="s">
        <v>26</v>
      </c>
      <c r="H11" s="3">
        <v>200.0</v>
      </c>
      <c r="I11" s="3" t="s">
        <v>27</v>
      </c>
      <c r="J11" s="3">
        <v>0.0</v>
      </c>
      <c r="L11" s="3">
        <v>341.702210665</v>
      </c>
      <c r="N11" s="3">
        <v>0.0</v>
      </c>
      <c r="O11" s="3">
        <v>200.0</v>
      </c>
      <c r="P11" s="3">
        <v>0.0</v>
      </c>
      <c r="Q11" s="3">
        <v>1000.0</v>
      </c>
      <c r="S11" s="3">
        <v>0.0</v>
      </c>
      <c r="T11" s="3" t="s">
        <v>27</v>
      </c>
      <c r="U11" s="3" t="s">
        <v>66</v>
      </c>
    </row>
    <row r="12">
      <c r="A12" s="3" t="s">
        <v>21</v>
      </c>
      <c r="B12" s="3" t="s">
        <v>22</v>
      </c>
      <c r="C12" s="3" t="s">
        <v>23</v>
      </c>
      <c r="D12" s="3" t="s">
        <v>54</v>
      </c>
      <c r="E12" s="3" t="s">
        <v>47</v>
      </c>
      <c r="F12" s="3">
        <v>0.0</v>
      </c>
      <c r="G12" s="3" t="s">
        <v>26</v>
      </c>
      <c r="H12" s="3">
        <v>200.0</v>
      </c>
      <c r="I12" s="3" t="s">
        <v>27</v>
      </c>
      <c r="J12" s="3">
        <v>0.0</v>
      </c>
      <c r="L12" s="3">
        <v>504.573355436</v>
      </c>
      <c r="N12" s="3">
        <v>0.0</v>
      </c>
      <c r="O12" s="3">
        <v>200.0</v>
      </c>
      <c r="P12" s="3">
        <v>0.0</v>
      </c>
      <c r="Q12" s="3">
        <v>1000.0</v>
      </c>
      <c r="S12" s="3">
        <v>0.0</v>
      </c>
      <c r="T12" s="3" t="s">
        <v>27</v>
      </c>
      <c r="U12" s="3" t="s">
        <v>68</v>
      </c>
    </row>
    <row r="13">
      <c r="A13" s="3" t="s">
        <v>21</v>
      </c>
      <c r="B13" s="3" t="s">
        <v>22</v>
      </c>
      <c r="C13" s="3" t="s">
        <v>23</v>
      </c>
      <c r="D13" s="3" t="s">
        <v>54</v>
      </c>
      <c r="E13" s="3" t="s">
        <v>51</v>
      </c>
      <c r="F13" s="3">
        <v>0.0</v>
      </c>
      <c r="G13" s="3" t="s">
        <v>26</v>
      </c>
      <c r="H13" s="3">
        <v>131.0</v>
      </c>
      <c r="I13" s="3" t="s">
        <v>27</v>
      </c>
      <c r="J13" s="3">
        <v>0.0</v>
      </c>
      <c r="L13" s="3">
        <v>278.464504242</v>
      </c>
      <c r="N13" s="3">
        <v>0.0</v>
      </c>
      <c r="O13" s="3">
        <v>200.0</v>
      </c>
      <c r="P13" s="3">
        <v>0.0</v>
      </c>
      <c r="Q13" s="3">
        <v>655.0</v>
      </c>
      <c r="S13" s="3">
        <v>0.0</v>
      </c>
      <c r="T13" s="3" t="s">
        <v>27</v>
      </c>
      <c r="U13" s="3" t="s">
        <v>70</v>
      </c>
    </row>
    <row r="14">
      <c r="A14" s="3" t="s">
        <v>21</v>
      </c>
      <c r="B14" s="3" t="s">
        <v>22</v>
      </c>
      <c r="C14" s="3" t="s">
        <v>23</v>
      </c>
      <c r="D14" s="3" t="s">
        <v>72</v>
      </c>
      <c r="E14" s="3" t="s">
        <v>25</v>
      </c>
      <c r="F14" s="3">
        <v>0.0</v>
      </c>
      <c r="G14" s="3" t="s">
        <v>26</v>
      </c>
      <c r="H14" s="3">
        <v>186.0</v>
      </c>
      <c r="I14" s="3" t="s">
        <v>27</v>
      </c>
      <c r="J14" s="3">
        <v>0.0</v>
      </c>
      <c r="L14" s="3">
        <v>380.477293015</v>
      </c>
      <c r="N14" s="3">
        <v>0.0</v>
      </c>
      <c r="O14" s="3">
        <v>200.0</v>
      </c>
      <c r="P14" s="3">
        <v>0.0</v>
      </c>
      <c r="Q14" s="3">
        <v>930.0</v>
      </c>
      <c r="S14" s="3">
        <v>0.0</v>
      </c>
      <c r="T14" s="3" t="s">
        <v>27</v>
      </c>
      <c r="U14" s="3" t="s">
        <v>73</v>
      </c>
    </row>
    <row r="15">
      <c r="A15" s="3" t="s">
        <v>21</v>
      </c>
      <c r="B15" s="3" t="s">
        <v>22</v>
      </c>
      <c r="C15" s="3" t="s">
        <v>23</v>
      </c>
      <c r="D15" s="3" t="s">
        <v>72</v>
      </c>
      <c r="E15" s="3" t="s">
        <v>34</v>
      </c>
      <c r="F15" s="3">
        <v>0.0</v>
      </c>
      <c r="G15" s="3" t="s">
        <v>26</v>
      </c>
      <c r="H15" s="3">
        <v>84.0</v>
      </c>
      <c r="I15" s="3" t="s">
        <v>27</v>
      </c>
      <c r="J15" s="3">
        <v>0.0</v>
      </c>
      <c r="L15" s="3">
        <v>341.200397015</v>
      </c>
      <c r="N15" s="3">
        <v>0.0</v>
      </c>
      <c r="O15" s="3">
        <v>200.0</v>
      </c>
      <c r="P15" s="3">
        <v>0.0</v>
      </c>
      <c r="Q15" s="3">
        <v>420.0</v>
      </c>
      <c r="S15" s="3">
        <v>0.0</v>
      </c>
      <c r="T15" s="3" t="s">
        <v>27</v>
      </c>
      <c r="U15" s="3" t="s">
        <v>75</v>
      </c>
    </row>
    <row r="16">
      <c r="A16" s="3" t="s">
        <v>21</v>
      </c>
      <c r="B16" s="3" t="s">
        <v>22</v>
      </c>
      <c r="C16" s="3" t="s">
        <v>23</v>
      </c>
      <c r="D16" s="3" t="s">
        <v>72</v>
      </c>
      <c r="E16" s="3" t="s">
        <v>39</v>
      </c>
      <c r="F16" s="3">
        <v>0.0</v>
      </c>
      <c r="G16" s="3" t="s">
        <v>26</v>
      </c>
      <c r="H16" s="3">
        <v>213.0</v>
      </c>
      <c r="I16" s="3" t="s">
        <v>27</v>
      </c>
      <c r="J16" s="3">
        <v>0.0</v>
      </c>
      <c r="L16" s="3">
        <v>948.499952078</v>
      </c>
      <c r="M16" s="3">
        <v>170.0</v>
      </c>
      <c r="N16" s="3">
        <v>1.0</v>
      </c>
      <c r="O16" s="3">
        <v>370.0</v>
      </c>
      <c r="P16" s="3">
        <v>2.7027027027</v>
      </c>
      <c r="Q16" s="3">
        <v>575.675675676</v>
      </c>
      <c r="R16" s="3">
        <v>213.0</v>
      </c>
      <c r="S16" s="3">
        <v>0.0</v>
      </c>
      <c r="T16" s="3" t="s">
        <v>27</v>
      </c>
      <c r="U16" s="3" t="s">
        <v>78</v>
      </c>
    </row>
    <row r="17">
      <c r="A17" s="3" t="s">
        <v>21</v>
      </c>
      <c r="B17" s="3" t="s">
        <v>22</v>
      </c>
      <c r="C17" s="3" t="s">
        <v>23</v>
      </c>
      <c r="D17" s="3" t="s">
        <v>72</v>
      </c>
      <c r="E17" s="3" t="s">
        <v>43</v>
      </c>
      <c r="F17" s="3">
        <v>0.0</v>
      </c>
      <c r="G17" s="3" t="s">
        <v>26</v>
      </c>
      <c r="H17" s="3">
        <v>163.0</v>
      </c>
      <c r="I17" s="3" t="s">
        <v>27</v>
      </c>
      <c r="J17" s="3">
        <v>0.0</v>
      </c>
      <c r="L17" s="3">
        <v>1093.51607704</v>
      </c>
      <c r="N17" s="3">
        <v>0.0</v>
      </c>
      <c r="O17" s="3">
        <v>200.0</v>
      </c>
      <c r="P17" s="3">
        <v>0.0</v>
      </c>
      <c r="Q17" s="3">
        <v>815.0</v>
      </c>
      <c r="S17" s="3">
        <v>0.0</v>
      </c>
      <c r="T17" s="3" t="s">
        <v>27</v>
      </c>
      <c r="U17" s="3" t="s">
        <v>82</v>
      </c>
    </row>
    <row r="18">
      <c r="A18" s="3" t="s">
        <v>21</v>
      </c>
      <c r="B18" s="3" t="s">
        <v>22</v>
      </c>
      <c r="C18" s="3" t="s">
        <v>23</v>
      </c>
      <c r="D18" s="3" t="s">
        <v>72</v>
      </c>
      <c r="E18" s="3" t="s">
        <v>47</v>
      </c>
      <c r="F18" s="3">
        <v>0.0</v>
      </c>
      <c r="G18" s="3" t="s">
        <v>26</v>
      </c>
      <c r="H18" s="3">
        <v>184.0</v>
      </c>
      <c r="I18" s="3" t="s">
        <v>27</v>
      </c>
      <c r="J18" s="3">
        <v>1.0</v>
      </c>
      <c r="L18" s="3">
        <v>1400.48922253</v>
      </c>
      <c r="N18" s="3">
        <v>0.0</v>
      </c>
      <c r="O18" s="3">
        <v>200.0</v>
      </c>
      <c r="P18" s="3">
        <v>0.0</v>
      </c>
      <c r="Q18" s="3">
        <v>920.0</v>
      </c>
      <c r="S18" s="3">
        <v>0.0054347826087</v>
      </c>
      <c r="T18" s="3" t="s">
        <v>27</v>
      </c>
      <c r="U18" s="3" t="s">
        <v>84</v>
      </c>
    </row>
    <row r="19">
      <c r="A19" s="3" t="s">
        <v>21</v>
      </c>
      <c r="B19" s="3" t="s">
        <v>22</v>
      </c>
      <c r="C19" s="3" t="s">
        <v>23</v>
      </c>
      <c r="D19" s="3" t="s">
        <v>72</v>
      </c>
      <c r="E19" s="3" t="s">
        <v>51</v>
      </c>
      <c r="F19" s="3">
        <v>0.0</v>
      </c>
      <c r="G19" s="3" t="s">
        <v>26</v>
      </c>
      <c r="H19" s="3">
        <v>200.0</v>
      </c>
      <c r="I19" s="3" t="s">
        <v>27</v>
      </c>
      <c r="J19" s="3">
        <v>0.0</v>
      </c>
      <c r="L19" s="3">
        <v>2145.62481165</v>
      </c>
      <c r="N19" s="3">
        <v>0.0</v>
      </c>
      <c r="O19" s="3">
        <v>200.0</v>
      </c>
      <c r="P19" s="3">
        <v>0.0</v>
      </c>
      <c r="Q19" s="3">
        <v>1000.0</v>
      </c>
      <c r="S19" s="3">
        <v>0.0</v>
      </c>
      <c r="T19" s="3" t="s">
        <v>27</v>
      </c>
      <c r="U19" s="3" t="s">
        <v>86</v>
      </c>
    </row>
    <row r="20">
      <c r="A20" s="3" t="s">
        <v>21</v>
      </c>
      <c r="B20" s="3" t="s">
        <v>22</v>
      </c>
      <c r="C20" s="3" t="s">
        <v>23</v>
      </c>
      <c r="D20" s="3" t="s">
        <v>64</v>
      </c>
      <c r="E20" s="3" t="s">
        <v>25</v>
      </c>
      <c r="F20" s="3">
        <v>0.0</v>
      </c>
      <c r="G20" s="3" t="s">
        <v>26</v>
      </c>
      <c r="H20" s="3">
        <v>94.0</v>
      </c>
      <c r="I20" s="3" t="s">
        <v>27</v>
      </c>
      <c r="J20" s="3">
        <v>0.0</v>
      </c>
      <c r="L20" s="3">
        <v>764.6000278</v>
      </c>
      <c r="M20" s="3">
        <v>83.0</v>
      </c>
      <c r="N20" s="3">
        <v>1.0</v>
      </c>
      <c r="O20" s="3">
        <v>283.0</v>
      </c>
      <c r="P20" s="3">
        <v>3.53356890459</v>
      </c>
      <c r="Q20" s="3">
        <v>332.155477032</v>
      </c>
      <c r="R20" s="3">
        <v>94.0</v>
      </c>
      <c r="S20" s="3">
        <v>0.0</v>
      </c>
      <c r="T20" s="3" t="s">
        <v>27</v>
      </c>
      <c r="U20" s="3" t="s">
        <v>89</v>
      </c>
    </row>
    <row r="21">
      <c r="A21" s="3" t="s">
        <v>21</v>
      </c>
      <c r="B21" s="3" t="s">
        <v>22</v>
      </c>
      <c r="C21" s="3" t="s">
        <v>23</v>
      </c>
      <c r="D21" s="3" t="s">
        <v>64</v>
      </c>
      <c r="E21" s="3" t="s">
        <v>34</v>
      </c>
      <c r="F21" s="3">
        <v>0.0</v>
      </c>
      <c r="G21" s="3" t="s">
        <v>26</v>
      </c>
      <c r="H21" s="3">
        <v>96.0</v>
      </c>
      <c r="I21" s="3" t="s">
        <v>27</v>
      </c>
      <c r="J21" s="3">
        <v>0.0</v>
      </c>
      <c r="L21" s="3">
        <v>913.850153446</v>
      </c>
      <c r="N21" s="3">
        <v>0.0</v>
      </c>
      <c r="O21" s="3">
        <v>200.0</v>
      </c>
      <c r="P21" s="3">
        <v>0.0</v>
      </c>
      <c r="Q21" s="3">
        <v>480.0</v>
      </c>
      <c r="S21" s="3">
        <v>0.0</v>
      </c>
      <c r="T21" s="3" t="s">
        <v>27</v>
      </c>
      <c r="U21" s="3" t="s">
        <v>91</v>
      </c>
    </row>
    <row r="22">
      <c r="A22" s="3" t="s">
        <v>21</v>
      </c>
      <c r="B22" s="3" t="s">
        <v>22</v>
      </c>
      <c r="C22" s="3" t="s">
        <v>23</v>
      </c>
      <c r="D22" s="3" t="s">
        <v>64</v>
      </c>
      <c r="E22" s="3" t="s">
        <v>39</v>
      </c>
      <c r="F22" s="3">
        <v>0.0</v>
      </c>
      <c r="G22" s="3" t="s">
        <v>26</v>
      </c>
      <c r="H22" s="3">
        <v>127.0</v>
      </c>
      <c r="I22" s="3" t="s">
        <v>27</v>
      </c>
      <c r="J22" s="3">
        <v>0.0</v>
      </c>
      <c r="L22" s="3">
        <v>1150.18477011</v>
      </c>
      <c r="N22" s="3">
        <v>0.0</v>
      </c>
      <c r="O22" s="3">
        <v>200.0</v>
      </c>
      <c r="P22" s="3">
        <v>0.0</v>
      </c>
      <c r="Q22" s="3">
        <v>635.0</v>
      </c>
      <c r="S22" s="3">
        <v>0.0</v>
      </c>
      <c r="T22" s="3" t="s">
        <v>27</v>
      </c>
      <c r="U22" s="3" t="s">
        <v>93</v>
      </c>
    </row>
    <row r="23">
      <c r="A23" s="3" t="s">
        <v>21</v>
      </c>
      <c r="B23" s="3" t="s">
        <v>22</v>
      </c>
      <c r="C23" s="3" t="s">
        <v>23</v>
      </c>
      <c r="D23" s="3" t="s">
        <v>64</v>
      </c>
      <c r="E23" s="3" t="s">
        <v>43</v>
      </c>
      <c r="F23" s="3">
        <v>0.0</v>
      </c>
      <c r="G23" s="3" t="s">
        <v>26</v>
      </c>
      <c r="H23" s="3">
        <v>141.0</v>
      </c>
      <c r="I23" s="3" t="s">
        <v>27</v>
      </c>
      <c r="J23" s="3">
        <v>0.0</v>
      </c>
      <c r="L23" s="3">
        <v>1419.01489043</v>
      </c>
      <c r="N23" s="3">
        <v>0.0</v>
      </c>
      <c r="O23" s="3">
        <v>200.0</v>
      </c>
      <c r="P23" s="3">
        <v>0.0</v>
      </c>
      <c r="Q23" s="3">
        <v>705.0</v>
      </c>
      <c r="S23" s="3">
        <v>0.0</v>
      </c>
      <c r="T23" s="3" t="s">
        <v>27</v>
      </c>
      <c r="U23" s="3" t="s">
        <v>96</v>
      </c>
    </row>
    <row r="24">
      <c r="A24" s="3" t="s">
        <v>21</v>
      </c>
      <c r="B24" s="3" t="s">
        <v>22</v>
      </c>
      <c r="C24" s="3" t="s">
        <v>23</v>
      </c>
      <c r="D24" s="3" t="s">
        <v>64</v>
      </c>
      <c r="E24" s="3" t="s">
        <v>47</v>
      </c>
      <c r="F24" s="3">
        <v>0.0</v>
      </c>
      <c r="G24" s="3" t="s">
        <v>26</v>
      </c>
      <c r="H24" s="3">
        <v>179.0</v>
      </c>
      <c r="I24" s="3" t="s">
        <v>27</v>
      </c>
      <c r="J24" s="3">
        <v>0.0</v>
      </c>
      <c r="L24" s="3">
        <v>1959.83644176</v>
      </c>
      <c r="N24" s="3">
        <v>0.0</v>
      </c>
      <c r="O24" s="3">
        <v>200.0</v>
      </c>
      <c r="P24" s="3">
        <v>0.0</v>
      </c>
      <c r="Q24" s="3">
        <v>895.0</v>
      </c>
      <c r="S24" s="3">
        <v>0.0</v>
      </c>
      <c r="T24" s="3" t="s">
        <v>27</v>
      </c>
      <c r="U24" s="3" t="s">
        <v>98</v>
      </c>
    </row>
    <row r="25">
      <c r="A25" s="3" t="s">
        <v>21</v>
      </c>
      <c r="B25" s="3" t="s">
        <v>22</v>
      </c>
      <c r="C25" s="3" t="s">
        <v>23</v>
      </c>
      <c r="D25" s="3" t="s">
        <v>64</v>
      </c>
      <c r="E25" s="3" t="s">
        <v>51</v>
      </c>
      <c r="F25" s="3">
        <v>0.0</v>
      </c>
      <c r="G25" s="3" t="s">
        <v>26</v>
      </c>
      <c r="H25" s="3">
        <v>184.0</v>
      </c>
      <c r="I25" s="3" t="s">
        <v>27</v>
      </c>
      <c r="J25" s="3">
        <v>0.0</v>
      </c>
      <c r="L25" s="3">
        <v>2835.02683711</v>
      </c>
      <c r="N25" s="3">
        <v>0.0</v>
      </c>
      <c r="O25" s="3">
        <v>200.0</v>
      </c>
      <c r="P25" s="3">
        <v>0.0</v>
      </c>
      <c r="Q25" s="3">
        <v>920.0</v>
      </c>
      <c r="S25" s="3">
        <v>0.0</v>
      </c>
      <c r="T25" s="3" t="s">
        <v>27</v>
      </c>
      <c r="U25" s="3" t="s">
        <v>101</v>
      </c>
    </row>
    <row r="26">
      <c r="A26" s="3" t="s">
        <v>21</v>
      </c>
      <c r="B26" s="3" t="s">
        <v>22</v>
      </c>
      <c r="C26" s="3" t="s">
        <v>23</v>
      </c>
      <c r="D26" s="3" t="s">
        <v>102</v>
      </c>
      <c r="E26" s="3" t="s">
        <v>25</v>
      </c>
      <c r="F26" s="3">
        <v>0.0</v>
      </c>
      <c r="G26" s="3" t="s">
        <v>26</v>
      </c>
      <c r="H26" s="3">
        <v>114.0</v>
      </c>
      <c r="I26" s="3" t="s">
        <v>27</v>
      </c>
      <c r="J26" s="3">
        <v>0.0</v>
      </c>
      <c r="L26" s="3">
        <v>2329.15684676</v>
      </c>
      <c r="M26" s="3">
        <v>33.0</v>
      </c>
      <c r="N26" s="3">
        <v>1.0</v>
      </c>
      <c r="O26" s="3">
        <v>233.0</v>
      </c>
      <c r="P26" s="3">
        <v>4.29184549356</v>
      </c>
      <c r="Q26" s="3">
        <v>489.270386266</v>
      </c>
      <c r="R26" s="3">
        <v>114.0</v>
      </c>
      <c r="S26" s="3">
        <v>0.0</v>
      </c>
      <c r="T26" s="3" t="s">
        <v>27</v>
      </c>
      <c r="U26" s="3" t="s">
        <v>104</v>
      </c>
    </row>
    <row r="27">
      <c r="A27" s="3" t="s">
        <v>21</v>
      </c>
      <c r="B27" s="3" t="s">
        <v>22</v>
      </c>
      <c r="C27" s="3" t="s">
        <v>23</v>
      </c>
      <c r="D27" s="3" t="s">
        <v>102</v>
      </c>
      <c r="E27" s="3" t="s">
        <v>34</v>
      </c>
      <c r="F27" s="3">
        <v>0.0</v>
      </c>
      <c r="G27" s="3" t="s">
        <v>26</v>
      </c>
      <c r="H27" s="3">
        <v>162.0</v>
      </c>
      <c r="I27" s="3" t="s">
        <v>27</v>
      </c>
      <c r="J27" s="3">
        <v>0.0</v>
      </c>
      <c r="L27" s="3">
        <v>6477.19026375</v>
      </c>
      <c r="N27" s="3">
        <v>0.0</v>
      </c>
      <c r="O27" s="3">
        <v>200.0</v>
      </c>
      <c r="P27" s="3">
        <v>0.0</v>
      </c>
      <c r="Q27" s="3">
        <v>810.0</v>
      </c>
      <c r="S27" s="3">
        <v>0.0</v>
      </c>
      <c r="T27" s="3" t="s">
        <v>27</v>
      </c>
      <c r="U27" s="3" t="s">
        <v>106</v>
      </c>
    </row>
    <row r="28">
      <c r="A28" s="3" t="s">
        <v>21</v>
      </c>
      <c r="B28" s="3" t="s">
        <v>22</v>
      </c>
      <c r="C28" s="3" t="s">
        <v>23</v>
      </c>
      <c r="D28" s="3" t="s">
        <v>102</v>
      </c>
      <c r="E28" s="3" t="s">
        <v>39</v>
      </c>
      <c r="F28" s="3">
        <v>0.0</v>
      </c>
      <c r="G28" s="3" t="s">
        <v>26</v>
      </c>
      <c r="H28" s="3">
        <v>149.0</v>
      </c>
      <c r="I28" s="3" t="s">
        <v>27</v>
      </c>
      <c r="J28" s="3">
        <v>0.0</v>
      </c>
      <c r="L28" s="3">
        <v>4148.53705287</v>
      </c>
      <c r="M28" s="3">
        <v>76.0</v>
      </c>
      <c r="N28" s="3">
        <v>2.0</v>
      </c>
      <c r="O28" s="3">
        <v>337.0</v>
      </c>
      <c r="P28" s="3">
        <v>5.93471810089</v>
      </c>
      <c r="Q28" s="3">
        <v>442.136498516</v>
      </c>
      <c r="R28" s="3">
        <v>74.5</v>
      </c>
      <c r="S28" s="3">
        <v>0.0</v>
      </c>
      <c r="T28" s="3" t="s">
        <v>27</v>
      </c>
      <c r="U28" s="3" t="s">
        <v>108</v>
      </c>
    </row>
    <row r="29">
      <c r="A29" s="3" t="s">
        <v>21</v>
      </c>
      <c r="B29" s="3" t="s">
        <v>22</v>
      </c>
      <c r="C29" s="3" t="s">
        <v>23</v>
      </c>
      <c r="D29" s="3" t="s">
        <v>102</v>
      </c>
      <c r="E29" s="3" t="s">
        <v>43</v>
      </c>
      <c r="F29" s="3">
        <v>0.0</v>
      </c>
      <c r="G29" s="3" t="s">
        <v>26</v>
      </c>
      <c r="H29" s="3">
        <v>315.0</v>
      </c>
      <c r="I29" s="3" t="s">
        <v>27</v>
      </c>
      <c r="J29" s="3">
        <v>0.0</v>
      </c>
      <c r="L29" s="3">
        <v>13571.3986709</v>
      </c>
      <c r="M29" s="3">
        <v>112.0</v>
      </c>
      <c r="N29" s="3">
        <v>3.0</v>
      </c>
      <c r="O29" s="3">
        <v>459.0</v>
      </c>
      <c r="P29" s="3">
        <v>6.53594771242</v>
      </c>
      <c r="Q29" s="3">
        <v>686.274509804</v>
      </c>
      <c r="R29" s="3">
        <v>105.0</v>
      </c>
      <c r="S29" s="3">
        <v>0.0</v>
      </c>
      <c r="T29" s="3" t="s">
        <v>27</v>
      </c>
      <c r="U29" s="3" t="s">
        <v>110</v>
      </c>
    </row>
    <row r="30">
      <c r="A30" s="3" t="s">
        <v>21</v>
      </c>
      <c r="B30" s="3" t="s">
        <v>22</v>
      </c>
      <c r="C30" s="3" t="s">
        <v>23</v>
      </c>
      <c r="D30" s="3" t="s">
        <v>102</v>
      </c>
      <c r="E30" s="3" t="s">
        <v>47</v>
      </c>
      <c r="F30" s="3">
        <v>0.0</v>
      </c>
      <c r="G30" s="3" t="s">
        <v>26</v>
      </c>
      <c r="H30" s="3">
        <v>182.0</v>
      </c>
      <c r="I30" s="3" t="s">
        <v>27</v>
      </c>
      <c r="J30" s="3">
        <v>0.0</v>
      </c>
      <c r="L30" s="3">
        <v>10998.9040668</v>
      </c>
      <c r="N30" s="3">
        <v>0.0</v>
      </c>
      <c r="O30" s="3">
        <v>200.0</v>
      </c>
      <c r="P30" s="3">
        <v>0.0</v>
      </c>
      <c r="Q30" s="3">
        <v>910.0</v>
      </c>
      <c r="S30" s="3">
        <v>0.0</v>
      </c>
      <c r="T30" s="3" t="s">
        <v>27</v>
      </c>
      <c r="U30" s="3" t="s">
        <v>112</v>
      </c>
    </row>
    <row r="31">
      <c r="A31" s="3" t="s">
        <v>21</v>
      </c>
      <c r="B31" s="3" t="s">
        <v>22</v>
      </c>
      <c r="C31" s="3" t="s">
        <v>23</v>
      </c>
      <c r="D31" s="3" t="s">
        <v>102</v>
      </c>
      <c r="E31" s="3" t="s">
        <v>51</v>
      </c>
      <c r="F31" s="3">
        <v>0.0</v>
      </c>
      <c r="G31" s="3" t="s">
        <v>26</v>
      </c>
      <c r="H31" s="3">
        <v>172.0</v>
      </c>
      <c r="I31" s="3" t="s">
        <v>27</v>
      </c>
      <c r="J31" s="3">
        <v>0.0</v>
      </c>
      <c r="L31" s="3">
        <v>10092.0109999</v>
      </c>
      <c r="N31" s="3">
        <v>0.0</v>
      </c>
      <c r="O31" s="3">
        <v>200.0</v>
      </c>
      <c r="P31" s="3">
        <v>0.0</v>
      </c>
      <c r="Q31" s="3">
        <v>860.0</v>
      </c>
      <c r="S31" s="3">
        <v>0.0</v>
      </c>
      <c r="T31" s="3" t="s">
        <v>27</v>
      </c>
      <c r="U31" s="3" t="s">
        <v>117</v>
      </c>
    </row>
    <row r="32">
      <c r="A32" s="3" t="s">
        <v>21</v>
      </c>
      <c r="B32" s="3" t="s">
        <v>22</v>
      </c>
      <c r="C32" s="3" t="s">
        <v>23</v>
      </c>
      <c r="D32" s="3" t="s">
        <v>118</v>
      </c>
      <c r="E32" s="3" t="s">
        <v>25</v>
      </c>
      <c r="F32" s="3">
        <v>0.0</v>
      </c>
      <c r="G32" s="3" t="s">
        <v>26</v>
      </c>
      <c r="H32" s="3">
        <v>28.0</v>
      </c>
      <c r="I32" s="3" t="s">
        <v>27</v>
      </c>
      <c r="J32" s="3">
        <v>0.0</v>
      </c>
      <c r="L32" s="3">
        <v>578.211290598</v>
      </c>
      <c r="M32" s="3">
        <v>32.0</v>
      </c>
      <c r="N32" s="3">
        <v>1.0</v>
      </c>
      <c r="O32" s="3">
        <v>232.0</v>
      </c>
      <c r="P32" s="3">
        <v>4.31034482759</v>
      </c>
      <c r="Q32" s="3">
        <v>120.689655172</v>
      </c>
      <c r="R32" s="3">
        <v>28.0</v>
      </c>
      <c r="S32" s="3">
        <v>0.0</v>
      </c>
      <c r="T32" s="3" t="s">
        <v>27</v>
      </c>
      <c r="U32" s="3" t="s">
        <v>122</v>
      </c>
    </row>
    <row r="33">
      <c r="A33" s="3" t="s">
        <v>21</v>
      </c>
      <c r="B33" s="3" t="s">
        <v>22</v>
      </c>
      <c r="C33" s="3" t="s">
        <v>23</v>
      </c>
      <c r="D33" s="3" t="s">
        <v>118</v>
      </c>
      <c r="E33" s="3" t="s">
        <v>34</v>
      </c>
      <c r="F33" s="3">
        <v>0.0</v>
      </c>
      <c r="G33" s="3" t="s">
        <v>26</v>
      </c>
      <c r="H33" s="3">
        <v>139.0</v>
      </c>
      <c r="I33" s="3" t="s">
        <v>27</v>
      </c>
      <c r="J33" s="3">
        <v>0.0</v>
      </c>
      <c r="L33" s="3">
        <v>3843.56942225</v>
      </c>
      <c r="M33" s="3">
        <v>168.0</v>
      </c>
      <c r="N33" s="3">
        <v>1.0</v>
      </c>
      <c r="O33" s="3">
        <v>368.0</v>
      </c>
      <c r="P33" s="3">
        <v>2.71739130435</v>
      </c>
      <c r="Q33" s="3">
        <v>377.717391304</v>
      </c>
      <c r="R33" s="3">
        <v>139.0</v>
      </c>
      <c r="S33" s="3">
        <v>0.0</v>
      </c>
      <c r="T33" s="3" t="s">
        <v>27</v>
      </c>
      <c r="U33" s="3" t="s">
        <v>125</v>
      </c>
    </row>
    <row r="34">
      <c r="A34" s="3" t="s">
        <v>21</v>
      </c>
      <c r="B34" s="3" t="s">
        <v>22</v>
      </c>
      <c r="C34" s="3" t="s">
        <v>23</v>
      </c>
      <c r="D34" s="3" t="s">
        <v>118</v>
      </c>
      <c r="E34" s="3" t="s">
        <v>39</v>
      </c>
      <c r="F34" s="3">
        <v>0.0</v>
      </c>
      <c r="G34" s="3" t="s">
        <v>26</v>
      </c>
      <c r="H34" s="3">
        <v>202.0</v>
      </c>
      <c r="I34" s="3" t="s">
        <v>27</v>
      </c>
      <c r="J34" s="3">
        <v>0.0</v>
      </c>
      <c r="L34" s="3">
        <v>5339.39674425</v>
      </c>
      <c r="M34" s="3">
        <v>116.0</v>
      </c>
      <c r="N34" s="3">
        <v>2.0</v>
      </c>
      <c r="O34" s="3">
        <v>366.0</v>
      </c>
      <c r="P34" s="3">
        <v>5.46448087432</v>
      </c>
      <c r="Q34" s="3">
        <v>551.912568306</v>
      </c>
      <c r="R34" s="3">
        <v>101.0</v>
      </c>
      <c r="S34" s="3">
        <v>0.0</v>
      </c>
      <c r="T34" s="3" t="s">
        <v>27</v>
      </c>
      <c r="U34" s="3" t="s">
        <v>128</v>
      </c>
    </row>
    <row r="35">
      <c r="A35" s="3" t="s">
        <v>21</v>
      </c>
      <c r="B35" s="3" t="s">
        <v>22</v>
      </c>
      <c r="C35" s="3" t="s">
        <v>23</v>
      </c>
      <c r="D35" s="3" t="s">
        <v>118</v>
      </c>
      <c r="E35" s="3" t="s">
        <v>43</v>
      </c>
      <c r="F35" s="3">
        <v>0.0</v>
      </c>
      <c r="G35" s="3" t="s">
        <v>26</v>
      </c>
      <c r="H35" s="3">
        <v>200.0</v>
      </c>
      <c r="I35" s="3" t="s">
        <v>27</v>
      </c>
      <c r="J35" s="3">
        <v>0.0</v>
      </c>
      <c r="L35" s="3">
        <v>6340.13738751</v>
      </c>
      <c r="N35" s="3">
        <v>0.0</v>
      </c>
      <c r="O35" s="3">
        <v>200.0</v>
      </c>
      <c r="P35" s="3">
        <v>0.0</v>
      </c>
      <c r="Q35" s="3">
        <v>1000.0</v>
      </c>
      <c r="S35" s="3">
        <v>0.0</v>
      </c>
      <c r="T35" s="3" t="s">
        <v>27</v>
      </c>
      <c r="U35" s="3" t="s">
        <v>130</v>
      </c>
    </row>
    <row r="36">
      <c r="A36" s="3" t="s">
        <v>21</v>
      </c>
      <c r="B36" s="3" t="s">
        <v>22</v>
      </c>
      <c r="C36" s="3" t="s">
        <v>23</v>
      </c>
      <c r="D36" s="3" t="s">
        <v>118</v>
      </c>
      <c r="E36" s="3" t="s">
        <v>47</v>
      </c>
      <c r="F36" s="3">
        <v>0.0</v>
      </c>
      <c r="G36" s="3" t="s">
        <v>26</v>
      </c>
      <c r="H36" s="3">
        <v>149.0</v>
      </c>
      <c r="I36" s="3" t="s">
        <v>27</v>
      </c>
      <c r="J36" s="3">
        <v>0.0</v>
      </c>
      <c r="L36" s="3">
        <v>3904.98350525</v>
      </c>
      <c r="N36" s="3">
        <v>0.0</v>
      </c>
      <c r="O36" s="3">
        <v>200.0</v>
      </c>
      <c r="P36" s="3">
        <v>0.0</v>
      </c>
      <c r="Q36" s="3">
        <v>745.0</v>
      </c>
      <c r="S36" s="3">
        <v>0.0</v>
      </c>
      <c r="T36" s="3" t="s">
        <v>27</v>
      </c>
      <c r="U36" s="3" t="s">
        <v>132</v>
      </c>
    </row>
    <row r="37">
      <c r="A37" s="3" t="s">
        <v>21</v>
      </c>
      <c r="B37" s="3" t="s">
        <v>22</v>
      </c>
      <c r="C37" s="3" t="s">
        <v>23</v>
      </c>
      <c r="D37" s="3" t="s">
        <v>118</v>
      </c>
      <c r="E37" s="3" t="s">
        <v>51</v>
      </c>
      <c r="F37" s="3">
        <v>0.0</v>
      </c>
      <c r="G37" s="3" t="s">
        <v>26</v>
      </c>
      <c r="H37" s="3">
        <v>113.0</v>
      </c>
      <c r="I37" s="3" t="s">
        <v>27</v>
      </c>
      <c r="J37" s="3">
        <v>0.0</v>
      </c>
      <c r="L37" s="3">
        <v>2980.26451039</v>
      </c>
      <c r="N37" s="3">
        <v>0.0</v>
      </c>
      <c r="O37" s="3">
        <v>200.0</v>
      </c>
      <c r="P37" s="3">
        <v>0.0</v>
      </c>
      <c r="Q37" s="3">
        <v>565.0</v>
      </c>
      <c r="S37" s="3">
        <v>0.0</v>
      </c>
      <c r="T37" s="3" t="s">
        <v>27</v>
      </c>
      <c r="U37" s="3" t="s">
        <v>134</v>
      </c>
    </row>
    <row r="38">
      <c r="A38" s="3" t="s">
        <v>21</v>
      </c>
      <c r="B38" s="3" t="s">
        <v>114</v>
      </c>
      <c r="C38" s="3" t="s">
        <v>35</v>
      </c>
      <c r="D38" s="3" t="s">
        <v>24</v>
      </c>
      <c r="E38" s="3" t="s">
        <v>25</v>
      </c>
      <c r="F38" s="3">
        <v>0.0</v>
      </c>
      <c r="G38" s="3" t="s">
        <v>136</v>
      </c>
      <c r="H38" s="3">
        <v>123.0</v>
      </c>
      <c r="I38" s="3">
        <v>0.0</v>
      </c>
      <c r="J38" s="3">
        <v>0.0</v>
      </c>
      <c r="L38" s="3">
        <v>98.2719070911</v>
      </c>
      <c r="N38" s="3">
        <v>0.0</v>
      </c>
      <c r="O38" s="3">
        <v>200.0</v>
      </c>
      <c r="P38" s="3">
        <v>0.0</v>
      </c>
      <c r="Q38" s="3">
        <v>615.0</v>
      </c>
      <c r="S38" s="3">
        <v>0.0</v>
      </c>
      <c r="T38" s="3">
        <v>0.0</v>
      </c>
      <c r="U38" s="3" t="s">
        <v>138</v>
      </c>
    </row>
    <row r="39">
      <c r="A39" s="3" t="s">
        <v>21</v>
      </c>
      <c r="B39" s="3" t="s">
        <v>114</v>
      </c>
      <c r="C39" s="3" t="s">
        <v>35</v>
      </c>
      <c r="D39" s="3" t="s">
        <v>24</v>
      </c>
      <c r="E39" s="3" t="s">
        <v>34</v>
      </c>
      <c r="F39" s="3">
        <v>0.0</v>
      </c>
      <c r="G39" s="3" t="s">
        <v>136</v>
      </c>
      <c r="H39" s="3">
        <v>338.0</v>
      </c>
      <c r="I39" s="3">
        <v>0.0</v>
      </c>
      <c r="J39" s="3">
        <v>0.0</v>
      </c>
      <c r="L39" s="3">
        <v>255.501661062</v>
      </c>
      <c r="N39" s="3">
        <v>0.0</v>
      </c>
      <c r="O39" s="3">
        <v>200.0</v>
      </c>
      <c r="P39" s="3">
        <v>0.0</v>
      </c>
      <c r="Q39" s="3">
        <v>1690.0</v>
      </c>
      <c r="S39" s="3">
        <v>0.0</v>
      </c>
      <c r="T39" s="3">
        <v>0.0</v>
      </c>
      <c r="U39" s="3" t="s">
        <v>140</v>
      </c>
    </row>
    <row r="40">
      <c r="A40" s="3" t="s">
        <v>21</v>
      </c>
      <c r="B40" s="3" t="s">
        <v>114</v>
      </c>
      <c r="C40" s="3" t="s">
        <v>35</v>
      </c>
      <c r="D40" s="3" t="s">
        <v>24</v>
      </c>
      <c r="E40" s="3" t="s">
        <v>39</v>
      </c>
      <c r="F40" s="3">
        <v>0.0</v>
      </c>
      <c r="G40" s="3" t="s">
        <v>136</v>
      </c>
      <c r="H40" s="3">
        <v>186.0</v>
      </c>
      <c r="I40" s="3">
        <v>0.0</v>
      </c>
      <c r="J40" s="3">
        <v>0.0</v>
      </c>
      <c r="L40" s="3">
        <v>109.009232998</v>
      </c>
      <c r="N40" s="3">
        <v>0.0</v>
      </c>
      <c r="O40" s="3">
        <v>200.0</v>
      </c>
      <c r="P40" s="3">
        <v>0.0</v>
      </c>
      <c r="Q40" s="3">
        <v>930.0</v>
      </c>
      <c r="S40" s="3">
        <v>0.0</v>
      </c>
      <c r="T40" s="3">
        <v>0.0</v>
      </c>
      <c r="U40" s="3" t="s">
        <v>142</v>
      </c>
    </row>
    <row r="41">
      <c r="A41" s="3" t="s">
        <v>21</v>
      </c>
      <c r="B41" s="3" t="s">
        <v>114</v>
      </c>
      <c r="C41" s="3" t="s">
        <v>35</v>
      </c>
      <c r="D41" s="3" t="s">
        <v>24</v>
      </c>
      <c r="E41" s="3" t="s">
        <v>43</v>
      </c>
      <c r="F41" s="3">
        <v>0.0</v>
      </c>
      <c r="G41" s="3" t="s">
        <v>136</v>
      </c>
      <c r="H41" s="3">
        <v>194.0</v>
      </c>
      <c r="I41" s="3">
        <v>0.0</v>
      </c>
      <c r="J41" s="3">
        <v>0.0</v>
      </c>
      <c r="L41" s="3">
        <v>163.98154664</v>
      </c>
      <c r="N41" s="3">
        <v>0.0</v>
      </c>
      <c r="O41" s="3">
        <v>200.0</v>
      </c>
      <c r="P41" s="3">
        <v>0.0</v>
      </c>
      <c r="Q41" s="3">
        <v>970.0</v>
      </c>
      <c r="S41" s="3">
        <v>0.0</v>
      </c>
      <c r="T41" s="3">
        <v>0.0</v>
      </c>
      <c r="U41" s="3" t="s">
        <v>144</v>
      </c>
    </row>
    <row r="42">
      <c r="A42" s="3" t="s">
        <v>21</v>
      </c>
      <c r="B42" s="3" t="s">
        <v>114</v>
      </c>
      <c r="C42" s="3" t="s">
        <v>35</v>
      </c>
      <c r="D42" s="3" t="s">
        <v>24</v>
      </c>
      <c r="E42" s="3" t="s">
        <v>47</v>
      </c>
      <c r="F42" s="3">
        <v>0.0</v>
      </c>
      <c r="G42" s="3" t="s">
        <v>136</v>
      </c>
      <c r="H42" s="3">
        <v>218.0</v>
      </c>
      <c r="I42" s="3">
        <v>0.0</v>
      </c>
      <c r="J42" s="3">
        <v>0.0</v>
      </c>
      <c r="L42" s="3">
        <v>163.035543203</v>
      </c>
      <c r="N42" s="3">
        <v>0.0</v>
      </c>
      <c r="O42" s="3">
        <v>200.0</v>
      </c>
      <c r="P42" s="3">
        <v>0.0</v>
      </c>
      <c r="Q42" s="3">
        <v>1090.0</v>
      </c>
      <c r="S42" s="3">
        <v>0.0</v>
      </c>
      <c r="T42" s="3">
        <v>0.0</v>
      </c>
      <c r="U42" s="3" t="s">
        <v>147</v>
      </c>
    </row>
    <row r="43">
      <c r="A43" s="3" t="s">
        <v>21</v>
      </c>
      <c r="B43" s="3" t="s">
        <v>114</v>
      </c>
      <c r="C43" s="3" t="s">
        <v>35</v>
      </c>
      <c r="D43" s="3" t="s">
        <v>24</v>
      </c>
      <c r="E43" s="3" t="s">
        <v>51</v>
      </c>
      <c r="F43" s="3">
        <v>0.0</v>
      </c>
      <c r="G43" s="3" t="s">
        <v>136</v>
      </c>
      <c r="H43" s="3">
        <v>401.0</v>
      </c>
      <c r="I43" s="3">
        <v>0.0</v>
      </c>
      <c r="J43" s="3">
        <v>0.0</v>
      </c>
      <c r="L43" s="3">
        <v>374.548250675</v>
      </c>
      <c r="N43" s="3">
        <v>0.0</v>
      </c>
      <c r="O43" s="3">
        <v>200.0</v>
      </c>
      <c r="P43" s="3">
        <v>0.0</v>
      </c>
      <c r="Q43" s="3">
        <v>2005.0</v>
      </c>
      <c r="S43" s="3">
        <v>0.0</v>
      </c>
      <c r="T43" s="3">
        <v>0.0</v>
      </c>
      <c r="U43" s="3" t="s">
        <v>150</v>
      </c>
    </row>
    <row r="44">
      <c r="A44" s="3" t="s">
        <v>21</v>
      </c>
      <c r="B44" s="3" t="s">
        <v>114</v>
      </c>
      <c r="C44" s="3" t="s">
        <v>35</v>
      </c>
      <c r="D44" s="3" t="s">
        <v>54</v>
      </c>
      <c r="E44" s="3" t="s">
        <v>25</v>
      </c>
      <c r="F44" s="3">
        <v>0.0</v>
      </c>
      <c r="G44" s="3" t="s">
        <v>136</v>
      </c>
      <c r="H44" s="3">
        <v>102.0</v>
      </c>
      <c r="I44" s="3">
        <v>0.0</v>
      </c>
      <c r="J44" s="3">
        <v>0.0</v>
      </c>
      <c r="L44" s="3">
        <v>122.803663969</v>
      </c>
      <c r="N44" s="3">
        <v>0.0</v>
      </c>
      <c r="O44" s="3">
        <v>200.0</v>
      </c>
      <c r="P44" s="3">
        <v>0.0</v>
      </c>
      <c r="Q44" s="3">
        <v>510.0</v>
      </c>
      <c r="S44" s="3">
        <v>0.0</v>
      </c>
      <c r="T44" s="3">
        <v>0.0</v>
      </c>
      <c r="U44" s="3" t="s">
        <v>158</v>
      </c>
    </row>
    <row r="45">
      <c r="A45" s="3" t="s">
        <v>21</v>
      </c>
      <c r="B45" s="3" t="s">
        <v>114</v>
      </c>
      <c r="C45" s="3" t="s">
        <v>35</v>
      </c>
      <c r="D45" s="3" t="s">
        <v>54</v>
      </c>
      <c r="E45" s="3" t="s">
        <v>34</v>
      </c>
      <c r="F45" s="3">
        <v>0.0</v>
      </c>
      <c r="G45" s="3" t="s">
        <v>136</v>
      </c>
      <c r="H45" s="3">
        <v>284.0</v>
      </c>
      <c r="I45" s="3">
        <v>0.0</v>
      </c>
      <c r="J45" s="3">
        <v>0.0</v>
      </c>
      <c r="L45" s="3">
        <v>365.217968464</v>
      </c>
      <c r="N45" s="3">
        <v>0.0</v>
      </c>
      <c r="O45" s="3">
        <v>200.0</v>
      </c>
      <c r="P45" s="3">
        <v>0.0</v>
      </c>
      <c r="Q45" s="3">
        <v>1420.0</v>
      </c>
      <c r="S45" s="3">
        <v>0.0</v>
      </c>
      <c r="T45" s="3">
        <v>0.0</v>
      </c>
      <c r="U45" s="3" t="s">
        <v>161</v>
      </c>
    </row>
    <row r="46">
      <c r="A46" s="3" t="s">
        <v>21</v>
      </c>
      <c r="B46" s="3" t="s">
        <v>114</v>
      </c>
      <c r="C46" s="3" t="s">
        <v>35</v>
      </c>
      <c r="D46" s="3" t="s">
        <v>54</v>
      </c>
      <c r="E46" s="3" t="s">
        <v>39</v>
      </c>
      <c r="F46" s="3">
        <v>0.0</v>
      </c>
      <c r="G46" s="3" t="s">
        <v>136</v>
      </c>
      <c r="H46" s="3">
        <v>171.0</v>
      </c>
      <c r="I46" s="3">
        <v>0.0</v>
      </c>
      <c r="J46" s="3">
        <v>0.0</v>
      </c>
      <c r="L46" s="3">
        <v>216.674551964</v>
      </c>
      <c r="N46" s="3">
        <v>0.0</v>
      </c>
      <c r="O46" s="3">
        <v>200.0</v>
      </c>
      <c r="P46" s="3">
        <v>0.0</v>
      </c>
      <c r="Q46" s="3">
        <v>855.0</v>
      </c>
      <c r="S46" s="3">
        <v>0.0</v>
      </c>
      <c r="T46" s="3">
        <v>0.0</v>
      </c>
      <c r="U46" s="3" t="s">
        <v>163</v>
      </c>
    </row>
    <row r="47">
      <c r="A47" s="3" t="s">
        <v>21</v>
      </c>
      <c r="B47" s="3" t="s">
        <v>114</v>
      </c>
      <c r="C47" s="3" t="s">
        <v>35</v>
      </c>
      <c r="D47" s="3" t="s">
        <v>54</v>
      </c>
      <c r="E47" s="3" t="s">
        <v>43</v>
      </c>
      <c r="F47" s="3">
        <v>0.0</v>
      </c>
      <c r="G47" s="3" t="s">
        <v>136</v>
      </c>
      <c r="H47" s="3">
        <v>193.0</v>
      </c>
      <c r="I47" s="3">
        <v>0.0</v>
      </c>
      <c r="J47" s="3">
        <v>0.0</v>
      </c>
      <c r="L47" s="3">
        <v>245.542430401</v>
      </c>
      <c r="N47" s="3">
        <v>0.0</v>
      </c>
      <c r="O47" s="3">
        <v>200.0</v>
      </c>
      <c r="P47" s="3">
        <v>0.0</v>
      </c>
      <c r="Q47" s="3">
        <v>965.0</v>
      </c>
      <c r="S47" s="3">
        <v>0.0</v>
      </c>
      <c r="T47" s="3">
        <v>0.0</v>
      </c>
      <c r="U47" s="3" t="s">
        <v>165</v>
      </c>
    </row>
    <row r="48">
      <c r="A48" s="3" t="s">
        <v>21</v>
      </c>
      <c r="B48" s="3" t="s">
        <v>114</v>
      </c>
      <c r="C48" s="3" t="s">
        <v>35</v>
      </c>
      <c r="D48" s="3" t="s">
        <v>54</v>
      </c>
      <c r="E48" s="3" t="s">
        <v>47</v>
      </c>
      <c r="F48" s="3">
        <v>0.0</v>
      </c>
      <c r="G48" s="3" t="s">
        <v>136</v>
      </c>
      <c r="H48" s="3">
        <v>68.0</v>
      </c>
      <c r="I48" s="3">
        <v>0.0</v>
      </c>
      <c r="J48" s="3">
        <v>0.0</v>
      </c>
      <c r="L48" s="3">
        <v>92.5630168915</v>
      </c>
      <c r="N48" s="3">
        <v>0.0</v>
      </c>
      <c r="O48" s="3">
        <v>200.0</v>
      </c>
      <c r="P48" s="3">
        <v>0.0</v>
      </c>
      <c r="Q48" s="3">
        <v>340.0</v>
      </c>
      <c r="S48" s="3">
        <v>0.0</v>
      </c>
      <c r="T48" s="3">
        <v>0.0</v>
      </c>
      <c r="U48" s="3" t="s">
        <v>168</v>
      </c>
    </row>
    <row r="49">
      <c r="A49" s="3" t="s">
        <v>21</v>
      </c>
      <c r="B49" s="3" t="s">
        <v>114</v>
      </c>
      <c r="C49" s="3" t="s">
        <v>35</v>
      </c>
      <c r="D49" s="3" t="s">
        <v>54</v>
      </c>
      <c r="E49" s="3" t="s">
        <v>51</v>
      </c>
      <c r="F49" s="3">
        <v>0.0</v>
      </c>
      <c r="G49" s="3" t="s">
        <v>136</v>
      </c>
      <c r="H49" s="3">
        <v>86.0</v>
      </c>
      <c r="I49" s="3">
        <v>0.0</v>
      </c>
      <c r="J49" s="3">
        <v>0.0</v>
      </c>
      <c r="L49" s="3">
        <v>129.143208265</v>
      </c>
      <c r="N49" s="3">
        <v>0.0</v>
      </c>
      <c r="O49" s="3">
        <v>200.0</v>
      </c>
      <c r="P49" s="3">
        <v>0.0</v>
      </c>
      <c r="Q49" s="3">
        <v>430.0</v>
      </c>
      <c r="S49" s="3">
        <v>0.0</v>
      </c>
      <c r="T49" s="3">
        <v>0.0</v>
      </c>
      <c r="U49" s="3" t="s">
        <v>170</v>
      </c>
    </row>
    <row r="50">
      <c r="A50" s="3" t="s">
        <v>21</v>
      </c>
      <c r="B50" s="3" t="s">
        <v>114</v>
      </c>
      <c r="C50" s="3" t="s">
        <v>35</v>
      </c>
      <c r="D50" s="3" t="s">
        <v>72</v>
      </c>
      <c r="E50" s="3" t="s">
        <v>25</v>
      </c>
      <c r="F50" s="3">
        <v>0.0</v>
      </c>
      <c r="G50" s="3" t="s">
        <v>136</v>
      </c>
      <c r="H50" s="3">
        <v>270.0</v>
      </c>
      <c r="I50" s="3">
        <v>0.0</v>
      </c>
      <c r="J50" s="3">
        <v>0.0</v>
      </c>
      <c r="L50" s="3">
        <v>442.40480423</v>
      </c>
      <c r="N50" s="3">
        <v>0.0</v>
      </c>
      <c r="O50" s="3">
        <v>200.0</v>
      </c>
      <c r="P50" s="3">
        <v>0.0</v>
      </c>
      <c r="Q50" s="3">
        <v>1350.0</v>
      </c>
      <c r="S50" s="3">
        <v>0.0</v>
      </c>
      <c r="T50" s="3">
        <v>0.0</v>
      </c>
      <c r="U50" s="3" t="s">
        <v>172</v>
      </c>
    </row>
    <row r="51">
      <c r="A51" s="3" t="s">
        <v>21</v>
      </c>
      <c r="B51" s="3" t="s">
        <v>114</v>
      </c>
      <c r="C51" s="3" t="s">
        <v>35</v>
      </c>
      <c r="D51" s="3" t="s">
        <v>72</v>
      </c>
      <c r="E51" s="3" t="s">
        <v>34</v>
      </c>
      <c r="F51" s="3">
        <v>0.0</v>
      </c>
      <c r="G51" s="3" t="s">
        <v>136</v>
      </c>
      <c r="H51" s="3">
        <v>261.0</v>
      </c>
      <c r="I51" s="3">
        <v>0.0</v>
      </c>
      <c r="J51" s="3">
        <v>0.0</v>
      </c>
      <c r="L51" s="3">
        <v>494.204506874</v>
      </c>
      <c r="N51" s="3">
        <v>0.0</v>
      </c>
      <c r="O51" s="3">
        <v>200.0</v>
      </c>
      <c r="P51" s="3">
        <v>0.0</v>
      </c>
      <c r="Q51" s="3">
        <v>1305.0</v>
      </c>
      <c r="S51" s="3">
        <v>0.0</v>
      </c>
      <c r="T51" s="3">
        <v>0.0</v>
      </c>
      <c r="U51" s="3" t="s">
        <v>175</v>
      </c>
    </row>
    <row r="52">
      <c r="A52" s="3" t="s">
        <v>21</v>
      </c>
      <c r="B52" s="3" t="s">
        <v>114</v>
      </c>
      <c r="C52" s="3" t="s">
        <v>35</v>
      </c>
      <c r="D52" s="3" t="s">
        <v>72</v>
      </c>
      <c r="E52" s="3" t="s">
        <v>39</v>
      </c>
      <c r="F52" s="3">
        <v>0.0</v>
      </c>
      <c r="G52" s="3" t="s">
        <v>136</v>
      </c>
      <c r="H52" s="3">
        <v>198.0</v>
      </c>
      <c r="I52" s="3">
        <v>0.0</v>
      </c>
      <c r="J52" s="3">
        <v>0.0</v>
      </c>
      <c r="L52" s="3">
        <v>455.298883438</v>
      </c>
      <c r="N52" s="3">
        <v>0.0</v>
      </c>
      <c r="O52" s="3">
        <v>200.0</v>
      </c>
      <c r="P52" s="3">
        <v>0.0</v>
      </c>
      <c r="Q52" s="3">
        <v>990.0</v>
      </c>
      <c r="S52" s="3">
        <v>0.0</v>
      </c>
      <c r="T52" s="3">
        <v>0.0</v>
      </c>
      <c r="U52" s="3" t="s">
        <v>177</v>
      </c>
    </row>
    <row r="53">
      <c r="A53" s="3" t="s">
        <v>21</v>
      </c>
      <c r="B53" s="3" t="s">
        <v>114</v>
      </c>
      <c r="C53" s="3" t="s">
        <v>35</v>
      </c>
      <c r="D53" s="3" t="s">
        <v>72</v>
      </c>
      <c r="E53" s="3" t="s">
        <v>43</v>
      </c>
      <c r="F53" s="3">
        <v>0.0</v>
      </c>
      <c r="G53" s="3" t="s">
        <v>136</v>
      </c>
      <c r="H53" s="3">
        <v>158.0</v>
      </c>
      <c r="I53" s="3">
        <v>0.0</v>
      </c>
      <c r="J53" s="3">
        <v>0.0</v>
      </c>
      <c r="L53" s="3">
        <v>355.557105064</v>
      </c>
      <c r="N53" s="3">
        <v>0.0</v>
      </c>
      <c r="O53" s="3">
        <v>200.0</v>
      </c>
      <c r="P53" s="3">
        <v>0.0</v>
      </c>
      <c r="Q53" s="3">
        <v>790.0</v>
      </c>
      <c r="S53" s="3">
        <v>0.0</v>
      </c>
      <c r="T53" s="3">
        <v>0.0</v>
      </c>
      <c r="U53" s="3" t="s">
        <v>179</v>
      </c>
    </row>
    <row r="54">
      <c r="A54" s="3" t="s">
        <v>21</v>
      </c>
      <c r="B54" s="3" t="s">
        <v>114</v>
      </c>
      <c r="C54" s="3" t="s">
        <v>35</v>
      </c>
      <c r="D54" s="3" t="s">
        <v>72</v>
      </c>
      <c r="E54" s="3" t="s">
        <v>47</v>
      </c>
      <c r="F54" s="3">
        <v>0.0</v>
      </c>
      <c r="G54" s="3" t="s">
        <v>136</v>
      </c>
      <c r="H54" s="3">
        <v>70.0</v>
      </c>
      <c r="I54" s="3">
        <v>0.0</v>
      </c>
      <c r="J54" s="3">
        <v>0.0</v>
      </c>
      <c r="L54" s="3">
        <v>141.848517179</v>
      </c>
      <c r="N54" s="3">
        <v>0.0</v>
      </c>
      <c r="O54" s="3">
        <v>200.0</v>
      </c>
      <c r="P54" s="3">
        <v>0.0</v>
      </c>
      <c r="Q54" s="3">
        <v>350.0</v>
      </c>
      <c r="S54" s="3">
        <v>0.0</v>
      </c>
      <c r="T54" s="3">
        <v>0.0</v>
      </c>
      <c r="U54" s="3" t="s">
        <v>181</v>
      </c>
    </row>
    <row r="55">
      <c r="A55" s="3" t="s">
        <v>21</v>
      </c>
      <c r="B55" s="3" t="s">
        <v>114</v>
      </c>
      <c r="C55" s="3" t="s">
        <v>35</v>
      </c>
      <c r="D55" s="3" t="s">
        <v>72</v>
      </c>
      <c r="E55" s="3" t="s">
        <v>51</v>
      </c>
      <c r="F55" s="3">
        <v>0.0</v>
      </c>
      <c r="G55" s="3" t="s">
        <v>136</v>
      </c>
      <c r="H55" s="3">
        <v>72.0</v>
      </c>
      <c r="I55" s="3">
        <v>0.0</v>
      </c>
      <c r="J55" s="3">
        <v>0.0</v>
      </c>
      <c r="L55" s="3">
        <v>179.715654612</v>
      </c>
      <c r="N55" s="3">
        <v>0.0</v>
      </c>
      <c r="O55" s="3">
        <v>200.0</v>
      </c>
      <c r="P55" s="3">
        <v>0.0</v>
      </c>
      <c r="Q55" s="3">
        <v>360.0</v>
      </c>
      <c r="S55" s="3">
        <v>0.0</v>
      </c>
      <c r="T55" s="3">
        <v>0.0</v>
      </c>
      <c r="U55" s="3" t="s">
        <v>183</v>
      </c>
    </row>
    <row r="56">
      <c r="A56" s="3" t="s">
        <v>21</v>
      </c>
      <c r="B56" s="3" t="s">
        <v>114</v>
      </c>
      <c r="C56" s="3" t="s">
        <v>35</v>
      </c>
      <c r="D56" s="3" t="s">
        <v>64</v>
      </c>
      <c r="E56" s="3" t="s">
        <v>25</v>
      </c>
      <c r="F56" s="3">
        <v>0.0</v>
      </c>
      <c r="G56" s="3" t="s">
        <v>136</v>
      </c>
      <c r="H56" s="3">
        <v>166.0</v>
      </c>
      <c r="I56" s="3">
        <v>0.0</v>
      </c>
      <c r="J56" s="3">
        <v>0.0</v>
      </c>
      <c r="L56" s="3">
        <v>796.142909288</v>
      </c>
      <c r="N56" s="3">
        <v>0.0</v>
      </c>
      <c r="O56" s="3">
        <v>200.0</v>
      </c>
      <c r="P56" s="3">
        <v>0.0</v>
      </c>
      <c r="Q56" s="3">
        <v>830.0</v>
      </c>
      <c r="S56" s="3">
        <v>0.0</v>
      </c>
      <c r="T56" s="3">
        <v>0.0</v>
      </c>
      <c r="U56" s="3" t="s">
        <v>186</v>
      </c>
    </row>
    <row r="57">
      <c r="A57" s="3" t="s">
        <v>21</v>
      </c>
      <c r="B57" s="3" t="s">
        <v>114</v>
      </c>
      <c r="C57" s="3" t="s">
        <v>35</v>
      </c>
      <c r="D57" s="3" t="s">
        <v>64</v>
      </c>
      <c r="E57" s="3" t="s">
        <v>34</v>
      </c>
      <c r="F57" s="3">
        <v>0.0</v>
      </c>
      <c r="G57" s="3" t="s">
        <v>136</v>
      </c>
      <c r="H57" s="3">
        <v>131.0</v>
      </c>
      <c r="I57" s="3">
        <v>0.0</v>
      </c>
      <c r="J57" s="3">
        <v>0.0</v>
      </c>
      <c r="L57" s="3">
        <v>437.508366346</v>
      </c>
      <c r="N57" s="3">
        <v>0.0</v>
      </c>
      <c r="O57" s="3">
        <v>200.0</v>
      </c>
      <c r="P57" s="3">
        <v>0.0</v>
      </c>
      <c r="Q57" s="3">
        <v>655.0</v>
      </c>
      <c r="S57" s="3">
        <v>0.0</v>
      </c>
      <c r="T57" s="3">
        <v>0.0</v>
      </c>
      <c r="U57" s="3" t="s">
        <v>188</v>
      </c>
    </row>
    <row r="58">
      <c r="A58" s="3" t="s">
        <v>21</v>
      </c>
      <c r="B58" s="3" t="s">
        <v>114</v>
      </c>
      <c r="C58" s="3" t="s">
        <v>35</v>
      </c>
      <c r="D58" s="3" t="s">
        <v>64</v>
      </c>
      <c r="E58" s="3" t="s">
        <v>39</v>
      </c>
      <c r="F58" s="3">
        <v>0.0</v>
      </c>
      <c r="G58" s="3" t="s">
        <v>136</v>
      </c>
      <c r="H58" s="3">
        <v>218.0</v>
      </c>
      <c r="I58" s="3">
        <v>0.0</v>
      </c>
      <c r="J58" s="3">
        <v>0.0</v>
      </c>
      <c r="L58" s="3">
        <v>859.461339235</v>
      </c>
      <c r="N58" s="3">
        <v>0.0</v>
      </c>
      <c r="O58" s="3">
        <v>200.0</v>
      </c>
      <c r="P58" s="3">
        <v>0.0</v>
      </c>
      <c r="Q58" s="3">
        <v>1090.0</v>
      </c>
      <c r="S58" s="3">
        <v>0.0</v>
      </c>
      <c r="T58" s="3">
        <v>0.0</v>
      </c>
      <c r="U58" s="3" t="s">
        <v>190</v>
      </c>
    </row>
    <row r="59">
      <c r="A59" s="3" t="s">
        <v>21</v>
      </c>
      <c r="B59" s="3" t="s">
        <v>114</v>
      </c>
      <c r="C59" s="3" t="s">
        <v>35</v>
      </c>
      <c r="D59" s="3" t="s">
        <v>64</v>
      </c>
      <c r="E59" s="3" t="s">
        <v>43</v>
      </c>
      <c r="F59" s="3">
        <v>0.0</v>
      </c>
      <c r="G59" s="3" t="s">
        <v>136</v>
      </c>
      <c r="H59" s="3">
        <v>140.0</v>
      </c>
      <c r="I59" s="3">
        <v>0.0</v>
      </c>
      <c r="J59" s="3">
        <v>0.0</v>
      </c>
      <c r="L59" s="3">
        <v>581.511517048</v>
      </c>
      <c r="N59" s="3">
        <v>0.0</v>
      </c>
      <c r="O59" s="3">
        <v>200.0</v>
      </c>
      <c r="P59" s="3">
        <v>0.0</v>
      </c>
      <c r="Q59" s="3">
        <v>700.0</v>
      </c>
      <c r="S59" s="3">
        <v>0.0</v>
      </c>
      <c r="T59" s="3">
        <v>0.0</v>
      </c>
      <c r="U59" s="3" t="s">
        <v>193</v>
      </c>
    </row>
    <row r="60">
      <c r="A60" s="3" t="s">
        <v>21</v>
      </c>
      <c r="B60" s="3" t="s">
        <v>114</v>
      </c>
      <c r="C60" s="3" t="s">
        <v>35</v>
      </c>
      <c r="D60" s="3" t="s">
        <v>64</v>
      </c>
      <c r="E60" s="3" t="s">
        <v>47</v>
      </c>
      <c r="F60" s="3">
        <v>0.0</v>
      </c>
      <c r="G60" s="3" t="s">
        <v>136</v>
      </c>
      <c r="H60" s="3">
        <v>254.0</v>
      </c>
      <c r="I60" s="3">
        <v>0.0</v>
      </c>
      <c r="J60" s="3">
        <v>0.0</v>
      </c>
      <c r="L60" s="3">
        <v>973.857121706</v>
      </c>
      <c r="N60" s="3">
        <v>0.0</v>
      </c>
      <c r="O60" s="3">
        <v>200.0</v>
      </c>
      <c r="P60" s="3">
        <v>0.0</v>
      </c>
      <c r="Q60" s="3">
        <v>1270.0</v>
      </c>
      <c r="S60" s="3">
        <v>0.0</v>
      </c>
      <c r="T60" s="3">
        <v>0.0</v>
      </c>
      <c r="U60" s="3" t="s">
        <v>195</v>
      </c>
    </row>
    <row r="61">
      <c r="A61" s="3" t="s">
        <v>21</v>
      </c>
      <c r="B61" s="3" t="s">
        <v>114</v>
      </c>
      <c r="C61" s="3" t="s">
        <v>35</v>
      </c>
      <c r="D61" s="3" t="s">
        <v>64</v>
      </c>
      <c r="E61" s="3" t="s">
        <v>51</v>
      </c>
      <c r="F61" s="3">
        <v>0.0</v>
      </c>
      <c r="G61" s="3" t="s">
        <v>136</v>
      </c>
      <c r="H61" s="3">
        <v>174.0</v>
      </c>
      <c r="I61" s="3">
        <v>0.0</v>
      </c>
      <c r="J61" s="3">
        <v>0.0</v>
      </c>
      <c r="L61" s="3">
        <v>820.646433353</v>
      </c>
      <c r="N61" s="3">
        <v>0.0</v>
      </c>
      <c r="O61" s="3">
        <v>200.0</v>
      </c>
      <c r="P61" s="3">
        <v>0.0</v>
      </c>
      <c r="Q61" s="3">
        <v>870.0</v>
      </c>
      <c r="S61" s="3">
        <v>0.0</v>
      </c>
      <c r="T61" s="3">
        <v>0.0</v>
      </c>
      <c r="U61" s="3" t="s">
        <v>197</v>
      </c>
    </row>
    <row r="62">
      <c r="A62" s="3" t="s">
        <v>21</v>
      </c>
      <c r="B62" s="3" t="s">
        <v>114</v>
      </c>
      <c r="C62" s="3" t="s">
        <v>35</v>
      </c>
      <c r="D62" s="3" t="s">
        <v>102</v>
      </c>
      <c r="E62" s="3" t="s">
        <v>25</v>
      </c>
      <c r="F62" s="3">
        <v>0.0</v>
      </c>
      <c r="G62" s="3" t="s">
        <v>136</v>
      </c>
      <c r="H62" s="3">
        <v>286.0</v>
      </c>
      <c r="I62" s="3">
        <v>0.0</v>
      </c>
      <c r="J62" s="3">
        <v>0.0</v>
      </c>
      <c r="L62" s="3">
        <v>2151.77992368</v>
      </c>
      <c r="N62" s="3">
        <v>0.0</v>
      </c>
      <c r="O62" s="3">
        <v>200.0</v>
      </c>
      <c r="P62" s="3">
        <v>0.0</v>
      </c>
      <c r="Q62" s="3">
        <v>1430.0</v>
      </c>
      <c r="S62" s="3">
        <v>0.0</v>
      </c>
      <c r="T62" s="3">
        <v>0.0</v>
      </c>
      <c r="U62" s="3" t="s">
        <v>199</v>
      </c>
    </row>
    <row r="63">
      <c r="A63" s="3" t="s">
        <v>21</v>
      </c>
      <c r="B63" s="3" t="s">
        <v>114</v>
      </c>
      <c r="C63" s="3" t="s">
        <v>35</v>
      </c>
      <c r="D63" s="3" t="s">
        <v>102</v>
      </c>
      <c r="E63" s="3" t="s">
        <v>34</v>
      </c>
      <c r="F63" s="3">
        <v>0.0</v>
      </c>
      <c r="G63" s="3" t="s">
        <v>136</v>
      </c>
      <c r="H63" s="3">
        <v>404.0</v>
      </c>
      <c r="I63" s="3">
        <v>0.0</v>
      </c>
      <c r="J63" s="3">
        <v>0.0</v>
      </c>
      <c r="L63" s="3">
        <v>2768.1478982</v>
      </c>
      <c r="N63" s="3">
        <v>0.0</v>
      </c>
      <c r="O63" s="3">
        <v>200.0</v>
      </c>
      <c r="P63" s="3">
        <v>0.0</v>
      </c>
      <c r="Q63" s="3">
        <v>2020.0</v>
      </c>
      <c r="S63" s="3">
        <v>0.0</v>
      </c>
      <c r="T63" s="3">
        <v>0.0</v>
      </c>
      <c r="U63" s="3" t="s">
        <v>201</v>
      </c>
    </row>
    <row r="64">
      <c r="A64" s="3" t="s">
        <v>21</v>
      </c>
      <c r="B64" s="3" t="s">
        <v>114</v>
      </c>
      <c r="C64" s="3" t="s">
        <v>35</v>
      </c>
      <c r="D64" s="3" t="s">
        <v>102</v>
      </c>
      <c r="E64" s="3" t="s">
        <v>39</v>
      </c>
      <c r="F64" s="3">
        <v>0.0</v>
      </c>
      <c r="G64" s="3" t="s">
        <v>136</v>
      </c>
      <c r="H64" s="3">
        <v>324.0</v>
      </c>
      <c r="I64" s="3">
        <v>0.0</v>
      </c>
      <c r="J64" s="3">
        <v>0.0</v>
      </c>
      <c r="L64" s="3">
        <v>2157.49874043</v>
      </c>
      <c r="N64" s="3">
        <v>0.0</v>
      </c>
      <c r="O64" s="3">
        <v>200.0</v>
      </c>
      <c r="P64" s="3">
        <v>0.0</v>
      </c>
      <c r="Q64" s="3">
        <v>1620.0</v>
      </c>
      <c r="S64" s="3">
        <v>0.0</v>
      </c>
      <c r="T64" s="3">
        <v>0.0</v>
      </c>
      <c r="U64" s="3" t="s">
        <v>203</v>
      </c>
    </row>
    <row r="65">
      <c r="A65" s="3" t="s">
        <v>21</v>
      </c>
      <c r="B65" s="3" t="s">
        <v>114</v>
      </c>
      <c r="C65" s="3" t="s">
        <v>35</v>
      </c>
      <c r="D65" s="3" t="s">
        <v>102</v>
      </c>
      <c r="E65" s="3" t="s">
        <v>43</v>
      </c>
      <c r="F65" s="3">
        <v>0.0</v>
      </c>
      <c r="G65" s="3" t="s">
        <v>136</v>
      </c>
      <c r="H65" s="3">
        <v>390.0</v>
      </c>
      <c r="I65" s="3">
        <v>0.0</v>
      </c>
      <c r="J65" s="3">
        <v>0.0</v>
      </c>
      <c r="L65" s="3">
        <v>2726.52826238</v>
      </c>
      <c r="N65" s="3">
        <v>0.0</v>
      </c>
      <c r="O65" s="3">
        <v>200.0</v>
      </c>
      <c r="P65" s="3">
        <v>0.0</v>
      </c>
      <c r="Q65" s="3">
        <v>1950.0</v>
      </c>
      <c r="S65" s="3">
        <v>0.0</v>
      </c>
      <c r="T65" s="3">
        <v>0.0</v>
      </c>
      <c r="U65" s="3" t="s">
        <v>206</v>
      </c>
    </row>
    <row r="66">
      <c r="A66" s="3" t="s">
        <v>21</v>
      </c>
      <c r="B66" s="3" t="s">
        <v>114</v>
      </c>
      <c r="C66" s="3" t="s">
        <v>35</v>
      </c>
      <c r="D66" s="3" t="s">
        <v>102</v>
      </c>
      <c r="E66" s="3" t="s">
        <v>47</v>
      </c>
      <c r="F66" s="3">
        <v>0.0</v>
      </c>
      <c r="G66" s="3" t="s">
        <v>136</v>
      </c>
      <c r="H66" s="3">
        <v>774.0</v>
      </c>
      <c r="I66" s="3">
        <v>0.0</v>
      </c>
      <c r="J66" s="3">
        <v>0.0</v>
      </c>
      <c r="L66" s="3">
        <v>5458.55851126</v>
      </c>
      <c r="N66" s="3">
        <v>0.0</v>
      </c>
      <c r="O66" s="3">
        <v>200.0</v>
      </c>
      <c r="P66" s="3">
        <v>0.0</v>
      </c>
      <c r="Q66" s="3">
        <v>3870.0</v>
      </c>
      <c r="S66" s="3">
        <v>0.0</v>
      </c>
      <c r="T66" s="3">
        <v>0.0</v>
      </c>
      <c r="U66" s="3" t="s">
        <v>208</v>
      </c>
    </row>
    <row r="67">
      <c r="A67" s="3" t="s">
        <v>21</v>
      </c>
      <c r="B67" s="3" t="s">
        <v>114</v>
      </c>
      <c r="C67" s="3" t="s">
        <v>35</v>
      </c>
      <c r="D67" s="3" t="s">
        <v>102</v>
      </c>
      <c r="E67" s="3" t="s">
        <v>51</v>
      </c>
      <c r="F67" s="3">
        <v>0.0</v>
      </c>
      <c r="G67" s="3" t="s">
        <v>136</v>
      </c>
      <c r="H67" s="3">
        <v>465.0</v>
      </c>
      <c r="I67" s="3">
        <v>0.0</v>
      </c>
      <c r="J67" s="3">
        <v>0.0</v>
      </c>
      <c r="L67" s="3">
        <v>3428.53660703</v>
      </c>
      <c r="N67" s="3">
        <v>0.0</v>
      </c>
      <c r="O67" s="3">
        <v>200.0</v>
      </c>
      <c r="P67" s="3">
        <v>0.0</v>
      </c>
      <c r="Q67" s="3">
        <v>2325.0</v>
      </c>
      <c r="S67" s="3">
        <v>0.0</v>
      </c>
      <c r="T67" s="3">
        <v>0.0</v>
      </c>
      <c r="U67" s="3" t="s">
        <v>210</v>
      </c>
    </row>
    <row r="68">
      <c r="A68" s="3" t="s">
        <v>21</v>
      </c>
      <c r="B68" s="3" t="s">
        <v>114</v>
      </c>
      <c r="C68" s="3" t="s">
        <v>35</v>
      </c>
      <c r="D68" s="3" t="s">
        <v>118</v>
      </c>
      <c r="E68" s="3" t="s">
        <v>25</v>
      </c>
      <c r="F68" s="3">
        <v>0.0</v>
      </c>
      <c r="G68" s="3" t="s">
        <v>136</v>
      </c>
      <c r="H68" s="3">
        <v>292.0</v>
      </c>
      <c r="I68" s="3">
        <v>0.0</v>
      </c>
      <c r="J68" s="3">
        <v>0.0</v>
      </c>
      <c r="L68" s="3">
        <v>1061.30742741</v>
      </c>
      <c r="N68" s="3">
        <v>0.0</v>
      </c>
      <c r="O68" s="3">
        <v>200.0</v>
      </c>
      <c r="P68" s="3">
        <v>0.0</v>
      </c>
      <c r="Q68" s="3">
        <v>1460.0</v>
      </c>
      <c r="S68" s="3">
        <v>0.0</v>
      </c>
      <c r="T68" s="3">
        <v>0.0</v>
      </c>
      <c r="U68" s="3" t="s">
        <v>212</v>
      </c>
    </row>
    <row r="69">
      <c r="A69" s="3" t="s">
        <v>21</v>
      </c>
      <c r="B69" s="3" t="s">
        <v>114</v>
      </c>
      <c r="C69" s="3" t="s">
        <v>35</v>
      </c>
      <c r="D69" s="3" t="s">
        <v>118</v>
      </c>
      <c r="E69" s="3" t="s">
        <v>34</v>
      </c>
      <c r="F69" s="3">
        <v>0.0</v>
      </c>
      <c r="G69" s="3" t="s">
        <v>136</v>
      </c>
      <c r="H69" s="3">
        <v>157.0</v>
      </c>
      <c r="I69" s="3">
        <v>0.0</v>
      </c>
      <c r="J69" s="3">
        <v>0.0</v>
      </c>
      <c r="L69" s="3">
        <v>536.527375698</v>
      </c>
      <c r="N69" s="3">
        <v>0.0</v>
      </c>
      <c r="O69" s="3">
        <v>200.0</v>
      </c>
      <c r="P69" s="3">
        <v>0.0</v>
      </c>
      <c r="Q69" s="3">
        <v>785.0</v>
      </c>
      <c r="S69" s="3">
        <v>0.0</v>
      </c>
      <c r="T69" s="3">
        <v>0.0</v>
      </c>
      <c r="U69" s="3" t="s">
        <v>215</v>
      </c>
    </row>
    <row r="70">
      <c r="A70" s="3" t="s">
        <v>21</v>
      </c>
      <c r="B70" s="3" t="s">
        <v>114</v>
      </c>
      <c r="C70" s="3" t="s">
        <v>35</v>
      </c>
      <c r="D70" s="3" t="s">
        <v>118</v>
      </c>
      <c r="E70" s="3" t="s">
        <v>39</v>
      </c>
      <c r="F70" s="3">
        <v>0.0</v>
      </c>
      <c r="G70" s="3" t="s">
        <v>136</v>
      </c>
      <c r="H70" s="3">
        <v>182.0</v>
      </c>
      <c r="I70" s="3">
        <v>0.0</v>
      </c>
      <c r="J70" s="3">
        <v>0.0</v>
      </c>
      <c r="L70" s="3">
        <v>894.571432829</v>
      </c>
      <c r="N70" s="3">
        <v>0.0</v>
      </c>
      <c r="O70" s="3">
        <v>200.0</v>
      </c>
      <c r="P70" s="3">
        <v>0.0</v>
      </c>
      <c r="Q70" s="3">
        <v>910.0</v>
      </c>
      <c r="S70" s="3">
        <v>0.0</v>
      </c>
      <c r="T70" s="3">
        <v>0.0</v>
      </c>
      <c r="U70" s="3" t="s">
        <v>217</v>
      </c>
    </row>
    <row r="71">
      <c r="A71" s="3" t="s">
        <v>21</v>
      </c>
      <c r="B71" s="3" t="s">
        <v>114</v>
      </c>
      <c r="C71" s="3" t="s">
        <v>35</v>
      </c>
      <c r="D71" s="3" t="s">
        <v>118</v>
      </c>
      <c r="E71" s="3" t="s">
        <v>43</v>
      </c>
      <c r="F71" s="3">
        <v>0.0</v>
      </c>
      <c r="G71" s="3" t="s">
        <v>136</v>
      </c>
      <c r="H71" s="3">
        <v>69.0</v>
      </c>
      <c r="I71" s="3">
        <v>0.0</v>
      </c>
      <c r="J71" s="3">
        <v>0.0</v>
      </c>
      <c r="L71" s="3">
        <v>262.064704418</v>
      </c>
      <c r="N71" s="3">
        <v>0.0</v>
      </c>
      <c r="O71" s="3">
        <v>200.0</v>
      </c>
      <c r="P71" s="3">
        <v>0.0</v>
      </c>
      <c r="Q71" s="3">
        <v>345.0</v>
      </c>
      <c r="S71" s="3">
        <v>0.0</v>
      </c>
      <c r="T71" s="3">
        <v>0.0</v>
      </c>
      <c r="U71" s="3" t="s">
        <v>219</v>
      </c>
    </row>
    <row r="72">
      <c r="A72" s="3" t="s">
        <v>21</v>
      </c>
      <c r="B72" s="3" t="s">
        <v>114</v>
      </c>
      <c r="C72" s="3" t="s">
        <v>35</v>
      </c>
      <c r="D72" s="3" t="s">
        <v>118</v>
      </c>
      <c r="E72" s="3" t="s">
        <v>47</v>
      </c>
      <c r="F72" s="3">
        <v>0.0</v>
      </c>
      <c r="G72" s="3" t="s">
        <v>136</v>
      </c>
      <c r="H72" s="3">
        <v>273.0</v>
      </c>
      <c r="I72" s="3">
        <v>0.0</v>
      </c>
      <c r="J72" s="3">
        <v>0.0</v>
      </c>
      <c r="L72" s="3">
        <v>909.009046555</v>
      </c>
      <c r="N72" s="3">
        <v>0.0</v>
      </c>
      <c r="O72" s="3">
        <v>200.0</v>
      </c>
      <c r="P72" s="3">
        <v>0.0</v>
      </c>
      <c r="Q72" s="3">
        <v>1365.0</v>
      </c>
      <c r="S72" s="3">
        <v>0.0</v>
      </c>
      <c r="T72" s="3">
        <v>0.0</v>
      </c>
      <c r="U72" s="3" t="s">
        <v>222</v>
      </c>
    </row>
    <row r="73">
      <c r="A73" s="3" t="s">
        <v>21</v>
      </c>
      <c r="B73" s="3" t="s">
        <v>114</v>
      </c>
      <c r="C73" s="3" t="s">
        <v>35</v>
      </c>
      <c r="D73" s="3" t="s">
        <v>118</v>
      </c>
      <c r="E73" s="3" t="s">
        <v>51</v>
      </c>
      <c r="F73" s="3">
        <v>0.0</v>
      </c>
      <c r="G73" s="3" t="s">
        <v>136</v>
      </c>
      <c r="H73" s="3">
        <v>359.0</v>
      </c>
      <c r="I73" s="3">
        <v>0.0</v>
      </c>
      <c r="J73" s="3">
        <v>0.0</v>
      </c>
      <c r="L73" s="3">
        <v>1346.20966506</v>
      </c>
      <c r="N73" s="3">
        <v>0.0</v>
      </c>
      <c r="O73" s="3">
        <v>200.0</v>
      </c>
      <c r="P73" s="3">
        <v>0.0</v>
      </c>
      <c r="Q73" s="3">
        <v>1795.0</v>
      </c>
      <c r="S73" s="3">
        <v>0.0</v>
      </c>
      <c r="T73" s="3">
        <v>0.0</v>
      </c>
      <c r="U73" s="3" t="s">
        <v>225</v>
      </c>
    </row>
    <row r="74">
      <c r="A74" s="3" t="s">
        <v>21</v>
      </c>
      <c r="B74" s="3" t="s">
        <v>114</v>
      </c>
      <c r="C74" s="3" t="s">
        <v>23</v>
      </c>
      <c r="D74" s="3" t="s">
        <v>24</v>
      </c>
      <c r="E74" s="3" t="s">
        <v>25</v>
      </c>
      <c r="F74" s="3">
        <v>0.0</v>
      </c>
      <c r="G74" s="3" t="s">
        <v>227</v>
      </c>
      <c r="H74" s="3">
        <v>122.0</v>
      </c>
      <c r="I74" s="3" t="s">
        <v>27</v>
      </c>
      <c r="J74" s="3">
        <v>2.0</v>
      </c>
      <c r="L74" s="3">
        <v>798.503690004</v>
      </c>
      <c r="M74" s="3">
        <v>153.0</v>
      </c>
      <c r="N74" s="3">
        <v>1.0</v>
      </c>
      <c r="O74" s="3">
        <v>353.0</v>
      </c>
      <c r="P74" s="3">
        <v>2.8328611898</v>
      </c>
      <c r="Q74" s="3">
        <v>345.609065156</v>
      </c>
      <c r="R74" s="3">
        <v>122.0</v>
      </c>
      <c r="S74" s="3">
        <v>0.016393442623</v>
      </c>
      <c r="T74" s="3" t="s">
        <v>27</v>
      </c>
      <c r="U74" s="3" t="s">
        <v>230</v>
      </c>
    </row>
    <row r="75">
      <c r="A75" s="3" t="s">
        <v>21</v>
      </c>
      <c r="B75" s="3" t="s">
        <v>114</v>
      </c>
      <c r="C75" s="3" t="s">
        <v>23</v>
      </c>
      <c r="D75" s="3" t="s">
        <v>24</v>
      </c>
      <c r="E75" s="3" t="s">
        <v>34</v>
      </c>
      <c r="F75" s="3">
        <v>0.0</v>
      </c>
      <c r="G75" s="3" t="s">
        <v>227</v>
      </c>
      <c r="H75" s="3">
        <v>278.0</v>
      </c>
      <c r="I75" s="3" t="s">
        <v>27</v>
      </c>
      <c r="J75" s="3">
        <v>3.0</v>
      </c>
      <c r="L75" s="3">
        <v>1638.63604212</v>
      </c>
      <c r="M75" s="3">
        <v>174.0</v>
      </c>
      <c r="N75" s="3">
        <v>1.0</v>
      </c>
      <c r="O75" s="3">
        <v>374.0</v>
      </c>
      <c r="P75" s="3">
        <v>2.67379679144</v>
      </c>
      <c r="Q75" s="3">
        <v>743.315508021</v>
      </c>
      <c r="R75" s="3">
        <v>278.0</v>
      </c>
      <c r="S75" s="3">
        <v>0.0107913669065</v>
      </c>
      <c r="T75" s="3" t="s">
        <v>27</v>
      </c>
      <c r="U75" s="3" t="s">
        <v>232</v>
      </c>
    </row>
    <row r="76">
      <c r="A76" s="3" t="s">
        <v>21</v>
      </c>
      <c r="B76" s="3" t="s">
        <v>114</v>
      </c>
      <c r="C76" s="3" t="s">
        <v>23</v>
      </c>
      <c r="D76" s="3" t="s">
        <v>24</v>
      </c>
      <c r="E76" s="3" t="s">
        <v>39</v>
      </c>
      <c r="F76" s="3">
        <v>0.0</v>
      </c>
      <c r="G76" s="3" t="s">
        <v>227</v>
      </c>
      <c r="H76" s="3">
        <v>102.0</v>
      </c>
      <c r="I76" s="3" t="s">
        <v>27</v>
      </c>
      <c r="J76" s="3">
        <v>1.0</v>
      </c>
      <c r="L76" s="3">
        <v>1094.4612546</v>
      </c>
      <c r="N76" s="3">
        <v>0.0</v>
      </c>
      <c r="O76" s="3">
        <v>200.0</v>
      </c>
      <c r="P76" s="3">
        <v>0.0</v>
      </c>
      <c r="Q76" s="3">
        <v>510.0</v>
      </c>
      <c r="S76" s="3">
        <v>0.00980392156863</v>
      </c>
      <c r="T76" s="3" t="s">
        <v>27</v>
      </c>
      <c r="U76" s="3" t="s">
        <v>235</v>
      </c>
    </row>
    <row r="77">
      <c r="A77" s="3" t="s">
        <v>21</v>
      </c>
      <c r="B77" s="3" t="s">
        <v>114</v>
      </c>
      <c r="C77" s="3" t="s">
        <v>23</v>
      </c>
      <c r="D77" s="3" t="s">
        <v>24</v>
      </c>
      <c r="E77" s="3" t="s">
        <v>43</v>
      </c>
      <c r="F77" s="3">
        <v>0.0</v>
      </c>
      <c r="G77" s="3" t="s">
        <v>227</v>
      </c>
      <c r="H77" s="3">
        <v>260.0</v>
      </c>
      <c r="I77" s="3" t="s">
        <v>27</v>
      </c>
      <c r="J77" s="3">
        <v>1.0</v>
      </c>
      <c r="L77" s="3">
        <v>924.396524906</v>
      </c>
      <c r="M77" s="3">
        <v>141.0</v>
      </c>
      <c r="N77" s="3">
        <v>1.0</v>
      </c>
      <c r="O77" s="3">
        <v>341.0</v>
      </c>
      <c r="P77" s="3">
        <v>2.93255131965</v>
      </c>
      <c r="Q77" s="3">
        <v>762.463343109</v>
      </c>
      <c r="R77" s="3">
        <v>260.0</v>
      </c>
      <c r="S77" s="3">
        <v>0.00384615384615</v>
      </c>
      <c r="T77" s="3" t="s">
        <v>27</v>
      </c>
      <c r="U77" s="3" t="s">
        <v>237</v>
      </c>
    </row>
    <row r="78">
      <c r="A78" s="3" t="s">
        <v>21</v>
      </c>
      <c r="B78" s="3" t="s">
        <v>114</v>
      </c>
      <c r="C78" s="3" t="s">
        <v>23</v>
      </c>
      <c r="D78" s="3" t="s">
        <v>24</v>
      </c>
      <c r="E78" s="3" t="s">
        <v>47</v>
      </c>
      <c r="F78" s="3">
        <v>0.0</v>
      </c>
      <c r="G78" s="3" t="s">
        <v>227</v>
      </c>
      <c r="H78" s="3">
        <v>177.0</v>
      </c>
      <c r="I78" s="3" t="s">
        <v>27</v>
      </c>
      <c r="J78" s="3">
        <v>1.0</v>
      </c>
      <c r="L78" s="3">
        <v>516.832360744</v>
      </c>
      <c r="N78" s="3">
        <v>0.0</v>
      </c>
      <c r="O78" s="3">
        <v>200.0</v>
      </c>
      <c r="P78" s="3">
        <v>0.0</v>
      </c>
      <c r="Q78" s="3">
        <v>885.0</v>
      </c>
      <c r="S78" s="3">
        <v>0.00564971751412</v>
      </c>
      <c r="T78" s="3" t="s">
        <v>27</v>
      </c>
      <c r="U78" s="3" t="s">
        <v>239</v>
      </c>
    </row>
    <row r="79">
      <c r="A79" s="3" t="s">
        <v>21</v>
      </c>
      <c r="B79" s="3" t="s">
        <v>114</v>
      </c>
      <c r="C79" s="3" t="s">
        <v>23</v>
      </c>
      <c r="D79" s="3" t="s">
        <v>24</v>
      </c>
      <c r="E79" s="3" t="s">
        <v>51</v>
      </c>
      <c r="F79" s="3">
        <v>0.0</v>
      </c>
      <c r="G79" s="3" t="s">
        <v>227</v>
      </c>
      <c r="H79" s="3">
        <v>142.0</v>
      </c>
      <c r="I79" s="3" t="s">
        <v>27</v>
      </c>
      <c r="J79" s="3">
        <v>1.0</v>
      </c>
      <c r="L79" s="3">
        <v>583.328473806</v>
      </c>
      <c r="N79" s="3">
        <v>0.0</v>
      </c>
      <c r="O79" s="3">
        <v>200.0</v>
      </c>
      <c r="P79" s="3">
        <v>0.0</v>
      </c>
      <c r="Q79" s="3">
        <v>710.0</v>
      </c>
      <c r="S79" s="3">
        <v>0.00704225352113</v>
      </c>
      <c r="T79" s="3" t="s">
        <v>27</v>
      </c>
      <c r="U79" s="3" t="s">
        <v>242</v>
      </c>
    </row>
    <row r="80">
      <c r="A80" s="3" t="s">
        <v>21</v>
      </c>
      <c r="B80" s="3" t="s">
        <v>114</v>
      </c>
      <c r="C80" s="3" t="s">
        <v>23</v>
      </c>
      <c r="D80" s="3" t="s">
        <v>54</v>
      </c>
      <c r="E80" s="3" t="s">
        <v>25</v>
      </c>
      <c r="F80" s="3">
        <v>0.0</v>
      </c>
      <c r="G80" s="3" t="s">
        <v>227</v>
      </c>
      <c r="H80" s="3">
        <v>90.0</v>
      </c>
      <c r="I80" s="3" t="s">
        <v>27</v>
      </c>
      <c r="J80" s="3">
        <v>0.0</v>
      </c>
      <c r="L80" s="3">
        <v>487.372583389</v>
      </c>
      <c r="M80" s="3">
        <v>70.0</v>
      </c>
      <c r="N80" s="3">
        <v>1.0</v>
      </c>
      <c r="O80" s="3">
        <v>270.0</v>
      </c>
      <c r="P80" s="3">
        <v>3.7037037037</v>
      </c>
      <c r="Q80" s="3">
        <v>333.333333333</v>
      </c>
      <c r="R80" s="3">
        <v>90.0</v>
      </c>
      <c r="S80" s="3">
        <v>0.0</v>
      </c>
      <c r="T80" s="3" t="s">
        <v>27</v>
      </c>
      <c r="U80" s="3" t="s">
        <v>245</v>
      </c>
    </row>
    <row r="81">
      <c r="A81" s="3" t="s">
        <v>21</v>
      </c>
      <c r="B81" s="3" t="s">
        <v>114</v>
      </c>
      <c r="C81" s="3" t="s">
        <v>23</v>
      </c>
      <c r="D81" s="3" t="s">
        <v>54</v>
      </c>
      <c r="E81" s="3" t="s">
        <v>34</v>
      </c>
      <c r="F81" s="3">
        <v>0.0</v>
      </c>
      <c r="G81" s="3" t="s">
        <v>227</v>
      </c>
      <c r="H81" s="3">
        <v>159.0</v>
      </c>
      <c r="I81" s="3" t="s">
        <v>27</v>
      </c>
      <c r="J81" s="3">
        <v>0.0</v>
      </c>
      <c r="L81" s="3">
        <v>588.034427643</v>
      </c>
      <c r="N81" s="3">
        <v>0.0</v>
      </c>
      <c r="O81" s="3">
        <v>200.0</v>
      </c>
      <c r="P81" s="3">
        <v>0.0</v>
      </c>
      <c r="Q81" s="3">
        <v>795.0</v>
      </c>
      <c r="S81" s="3">
        <v>0.0</v>
      </c>
      <c r="T81" s="3" t="s">
        <v>27</v>
      </c>
      <c r="U81" s="3" t="s">
        <v>247</v>
      </c>
    </row>
    <row r="82">
      <c r="A82" s="3" t="s">
        <v>21</v>
      </c>
      <c r="B82" s="3" t="s">
        <v>114</v>
      </c>
      <c r="C82" s="3" t="s">
        <v>23</v>
      </c>
      <c r="D82" s="3" t="s">
        <v>54</v>
      </c>
      <c r="E82" s="3" t="s">
        <v>39</v>
      </c>
      <c r="F82" s="3">
        <v>0.0</v>
      </c>
      <c r="G82" s="3" t="s">
        <v>227</v>
      </c>
      <c r="H82" s="3">
        <v>224.0</v>
      </c>
      <c r="I82" s="3" t="s">
        <v>27</v>
      </c>
      <c r="J82" s="3">
        <v>0.0</v>
      </c>
      <c r="L82" s="3">
        <v>1046.45277691</v>
      </c>
      <c r="M82" s="3">
        <v>135.0</v>
      </c>
      <c r="N82" s="3">
        <v>2.0</v>
      </c>
      <c r="O82" s="3">
        <v>341.0</v>
      </c>
      <c r="P82" s="3">
        <v>5.8651026393</v>
      </c>
      <c r="Q82" s="3">
        <v>656.891495601</v>
      </c>
      <c r="R82" s="3">
        <v>112.0</v>
      </c>
      <c r="S82" s="3">
        <v>0.0</v>
      </c>
      <c r="T82" s="3" t="s">
        <v>27</v>
      </c>
      <c r="U82" s="3" t="s">
        <v>250</v>
      </c>
    </row>
    <row r="83">
      <c r="A83" s="3" t="s">
        <v>21</v>
      </c>
      <c r="B83" s="3" t="s">
        <v>114</v>
      </c>
      <c r="C83" s="3" t="s">
        <v>23</v>
      </c>
      <c r="D83" s="3" t="s">
        <v>54</v>
      </c>
      <c r="E83" s="3" t="s">
        <v>43</v>
      </c>
      <c r="F83" s="3">
        <v>0.0</v>
      </c>
      <c r="G83" s="3" t="s">
        <v>227</v>
      </c>
      <c r="H83" s="3">
        <v>355.0</v>
      </c>
      <c r="I83" s="3" t="s">
        <v>27</v>
      </c>
      <c r="J83" s="3">
        <v>0.0</v>
      </c>
      <c r="L83" s="3">
        <v>1460.98703289</v>
      </c>
      <c r="M83" s="3">
        <v>169.0</v>
      </c>
      <c r="N83" s="3">
        <v>1.0</v>
      </c>
      <c r="O83" s="3">
        <v>369.0</v>
      </c>
      <c r="P83" s="3">
        <v>2.71002710027</v>
      </c>
      <c r="Q83" s="3">
        <v>962.059620596</v>
      </c>
      <c r="R83" s="3">
        <v>355.0</v>
      </c>
      <c r="S83" s="3">
        <v>0.0</v>
      </c>
      <c r="T83" s="3" t="s">
        <v>27</v>
      </c>
      <c r="U83" s="3" t="s">
        <v>254</v>
      </c>
    </row>
    <row r="84">
      <c r="A84" s="3" t="s">
        <v>21</v>
      </c>
      <c r="B84" s="3" t="s">
        <v>114</v>
      </c>
      <c r="C84" s="3" t="s">
        <v>23</v>
      </c>
      <c r="D84" s="3" t="s">
        <v>54</v>
      </c>
      <c r="E84" s="3" t="s">
        <v>47</v>
      </c>
      <c r="F84" s="3">
        <v>0.0</v>
      </c>
      <c r="G84" s="3" t="s">
        <v>227</v>
      </c>
      <c r="H84" s="3">
        <v>363.0</v>
      </c>
      <c r="I84" s="3" t="s">
        <v>27</v>
      </c>
      <c r="J84" s="3">
        <v>0.0</v>
      </c>
      <c r="L84" s="3">
        <v>2282.14083052</v>
      </c>
      <c r="M84" s="3">
        <v>151.0</v>
      </c>
      <c r="N84" s="3">
        <v>2.0</v>
      </c>
      <c r="O84" s="3">
        <v>416.0</v>
      </c>
      <c r="P84" s="3">
        <v>4.80769230769</v>
      </c>
      <c r="Q84" s="3">
        <v>872.596153846</v>
      </c>
      <c r="R84" s="3">
        <v>181.5</v>
      </c>
      <c r="S84" s="3">
        <v>0.0</v>
      </c>
      <c r="T84" s="3" t="s">
        <v>27</v>
      </c>
      <c r="U84" s="3" t="s">
        <v>256</v>
      </c>
    </row>
    <row r="85">
      <c r="A85" s="3" t="s">
        <v>21</v>
      </c>
      <c r="B85" s="3" t="s">
        <v>114</v>
      </c>
      <c r="C85" s="3" t="s">
        <v>23</v>
      </c>
      <c r="D85" s="3" t="s">
        <v>54</v>
      </c>
      <c r="E85" s="3" t="s">
        <v>51</v>
      </c>
      <c r="F85" s="3">
        <v>0.0</v>
      </c>
      <c r="G85" s="3" t="s">
        <v>227</v>
      </c>
      <c r="H85" s="3">
        <v>109.0</v>
      </c>
      <c r="I85" s="3" t="s">
        <v>27</v>
      </c>
      <c r="J85" s="3">
        <v>0.0</v>
      </c>
      <c r="L85" s="3">
        <v>397.768898487</v>
      </c>
      <c r="N85" s="3">
        <v>0.0</v>
      </c>
      <c r="O85" s="3">
        <v>200.0</v>
      </c>
      <c r="P85" s="3">
        <v>0.0</v>
      </c>
      <c r="Q85" s="3">
        <v>545.0</v>
      </c>
      <c r="S85" s="3">
        <v>0.0</v>
      </c>
      <c r="T85" s="3" t="s">
        <v>27</v>
      </c>
      <c r="U85" s="3" t="s">
        <v>258</v>
      </c>
    </row>
    <row r="86">
      <c r="A86" s="3" t="s">
        <v>21</v>
      </c>
      <c r="B86" s="3" t="s">
        <v>114</v>
      </c>
      <c r="C86" s="3" t="s">
        <v>23</v>
      </c>
      <c r="D86" s="3" t="s">
        <v>72</v>
      </c>
      <c r="E86" s="3" t="s">
        <v>25</v>
      </c>
      <c r="F86" s="3">
        <v>0.0</v>
      </c>
      <c r="G86" s="3" t="s">
        <v>227</v>
      </c>
      <c r="H86" s="3">
        <v>67.0</v>
      </c>
      <c r="I86" s="3" t="s">
        <v>27</v>
      </c>
      <c r="J86" s="3">
        <v>0.0</v>
      </c>
      <c r="L86" s="3">
        <v>566.381749153</v>
      </c>
      <c r="M86" s="3">
        <v>84.0</v>
      </c>
      <c r="N86" s="3">
        <v>1.0</v>
      </c>
      <c r="O86" s="3">
        <v>284.0</v>
      </c>
      <c r="P86" s="3">
        <v>3.52112676056</v>
      </c>
      <c r="Q86" s="3">
        <v>235.915492958</v>
      </c>
      <c r="R86" s="3">
        <v>67.0</v>
      </c>
      <c r="S86" s="3">
        <v>0.0</v>
      </c>
      <c r="T86" s="3" t="s">
        <v>27</v>
      </c>
      <c r="U86" s="3" t="s">
        <v>260</v>
      </c>
    </row>
    <row r="87">
      <c r="A87" s="3" t="s">
        <v>21</v>
      </c>
      <c r="B87" s="3" t="s">
        <v>114</v>
      </c>
      <c r="C87" s="3" t="s">
        <v>23</v>
      </c>
      <c r="D87" s="3" t="s">
        <v>72</v>
      </c>
      <c r="E87" s="3" t="s">
        <v>34</v>
      </c>
      <c r="F87" s="3">
        <v>0.0</v>
      </c>
      <c r="G87" s="3" t="s">
        <v>227</v>
      </c>
      <c r="H87" s="3">
        <v>353.0</v>
      </c>
      <c r="I87" s="3" t="s">
        <v>27</v>
      </c>
      <c r="J87" s="3">
        <v>0.0</v>
      </c>
      <c r="L87" s="3">
        <v>3324.30512595</v>
      </c>
      <c r="M87" s="3">
        <v>199.0</v>
      </c>
      <c r="N87" s="3">
        <v>1.0</v>
      </c>
      <c r="O87" s="3">
        <v>399.0</v>
      </c>
      <c r="P87" s="3">
        <v>2.50626566416</v>
      </c>
      <c r="Q87" s="3">
        <v>884.711779449</v>
      </c>
      <c r="R87" s="3">
        <v>353.0</v>
      </c>
      <c r="S87" s="3">
        <v>0.0</v>
      </c>
      <c r="T87" s="3" t="s">
        <v>27</v>
      </c>
      <c r="U87" s="3" t="s">
        <v>263</v>
      </c>
    </row>
    <row r="88">
      <c r="A88" s="3" t="s">
        <v>21</v>
      </c>
      <c r="B88" s="3" t="s">
        <v>114</v>
      </c>
      <c r="C88" s="3" t="s">
        <v>23</v>
      </c>
      <c r="D88" s="3" t="s">
        <v>72</v>
      </c>
      <c r="E88" s="3" t="s">
        <v>39</v>
      </c>
      <c r="F88" s="3">
        <v>0.0</v>
      </c>
      <c r="G88" s="3" t="s">
        <v>227</v>
      </c>
      <c r="H88" s="3">
        <v>283.0</v>
      </c>
      <c r="I88" s="3" t="s">
        <v>27</v>
      </c>
      <c r="J88" s="3">
        <v>0.0</v>
      </c>
      <c r="L88" s="3">
        <v>2545.35112762</v>
      </c>
      <c r="M88" s="3">
        <v>59.0</v>
      </c>
      <c r="N88" s="3">
        <v>2.0</v>
      </c>
      <c r="O88" s="3">
        <v>346.0</v>
      </c>
      <c r="P88" s="3">
        <v>5.78034682081</v>
      </c>
      <c r="Q88" s="3">
        <v>817.919075145</v>
      </c>
      <c r="R88" s="3">
        <v>141.5</v>
      </c>
      <c r="S88" s="3">
        <v>0.0</v>
      </c>
      <c r="T88" s="3" t="s">
        <v>27</v>
      </c>
      <c r="U88" s="3" t="s">
        <v>265</v>
      </c>
    </row>
    <row r="89">
      <c r="A89" s="3" t="s">
        <v>21</v>
      </c>
      <c r="B89" s="3" t="s">
        <v>114</v>
      </c>
      <c r="C89" s="3" t="s">
        <v>23</v>
      </c>
      <c r="D89" s="3" t="s">
        <v>72</v>
      </c>
      <c r="E89" s="3" t="s">
        <v>43</v>
      </c>
      <c r="F89" s="3">
        <v>0.0</v>
      </c>
      <c r="G89" s="3" t="s">
        <v>227</v>
      </c>
      <c r="H89" s="3">
        <v>125.0</v>
      </c>
      <c r="I89" s="3" t="s">
        <v>27</v>
      </c>
      <c r="J89" s="3">
        <v>0.0</v>
      </c>
      <c r="L89" s="3">
        <v>1461.93030047</v>
      </c>
      <c r="N89" s="3">
        <v>0.0</v>
      </c>
      <c r="O89" s="3">
        <v>200.0</v>
      </c>
      <c r="P89" s="3">
        <v>0.0</v>
      </c>
      <c r="Q89" s="3">
        <v>625.0</v>
      </c>
      <c r="S89" s="3">
        <v>0.0</v>
      </c>
      <c r="T89" s="3" t="s">
        <v>27</v>
      </c>
      <c r="U89" s="3" t="s">
        <v>267</v>
      </c>
    </row>
    <row r="90">
      <c r="A90" s="3" t="s">
        <v>21</v>
      </c>
      <c r="B90" s="3" t="s">
        <v>114</v>
      </c>
      <c r="C90" s="3" t="s">
        <v>23</v>
      </c>
      <c r="D90" s="3" t="s">
        <v>72</v>
      </c>
      <c r="E90" s="3" t="s">
        <v>47</v>
      </c>
      <c r="F90" s="3">
        <v>0.0</v>
      </c>
      <c r="G90" s="3" t="s">
        <v>227</v>
      </c>
      <c r="H90" s="3">
        <v>323.0</v>
      </c>
      <c r="I90" s="3" t="s">
        <v>27</v>
      </c>
      <c r="J90" s="3">
        <v>17.0</v>
      </c>
      <c r="L90" s="3">
        <v>6649.32896852</v>
      </c>
      <c r="N90" s="3">
        <v>0.0</v>
      </c>
      <c r="O90" s="3">
        <v>200.0</v>
      </c>
      <c r="P90" s="3">
        <v>0.0</v>
      </c>
      <c r="Q90" s="3">
        <v>1615.0</v>
      </c>
      <c r="S90" s="3">
        <v>0.0526315789474</v>
      </c>
      <c r="T90" s="3" t="s">
        <v>27</v>
      </c>
      <c r="U90" s="3" t="s">
        <v>269</v>
      </c>
    </row>
    <row r="91">
      <c r="A91" s="3" t="s">
        <v>21</v>
      </c>
      <c r="B91" s="3" t="s">
        <v>114</v>
      </c>
      <c r="C91" s="3" t="s">
        <v>23</v>
      </c>
      <c r="D91" s="3" t="s">
        <v>72</v>
      </c>
      <c r="E91" s="3" t="s">
        <v>51</v>
      </c>
      <c r="F91" s="3">
        <v>0.0</v>
      </c>
      <c r="G91" s="3" t="s">
        <v>227</v>
      </c>
      <c r="H91" s="3">
        <v>397.0</v>
      </c>
      <c r="I91" s="3" t="s">
        <v>27</v>
      </c>
      <c r="J91" s="3">
        <v>31.0</v>
      </c>
      <c r="L91" s="3">
        <v>8983.11440253</v>
      </c>
      <c r="N91" s="3">
        <v>0.0</v>
      </c>
      <c r="O91" s="3">
        <v>200.0</v>
      </c>
      <c r="P91" s="3">
        <v>0.0</v>
      </c>
      <c r="Q91" s="3">
        <v>1985.0</v>
      </c>
      <c r="S91" s="3">
        <v>0.0780856423174</v>
      </c>
      <c r="T91" s="3" t="s">
        <v>27</v>
      </c>
      <c r="U91" s="3" t="s">
        <v>272</v>
      </c>
    </row>
    <row r="92">
      <c r="A92" s="3" t="s">
        <v>21</v>
      </c>
      <c r="B92" s="3" t="s">
        <v>114</v>
      </c>
      <c r="C92" s="3" t="s">
        <v>23</v>
      </c>
      <c r="D92" s="3" t="s">
        <v>64</v>
      </c>
      <c r="E92" s="3" t="s">
        <v>25</v>
      </c>
      <c r="F92" s="3">
        <v>0.0</v>
      </c>
      <c r="G92" s="3" t="s">
        <v>227</v>
      </c>
      <c r="H92" s="3">
        <v>147.0</v>
      </c>
      <c r="I92" s="3" t="s">
        <v>27</v>
      </c>
      <c r="J92" s="3">
        <v>0.0</v>
      </c>
      <c r="L92" s="3">
        <v>355.687686205</v>
      </c>
      <c r="M92" s="3">
        <v>83.0</v>
      </c>
      <c r="N92" s="3">
        <v>1.0</v>
      </c>
      <c r="O92" s="3">
        <v>283.0</v>
      </c>
      <c r="P92" s="3">
        <v>3.53356890459</v>
      </c>
      <c r="Q92" s="3">
        <v>519.434628975</v>
      </c>
      <c r="R92" s="3">
        <v>147.0</v>
      </c>
      <c r="S92" s="3">
        <v>0.0</v>
      </c>
      <c r="T92" s="3" t="s">
        <v>27</v>
      </c>
      <c r="U92" s="3" t="s">
        <v>274</v>
      </c>
    </row>
    <row r="93">
      <c r="A93" s="3" t="s">
        <v>21</v>
      </c>
      <c r="B93" s="3" t="s">
        <v>114</v>
      </c>
      <c r="C93" s="3" t="s">
        <v>23</v>
      </c>
      <c r="D93" s="3" t="s">
        <v>64</v>
      </c>
      <c r="E93" s="3" t="s">
        <v>34</v>
      </c>
      <c r="F93" s="3">
        <v>0.0</v>
      </c>
      <c r="G93" s="3" t="s">
        <v>227</v>
      </c>
      <c r="H93" s="3">
        <v>343.0</v>
      </c>
      <c r="I93" s="3" t="s">
        <v>27</v>
      </c>
      <c r="J93" s="3">
        <v>0.0</v>
      </c>
      <c r="L93" s="3">
        <v>708.870644093</v>
      </c>
      <c r="N93" s="3">
        <v>0.0</v>
      </c>
      <c r="O93" s="3">
        <v>200.0</v>
      </c>
      <c r="P93" s="3">
        <v>0.0</v>
      </c>
      <c r="Q93" s="3">
        <v>1715.0</v>
      </c>
      <c r="S93" s="3">
        <v>0.0</v>
      </c>
      <c r="T93" s="3" t="s">
        <v>27</v>
      </c>
      <c r="U93" s="3" t="s">
        <v>276</v>
      </c>
    </row>
    <row r="94">
      <c r="A94" s="3" t="s">
        <v>21</v>
      </c>
      <c r="B94" s="3" t="s">
        <v>114</v>
      </c>
      <c r="C94" s="3" t="s">
        <v>23</v>
      </c>
      <c r="D94" s="3" t="s">
        <v>64</v>
      </c>
      <c r="E94" s="3" t="s">
        <v>39</v>
      </c>
      <c r="F94" s="3">
        <v>0.0</v>
      </c>
      <c r="G94" s="3" t="s">
        <v>227</v>
      </c>
      <c r="H94" s="3">
        <v>274.0</v>
      </c>
      <c r="I94" s="3" t="s">
        <v>27</v>
      </c>
      <c r="J94" s="3">
        <v>0.0</v>
      </c>
      <c r="L94" s="3">
        <v>696.034386635</v>
      </c>
      <c r="M94" s="3">
        <v>132.0</v>
      </c>
      <c r="N94" s="3">
        <v>1.0</v>
      </c>
      <c r="O94" s="3">
        <v>332.0</v>
      </c>
      <c r="P94" s="3">
        <v>3.01204819277</v>
      </c>
      <c r="Q94" s="3">
        <v>825.301204819</v>
      </c>
      <c r="R94" s="3">
        <v>274.0</v>
      </c>
      <c r="S94" s="3">
        <v>0.0</v>
      </c>
      <c r="T94" s="3" t="s">
        <v>27</v>
      </c>
      <c r="U94" s="3" t="s">
        <v>278</v>
      </c>
    </row>
    <row r="95">
      <c r="A95" s="3" t="s">
        <v>21</v>
      </c>
      <c r="B95" s="3" t="s">
        <v>114</v>
      </c>
      <c r="C95" s="3" t="s">
        <v>23</v>
      </c>
      <c r="D95" s="3" t="s">
        <v>64</v>
      </c>
      <c r="E95" s="3" t="s">
        <v>43</v>
      </c>
      <c r="F95" s="3">
        <v>0.0</v>
      </c>
      <c r="G95" s="3" t="s">
        <v>227</v>
      </c>
      <c r="H95" s="3">
        <v>272.0</v>
      </c>
      <c r="I95" s="3" t="s">
        <v>27</v>
      </c>
      <c r="J95" s="3">
        <v>0.0</v>
      </c>
      <c r="L95" s="3">
        <v>858.55447793</v>
      </c>
      <c r="M95" s="3">
        <v>75.0</v>
      </c>
      <c r="N95" s="3">
        <v>1.0</v>
      </c>
      <c r="O95" s="3">
        <v>275.0</v>
      </c>
      <c r="P95" s="3">
        <v>3.63636363636</v>
      </c>
      <c r="Q95" s="3">
        <v>989.090909091</v>
      </c>
      <c r="R95" s="3">
        <v>272.0</v>
      </c>
      <c r="S95" s="3">
        <v>0.0</v>
      </c>
      <c r="T95" s="3" t="s">
        <v>27</v>
      </c>
      <c r="U95" s="3" t="s">
        <v>281</v>
      </c>
    </row>
    <row r="96">
      <c r="A96" s="3" t="s">
        <v>21</v>
      </c>
      <c r="B96" s="3" t="s">
        <v>114</v>
      </c>
      <c r="C96" s="3" t="s">
        <v>23</v>
      </c>
      <c r="D96" s="3" t="s">
        <v>64</v>
      </c>
      <c r="E96" s="3" t="s">
        <v>47</v>
      </c>
      <c r="F96" s="3">
        <v>0.0</v>
      </c>
      <c r="G96" s="3" t="s">
        <v>227</v>
      </c>
      <c r="H96" s="3">
        <v>369.0</v>
      </c>
      <c r="I96" s="3" t="s">
        <v>27</v>
      </c>
      <c r="J96" s="3">
        <v>2.0</v>
      </c>
      <c r="L96" s="3">
        <v>998.727628231</v>
      </c>
      <c r="N96" s="3">
        <v>0.0</v>
      </c>
      <c r="O96" s="3">
        <v>200.0</v>
      </c>
      <c r="P96" s="3">
        <v>0.0</v>
      </c>
      <c r="Q96" s="3">
        <v>1845.0</v>
      </c>
      <c r="S96" s="3">
        <v>0.00542005420054</v>
      </c>
      <c r="T96" s="3" t="s">
        <v>27</v>
      </c>
      <c r="U96" s="3" t="s">
        <v>283</v>
      </c>
    </row>
    <row r="97">
      <c r="A97" s="3" t="s">
        <v>21</v>
      </c>
      <c r="B97" s="3" t="s">
        <v>114</v>
      </c>
      <c r="C97" s="3" t="s">
        <v>23</v>
      </c>
      <c r="D97" s="3" t="s">
        <v>64</v>
      </c>
      <c r="E97" s="3" t="s">
        <v>51</v>
      </c>
      <c r="F97" s="3">
        <v>0.0</v>
      </c>
      <c r="G97" s="3" t="s">
        <v>227</v>
      </c>
      <c r="H97" s="3">
        <v>368.0</v>
      </c>
      <c r="I97" s="3" t="s">
        <v>27</v>
      </c>
      <c r="J97" s="3">
        <v>1.0</v>
      </c>
      <c r="L97" s="3">
        <v>1099.43832469</v>
      </c>
      <c r="N97" s="3">
        <v>0.0</v>
      </c>
      <c r="O97" s="3">
        <v>200.0</v>
      </c>
      <c r="P97" s="3">
        <v>0.0</v>
      </c>
      <c r="Q97" s="3">
        <v>1840.0</v>
      </c>
      <c r="S97" s="3">
        <v>0.00271739130435</v>
      </c>
      <c r="T97" s="3" t="s">
        <v>27</v>
      </c>
      <c r="U97" s="3" t="s">
        <v>285</v>
      </c>
    </row>
    <row r="98">
      <c r="A98" s="3" t="s">
        <v>21</v>
      </c>
      <c r="B98" s="3" t="s">
        <v>114</v>
      </c>
      <c r="C98" s="3" t="s">
        <v>23</v>
      </c>
      <c r="D98" s="3" t="s">
        <v>102</v>
      </c>
      <c r="E98" s="3" t="s">
        <v>25</v>
      </c>
      <c r="F98" s="3">
        <v>0.0</v>
      </c>
      <c r="G98" s="3" t="s">
        <v>227</v>
      </c>
      <c r="H98" s="3">
        <v>151.0</v>
      </c>
      <c r="I98" s="3" t="s">
        <v>27</v>
      </c>
      <c r="J98" s="3">
        <v>0.0</v>
      </c>
      <c r="L98" s="3">
        <v>1271.09845471</v>
      </c>
      <c r="M98" s="3">
        <v>79.0</v>
      </c>
      <c r="N98" s="3">
        <v>1.0</v>
      </c>
      <c r="O98" s="3">
        <v>279.0</v>
      </c>
      <c r="P98" s="3">
        <v>3.58422939068</v>
      </c>
      <c r="Q98" s="3">
        <v>541.218637993</v>
      </c>
      <c r="R98" s="3">
        <v>151.0</v>
      </c>
      <c r="S98" s="3">
        <v>0.0</v>
      </c>
      <c r="T98" s="3" t="s">
        <v>27</v>
      </c>
      <c r="U98" s="3" t="s">
        <v>287</v>
      </c>
    </row>
    <row r="99">
      <c r="A99" s="3" t="s">
        <v>21</v>
      </c>
      <c r="B99" s="3" t="s">
        <v>114</v>
      </c>
      <c r="C99" s="3" t="s">
        <v>23</v>
      </c>
      <c r="D99" s="3" t="s">
        <v>102</v>
      </c>
      <c r="E99" s="3" t="s">
        <v>34</v>
      </c>
      <c r="F99" s="3">
        <v>0.0</v>
      </c>
      <c r="G99" s="3" t="s">
        <v>227</v>
      </c>
      <c r="H99" s="3">
        <v>127.0</v>
      </c>
      <c r="I99" s="3" t="s">
        <v>27</v>
      </c>
      <c r="J99" s="3">
        <v>0.0</v>
      </c>
      <c r="L99" s="3">
        <v>1019.81371045</v>
      </c>
      <c r="N99" s="3">
        <v>0.0</v>
      </c>
      <c r="O99" s="3">
        <v>200.0</v>
      </c>
      <c r="P99" s="3">
        <v>0.0</v>
      </c>
      <c r="Q99" s="3">
        <v>635.0</v>
      </c>
      <c r="S99" s="3">
        <v>0.0</v>
      </c>
      <c r="T99" s="3" t="s">
        <v>27</v>
      </c>
      <c r="U99" s="3" t="s">
        <v>289</v>
      </c>
    </row>
    <row r="100">
      <c r="A100" s="3" t="s">
        <v>21</v>
      </c>
      <c r="B100" s="3" t="s">
        <v>114</v>
      </c>
      <c r="C100" s="3" t="s">
        <v>23</v>
      </c>
      <c r="D100" s="3" t="s">
        <v>102</v>
      </c>
      <c r="E100" s="3" t="s">
        <v>39</v>
      </c>
      <c r="F100" s="3">
        <v>0.0</v>
      </c>
      <c r="G100" s="3" t="s">
        <v>227</v>
      </c>
      <c r="H100" s="3">
        <v>129.0</v>
      </c>
      <c r="I100" s="3" t="s">
        <v>27</v>
      </c>
      <c r="J100" s="3">
        <v>0.0</v>
      </c>
      <c r="L100" s="3">
        <v>1091.91343093</v>
      </c>
      <c r="N100" s="3">
        <v>0.0</v>
      </c>
      <c r="O100" s="3">
        <v>200.0</v>
      </c>
      <c r="P100" s="3">
        <v>0.0</v>
      </c>
      <c r="Q100" s="3">
        <v>645.0</v>
      </c>
      <c r="S100" s="3">
        <v>0.0</v>
      </c>
      <c r="T100" s="3" t="s">
        <v>27</v>
      </c>
      <c r="U100" s="3" t="s">
        <v>292</v>
      </c>
    </row>
    <row r="101">
      <c r="A101" s="3" t="s">
        <v>21</v>
      </c>
      <c r="B101" s="3" t="s">
        <v>114</v>
      </c>
      <c r="C101" s="3" t="s">
        <v>23</v>
      </c>
      <c r="D101" s="3" t="s">
        <v>102</v>
      </c>
      <c r="E101" s="3" t="s">
        <v>43</v>
      </c>
      <c r="F101" s="3">
        <v>0.0</v>
      </c>
      <c r="G101" s="3" t="s">
        <v>227</v>
      </c>
      <c r="H101" s="3">
        <v>168.0</v>
      </c>
      <c r="I101" s="3" t="s">
        <v>27</v>
      </c>
      <c r="J101" s="3">
        <v>0.0</v>
      </c>
      <c r="L101" s="3">
        <v>1525.12718582</v>
      </c>
      <c r="N101" s="3">
        <v>0.0</v>
      </c>
      <c r="O101" s="3">
        <v>200.0</v>
      </c>
      <c r="P101" s="3">
        <v>0.0</v>
      </c>
      <c r="Q101" s="3">
        <v>840.0</v>
      </c>
      <c r="S101" s="3">
        <v>0.0</v>
      </c>
      <c r="T101" s="3" t="s">
        <v>27</v>
      </c>
      <c r="U101" s="3" t="s">
        <v>294</v>
      </c>
    </row>
    <row r="102">
      <c r="A102" s="3" t="s">
        <v>21</v>
      </c>
      <c r="B102" s="3" t="s">
        <v>114</v>
      </c>
      <c r="C102" s="3" t="s">
        <v>23</v>
      </c>
      <c r="D102" s="3" t="s">
        <v>102</v>
      </c>
      <c r="E102" s="3" t="s">
        <v>47</v>
      </c>
      <c r="F102" s="3">
        <v>0.0</v>
      </c>
      <c r="G102" s="3" t="s">
        <v>227</v>
      </c>
      <c r="H102" s="3">
        <v>345.0</v>
      </c>
      <c r="I102" s="3" t="s">
        <v>27</v>
      </c>
      <c r="J102" s="3">
        <v>0.0</v>
      </c>
      <c r="L102" s="3">
        <v>2983.63173342</v>
      </c>
      <c r="N102" s="3">
        <v>0.0</v>
      </c>
      <c r="O102" s="3">
        <v>200.0</v>
      </c>
      <c r="P102" s="3">
        <v>0.0</v>
      </c>
      <c r="Q102" s="3">
        <v>1725.0</v>
      </c>
      <c r="S102" s="3">
        <v>0.0</v>
      </c>
      <c r="T102" s="3" t="s">
        <v>27</v>
      </c>
      <c r="U102" s="3" t="s">
        <v>296</v>
      </c>
    </row>
    <row r="103">
      <c r="A103" s="3" t="s">
        <v>21</v>
      </c>
      <c r="B103" s="3" t="s">
        <v>114</v>
      </c>
      <c r="C103" s="3" t="s">
        <v>23</v>
      </c>
      <c r="D103" s="3" t="s">
        <v>102</v>
      </c>
      <c r="E103" s="3" t="s">
        <v>51</v>
      </c>
      <c r="F103" s="3">
        <v>0.0</v>
      </c>
      <c r="G103" s="3" t="s">
        <v>227</v>
      </c>
      <c r="H103" s="3">
        <v>353.0</v>
      </c>
      <c r="I103" s="3" t="s">
        <v>27</v>
      </c>
      <c r="J103" s="3">
        <v>0.0</v>
      </c>
      <c r="L103" s="3">
        <v>3236.72601128</v>
      </c>
      <c r="M103" s="3">
        <v>115.0</v>
      </c>
      <c r="N103" s="3">
        <v>1.0</v>
      </c>
      <c r="O103" s="3">
        <v>315.0</v>
      </c>
      <c r="P103" s="3">
        <v>3.1746031746</v>
      </c>
      <c r="Q103" s="3">
        <v>1120.63492063</v>
      </c>
      <c r="R103" s="3">
        <v>353.0</v>
      </c>
      <c r="S103" s="3">
        <v>0.0</v>
      </c>
      <c r="T103" s="3" t="s">
        <v>27</v>
      </c>
      <c r="U103" s="3" t="s">
        <v>299</v>
      </c>
    </row>
    <row r="104">
      <c r="A104" s="3" t="s">
        <v>21</v>
      </c>
      <c r="B104" s="3" t="s">
        <v>114</v>
      </c>
      <c r="C104" s="3" t="s">
        <v>23</v>
      </c>
      <c r="D104" s="3" t="s">
        <v>118</v>
      </c>
      <c r="E104" s="3" t="s">
        <v>25</v>
      </c>
      <c r="F104" s="3">
        <v>0.0</v>
      </c>
      <c r="G104" s="3" t="s">
        <v>227</v>
      </c>
      <c r="H104" s="3">
        <v>163.0</v>
      </c>
      <c r="I104" s="3" t="s">
        <v>27</v>
      </c>
      <c r="J104" s="3">
        <v>0.0</v>
      </c>
      <c r="L104" s="3">
        <v>310.160721779</v>
      </c>
      <c r="M104" s="3">
        <v>78.0</v>
      </c>
      <c r="N104" s="3">
        <v>1.0</v>
      </c>
      <c r="O104" s="3">
        <v>278.0</v>
      </c>
      <c r="P104" s="3">
        <v>3.59712230216</v>
      </c>
      <c r="Q104" s="3">
        <v>586.330935252</v>
      </c>
      <c r="R104" s="3">
        <v>163.0</v>
      </c>
      <c r="S104" s="3">
        <v>0.0</v>
      </c>
      <c r="T104" s="3" t="s">
        <v>27</v>
      </c>
      <c r="U104" s="3" t="s">
        <v>301</v>
      </c>
    </row>
    <row r="105">
      <c r="A105" s="3" t="s">
        <v>21</v>
      </c>
      <c r="B105" s="3" t="s">
        <v>114</v>
      </c>
      <c r="C105" s="3" t="s">
        <v>23</v>
      </c>
      <c r="D105" s="3" t="s">
        <v>118</v>
      </c>
      <c r="E105" s="3" t="s">
        <v>34</v>
      </c>
      <c r="F105" s="3">
        <v>0.0</v>
      </c>
      <c r="G105" s="3" t="s">
        <v>227</v>
      </c>
      <c r="H105" s="3">
        <v>187.0</v>
      </c>
      <c r="I105" s="3" t="s">
        <v>27</v>
      </c>
      <c r="J105" s="3">
        <v>0.0</v>
      </c>
      <c r="L105" s="3">
        <v>462.689125061</v>
      </c>
      <c r="N105" s="3">
        <v>0.0</v>
      </c>
      <c r="O105" s="3">
        <v>200.0</v>
      </c>
      <c r="P105" s="3">
        <v>0.0</v>
      </c>
      <c r="Q105" s="3">
        <v>935.0</v>
      </c>
      <c r="S105" s="3">
        <v>0.0</v>
      </c>
      <c r="T105" s="3" t="s">
        <v>27</v>
      </c>
      <c r="U105" s="3" t="s">
        <v>303</v>
      </c>
    </row>
    <row r="106">
      <c r="A106" s="3" t="s">
        <v>21</v>
      </c>
      <c r="B106" s="3" t="s">
        <v>114</v>
      </c>
      <c r="C106" s="3" t="s">
        <v>23</v>
      </c>
      <c r="D106" s="3" t="s">
        <v>118</v>
      </c>
      <c r="E106" s="3" t="s">
        <v>39</v>
      </c>
      <c r="F106" s="3">
        <v>0.0</v>
      </c>
      <c r="G106" s="3" t="s">
        <v>227</v>
      </c>
      <c r="H106" s="3">
        <v>207.0</v>
      </c>
      <c r="I106" s="3" t="s">
        <v>27</v>
      </c>
      <c r="J106" s="3">
        <v>0.0</v>
      </c>
      <c r="L106" s="3">
        <v>588.673070431</v>
      </c>
      <c r="M106" s="3">
        <v>71.0</v>
      </c>
      <c r="N106" s="3">
        <v>1.0</v>
      </c>
      <c r="O106" s="3">
        <v>271.0</v>
      </c>
      <c r="P106" s="3">
        <v>3.69003690037</v>
      </c>
      <c r="Q106" s="3">
        <v>763.837638376</v>
      </c>
      <c r="R106" s="3">
        <v>207.0</v>
      </c>
      <c r="S106" s="3">
        <v>0.0</v>
      </c>
      <c r="T106" s="3" t="s">
        <v>27</v>
      </c>
      <c r="U106" s="3" t="s">
        <v>307</v>
      </c>
    </row>
    <row r="107">
      <c r="A107" s="3" t="s">
        <v>21</v>
      </c>
      <c r="B107" s="3" t="s">
        <v>114</v>
      </c>
      <c r="C107" s="3" t="s">
        <v>23</v>
      </c>
      <c r="D107" s="3" t="s">
        <v>118</v>
      </c>
      <c r="E107" s="3" t="s">
        <v>43</v>
      </c>
      <c r="F107" s="3">
        <v>0.0</v>
      </c>
      <c r="G107" s="3" t="s">
        <v>227</v>
      </c>
      <c r="H107" s="3">
        <v>361.0</v>
      </c>
      <c r="I107" s="3" t="s">
        <v>27</v>
      </c>
      <c r="J107" s="3">
        <v>1.0</v>
      </c>
      <c r="L107" s="3">
        <v>1272.1483295</v>
      </c>
      <c r="M107" s="3">
        <v>93.0</v>
      </c>
      <c r="N107" s="3">
        <v>2.0</v>
      </c>
      <c r="O107" s="3">
        <v>373.0</v>
      </c>
      <c r="P107" s="3">
        <v>5.36193029491</v>
      </c>
      <c r="Q107" s="3">
        <v>967.828418231</v>
      </c>
      <c r="R107" s="3">
        <v>180.5</v>
      </c>
      <c r="S107" s="3">
        <v>0.00277008310249</v>
      </c>
      <c r="T107" s="3" t="s">
        <v>27</v>
      </c>
      <c r="U107" s="3" t="s">
        <v>310</v>
      </c>
    </row>
    <row r="108">
      <c r="A108" s="3" t="s">
        <v>21</v>
      </c>
      <c r="B108" s="3" t="s">
        <v>114</v>
      </c>
      <c r="C108" s="3" t="s">
        <v>23</v>
      </c>
      <c r="D108" s="3" t="s">
        <v>118</v>
      </c>
      <c r="E108" s="3" t="s">
        <v>47</v>
      </c>
      <c r="F108" s="3">
        <v>0.0</v>
      </c>
      <c r="G108" s="3" t="s">
        <v>227</v>
      </c>
      <c r="H108" s="3">
        <v>166.0</v>
      </c>
      <c r="I108" s="3" t="s">
        <v>27</v>
      </c>
      <c r="J108" s="3">
        <v>0.0</v>
      </c>
      <c r="L108" s="3">
        <v>660.415882826</v>
      </c>
      <c r="N108" s="3">
        <v>0.0</v>
      </c>
      <c r="O108" s="3">
        <v>200.0</v>
      </c>
      <c r="P108" s="3">
        <v>0.0</v>
      </c>
      <c r="Q108" s="3">
        <v>830.0</v>
      </c>
      <c r="S108" s="3">
        <v>0.0</v>
      </c>
      <c r="T108" s="3" t="s">
        <v>27</v>
      </c>
      <c r="U108" s="3" t="s">
        <v>312</v>
      </c>
    </row>
    <row r="109">
      <c r="A109" s="3" t="s">
        <v>21</v>
      </c>
      <c r="B109" s="3" t="s">
        <v>114</v>
      </c>
      <c r="C109" s="3" t="s">
        <v>23</v>
      </c>
      <c r="D109" s="3" t="s">
        <v>118</v>
      </c>
      <c r="E109" s="3" t="s">
        <v>51</v>
      </c>
      <c r="F109" s="3">
        <v>0.0</v>
      </c>
      <c r="G109" s="3" t="s">
        <v>227</v>
      </c>
      <c r="H109" s="3">
        <v>427.0</v>
      </c>
      <c r="I109" s="3" t="s">
        <v>27</v>
      </c>
      <c r="J109" s="3">
        <v>1.0</v>
      </c>
      <c r="L109" s="3">
        <v>1849.97412467</v>
      </c>
      <c r="M109" s="3">
        <v>157.0</v>
      </c>
      <c r="N109" s="3">
        <v>3.0</v>
      </c>
      <c r="O109" s="3">
        <v>488.0</v>
      </c>
      <c r="P109" s="3">
        <v>6.14754098361</v>
      </c>
      <c r="Q109" s="3">
        <v>875.0</v>
      </c>
      <c r="R109" s="3">
        <v>142.333333333</v>
      </c>
      <c r="S109" s="3">
        <v>0.00234192037471</v>
      </c>
      <c r="T109" s="3" t="s">
        <v>27</v>
      </c>
      <c r="U109" s="3" t="s">
        <v>315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0.0"/>
    <col customWidth="1" min="3" max="3" width="27.75"/>
    <col customWidth="1" min="4" max="4" width="31.75"/>
    <col customWidth="1" min="5" max="5" width="24.25"/>
    <col customWidth="1" min="6" max="6" width="21.0"/>
    <col customWidth="1" min="7" max="7" width="24.13"/>
    <col customWidth="1" min="8" max="8" width="23.13"/>
    <col customWidth="1" min="9" max="9" width="21.0"/>
    <col customWidth="1" min="15" max="15" width="29.0"/>
  </cols>
  <sheetData>
    <row r="1">
      <c r="A1" s="6" t="s">
        <v>4</v>
      </c>
      <c r="B1" s="6" t="s">
        <v>149</v>
      </c>
      <c r="C1" s="6" t="s">
        <v>151</v>
      </c>
      <c r="D1" s="6" t="s">
        <v>152</v>
      </c>
      <c r="E1" s="1" t="s">
        <v>153</v>
      </c>
      <c r="F1" s="6" t="s">
        <v>155</v>
      </c>
      <c r="G1" s="6" t="s">
        <v>156</v>
      </c>
      <c r="H1" s="6" t="s">
        <v>157</v>
      </c>
      <c r="I1" s="1" t="s">
        <v>23</v>
      </c>
    </row>
    <row r="2">
      <c r="A2" s="3" t="s">
        <v>25</v>
      </c>
      <c r="B2" s="5">
        <f>COUNTIFS('Data Combined - all-runs'!$E:$E, A2, 'Data Combined - all-runs'!$C:$C, "Json")</f>
        <v>39</v>
      </c>
      <c r="C2" s="5">
        <f>AVERAGEIFS('Data Combined - all-runs'!$H:$H, 'Data Combined - all-runs'!$E:$E, A2, 'Data Combined - all-runs'!$C:$C, "Json")</f>
        <v>483.3333333</v>
      </c>
      <c r="D2" s="5">
        <f>AVERAGEIFS('Data Combined - all-runs'!$N:$N, 'Data Combined - all-runs'!$E:$E, A2, 'Data Combined - all-runs'!$C:$C, "Json")</f>
        <v>1.358974359</v>
      </c>
      <c r="E2" s="5">
        <f t="shared" ref="E2:E7" si="1"> (D2/C2)*1000</f>
        <v>2.811671088</v>
      </c>
      <c r="F2" s="5">
        <f>COUNTIFS('Data Combined - all-runs'!$E:$E, A2, 'Data Combined - all-runs'!$C:$C, "Natural")</f>
        <v>55</v>
      </c>
      <c r="G2" s="3">
        <f>AVERAGEIFS('Data Combined - all-runs'!$H:$H, 'Data Combined - all-runs'!$E:$E, A2, 'Data Combined - all-runs'!$C:$C, "Natural")</f>
        <v>697.3818182</v>
      </c>
      <c r="H2" s="5">
        <f>AVERAGEIFS('Data Combined - all-runs'!$N:$N, 'Data Combined - all-runs'!$E:$E, A2, 'Data Combined - all-runs'!$C:$C, "Natural")</f>
        <v>5</v>
      </c>
      <c r="I2" s="5">
        <f t="shared" ref="I2:I7" si="2"> (H2/G2)*1000</f>
        <v>7.169673584</v>
      </c>
      <c r="K2" s="2"/>
      <c r="L2" s="2"/>
      <c r="M2" s="2"/>
      <c r="N2" s="2"/>
      <c r="O2" s="2"/>
      <c r="P2" s="7"/>
      <c r="Q2" s="7"/>
    </row>
    <row r="3">
      <c r="A3" s="3" t="s">
        <v>39</v>
      </c>
      <c r="B3" s="5">
        <f>COUNTIFS('Data Combined - all-runs'!$E:$E, A3, 'Data Combined - all-runs'!$C:$C, "Json")</f>
        <v>39</v>
      </c>
      <c r="C3" s="5">
        <f>AVERAGEIFS('Data Combined - all-runs'!$H:$H, 'Data Combined - all-runs'!$E:$E, A3, 'Data Combined - all-runs'!$C:$C, "Json")</f>
        <v>476.6153846</v>
      </c>
      <c r="D3" s="5">
        <f>AVERAGEIFS('Data Combined - all-runs'!$N:$N, 'Data Combined - all-runs'!$E:$E, A3, 'Data Combined - all-runs'!$C:$C, "Json")</f>
        <v>0.641025641</v>
      </c>
      <c r="E3" s="5">
        <f t="shared" si="1"/>
        <v>1.344953734</v>
      </c>
      <c r="F3" s="5">
        <f>COUNTIFS('Data Combined - all-runs'!$E:$E, A3, 'Data Combined - all-runs'!$C:$C, "Natural")</f>
        <v>53</v>
      </c>
      <c r="G3" s="3">
        <f>AVERAGEIFS('Data Combined - all-runs'!$H:$H, 'Data Combined - all-runs'!$E:$E, A3, 'Data Combined - all-runs'!$C:$C, "Natural")</f>
        <v>939.3207547</v>
      </c>
      <c r="H3" s="5">
        <f>AVERAGEIFS('Data Combined - all-runs'!$N:$N, 'Data Combined - all-runs'!$E:$E, A3, 'Data Combined - all-runs'!$C:$C, "Natural")</f>
        <v>3.490566038</v>
      </c>
      <c r="I3" s="5">
        <f t="shared" si="2"/>
        <v>3.71605335</v>
      </c>
      <c r="K3" s="2"/>
      <c r="L3" s="2"/>
      <c r="M3" s="2"/>
      <c r="N3" s="2"/>
      <c r="O3" s="2"/>
      <c r="P3" s="7"/>
      <c r="Q3" s="7"/>
    </row>
    <row r="4">
      <c r="A4" s="3" t="s">
        <v>43</v>
      </c>
      <c r="B4" s="5">
        <f>COUNTIFS('Data Combined - all-runs'!$E:$E, A4, 'Data Combined - all-runs'!$C:$C, "Json")</f>
        <v>37</v>
      </c>
      <c r="C4" s="5">
        <f>AVERAGEIFS('Data Combined - all-runs'!$H:$H, 'Data Combined - all-runs'!$E:$E, A4, 'Data Combined - all-runs'!$C:$C, "Json")</f>
        <v>1027.243243</v>
      </c>
      <c r="D4" s="5">
        <f>AVERAGEIFS('Data Combined - all-runs'!$N:$N, 'Data Combined - all-runs'!$E:$E, A4, 'Data Combined - all-runs'!$C:$C, "Json")</f>
        <v>4.540540541</v>
      </c>
      <c r="E4" s="5">
        <f t="shared" si="1"/>
        <v>4.42012208</v>
      </c>
      <c r="F4" s="5">
        <f>COUNTIFS('Data Combined - all-runs'!$E:$E, A4, 'Data Combined - all-runs'!$C:$C, "Natural")</f>
        <v>49</v>
      </c>
      <c r="G4" s="3">
        <f>AVERAGEIFS('Data Combined - all-runs'!$H:$H, 'Data Combined - all-runs'!$E:$E, A4, 'Data Combined - all-runs'!$C:$C, "Natural")</f>
        <v>1557.979592</v>
      </c>
      <c r="H4" s="5">
        <f>AVERAGEIFS('Data Combined - all-runs'!$N:$N, 'Data Combined - all-runs'!$E:$E, A4, 'Data Combined - all-runs'!$C:$C, "Natural")</f>
        <v>11.18367347</v>
      </c>
      <c r="I4" s="5">
        <f t="shared" si="2"/>
        <v>7.178318335</v>
      </c>
      <c r="K4" s="2"/>
      <c r="L4" s="2"/>
      <c r="M4" s="2"/>
      <c r="N4" s="2"/>
      <c r="O4" s="2"/>
      <c r="P4" s="7"/>
      <c r="Q4" s="7"/>
    </row>
    <row r="5">
      <c r="A5" s="3" t="s">
        <v>34</v>
      </c>
      <c r="B5" s="5">
        <f>COUNTIFS('Data Combined - all-runs'!$E:$E, A5, 'Data Combined - all-runs'!$C:$C, "Json")</f>
        <v>33</v>
      </c>
      <c r="C5" s="5">
        <f>AVERAGEIFS('Data Combined - all-runs'!$H:$H, 'Data Combined - all-runs'!$E:$E, A5, 'Data Combined - all-runs'!$C:$C, "Json")</f>
        <v>1437.818182</v>
      </c>
      <c r="D5" s="5">
        <f>AVERAGEIFS('Data Combined - all-runs'!$N:$N, 'Data Combined - all-runs'!$E:$E, A5, 'Data Combined - all-runs'!$C:$C, "Json")</f>
        <v>3.878787879</v>
      </c>
      <c r="E5" s="5">
        <f t="shared" si="1"/>
        <v>2.697690103</v>
      </c>
      <c r="F5" s="5">
        <f>COUNTIFS('Data Combined - all-runs'!$E:$E, A5, 'Data Combined - all-runs'!$C:$C, "Natural")</f>
        <v>48</v>
      </c>
      <c r="G5" s="3">
        <f>AVERAGEIFS('Data Combined - all-runs'!$H:$H, 'Data Combined - all-runs'!$E:$E, A5, 'Data Combined - all-runs'!$C:$C, "Natural")</f>
        <v>1919.333333</v>
      </c>
      <c r="H5" s="5">
        <f>AVERAGEIFS('Data Combined - all-runs'!$N:$N, 'Data Combined - all-runs'!$E:$E, A5, 'Data Combined - all-runs'!$C:$C, "Natural")</f>
        <v>7</v>
      </c>
      <c r="I5" s="5">
        <f t="shared" si="2"/>
        <v>3.647099687</v>
      </c>
      <c r="K5" s="2"/>
      <c r="L5" s="2"/>
      <c r="M5" s="2"/>
      <c r="N5" s="2"/>
      <c r="O5" s="2"/>
      <c r="P5" s="7"/>
      <c r="Q5" s="7"/>
    </row>
    <row r="6">
      <c r="A6" s="3" t="s">
        <v>47</v>
      </c>
      <c r="B6" s="5">
        <f>COUNTIFS('Data Combined - all-runs'!$E:$E, A6, 'Data Combined - all-runs'!$C:$C, "Json")</f>
        <v>38</v>
      </c>
      <c r="C6" s="5">
        <f>AVERAGEIFS('Data Combined - all-runs'!$H:$H, 'Data Combined - all-runs'!$E:$E, A6, 'Data Combined - all-runs'!$C:$C, "Json")</f>
        <v>1152.526316</v>
      </c>
      <c r="D6" s="5">
        <f>AVERAGEIFS('Data Combined - all-runs'!$N:$N, 'Data Combined - all-runs'!$E:$E, A6, 'Data Combined - all-runs'!$C:$C, "Json")</f>
        <v>2.921052632</v>
      </c>
      <c r="E6" s="5">
        <f t="shared" si="1"/>
        <v>2.534478035</v>
      </c>
      <c r="F6" s="5">
        <f>COUNTIFS('Data Combined - all-runs'!$E:$E, A6, 'Data Combined - all-runs'!$C:$C, "Natural")</f>
        <v>52</v>
      </c>
      <c r="G6" s="3">
        <f>AVERAGEIFS('Data Combined - all-runs'!$H:$H, 'Data Combined - all-runs'!$E:$E, A6, 'Data Combined - all-runs'!$C:$C, "Natural")</f>
        <v>1989.596154</v>
      </c>
      <c r="H6" s="5">
        <f>AVERAGEIFS('Data Combined - all-runs'!$N:$N, 'Data Combined - all-runs'!$E:$E, A6, 'Data Combined - all-runs'!$C:$C, "Natural")</f>
        <v>8.538461538</v>
      </c>
      <c r="I6" s="5">
        <f t="shared" si="2"/>
        <v>4.291555109</v>
      </c>
      <c r="K6" s="2"/>
      <c r="L6" s="2"/>
      <c r="M6" s="2"/>
      <c r="N6" s="2"/>
      <c r="O6" s="2"/>
      <c r="P6" s="7"/>
      <c r="Q6" s="7"/>
    </row>
    <row r="7">
      <c r="A7" s="3" t="s">
        <v>51</v>
      </c>
      <c r="B7" s="5">
        <f>COUNTIFS('Data Combined - all-runs'!$E:$E, A7, 'Data Combined - all-runs'!$C:$C, "Json")</f>
        <v>35</v>
      </c>
      <c r="C7" s="5">
        <f>AVERAGEIFS('Data Combined - all-runs'!$H:$H, 'Data Combined - all-runs'!$E:$E, A7, 'Data Combined - all-runs'!$C:$C, "Json")</f>
        <v>1056.714286</v>
      </c>
      <c r="D7" s="5">
        <f>AVERAGEIFS('Data Combined - all-runs'!$N:$N, 'Data Combined - all-runs'!$E:$E, A7, 'Data Combined - all-runs'!$C:$C, "Json")</f>
        <v>2.771428571</v>
      </c>
      <c r="E7" s="5">
        <f t="shared" si="1"/>
        <v>2.622684872</v>
      </c>
      <c r="F7" s="5">
        <f>COUNTIFS('Data Combined - all-runs'!$E:$E, A7, 'Data Combined - all-runs'!$C:$C, "Natural")</f>
        <v>48</v>
      </c>
      <c r="G7" s="3">
        <f>AVERAGEIFS('Data Combined - all-runs'!$H:$H, 'Data Combined - all-runs'!$E:$E, A7, 'Data Combined - all-runs'!$C:$C, "Natural")</f>
        <v>1384.5625</v>
      </c>
      <c r="H7" s="5">
        <f>AVERAGEIFS('Data Combined - all-runs'!$N:$N, 'Data Combined - all-runs'!$E:$E, A7, 'Data Combined - all-runs'!$C:$C, "Natural")</f>
        <v>9.4375</v>
      </c>
      <c r="I7" s="5">
        <f t="shared" si="2"/>
        <v>6.816232564</v>
      </c>
      <c r="K7" s="2"/>
      <c r="L7" s="2"/>
      <c r="M7" s="2"/>
      <c r="N7" s="2"/>
      <c r="O7" s="2"/>
      <c r="P7" s="7"/>
      <c r="Q7" s="7"/>
    </row>
    <row r="8">
      <c r="K8" s="2"/>
      <c r="L8" s="2"/>
      <c r="M8" s="2"/>
      <c r="N8" s="2"/>
      <c r="O8" s="2"/>
      <c r="P8" s="7"/>
      <c r="Q8" s="7"/>
    </row>
    <row r="9">
      <c r="A9" s="3" t="s">
        <v>241</v>
      </c>
      <c r="B9" s="5">
        <f t="shared" ref="B9:D9" si="3">SUM(B2:B7)</f>
        <v>221</v>
      </c>
      <c r="C9" s="5">
        <f t="shared" si="3"/>
        <v>5634.250745</v>
      </c>
      <c r="D9" s="5">
        <f t="shared" si="3"/>
        <v>16.11180962</v>
      </c>
      <c r="E9" s="4">
        <f> (D9/C9)*1000</f>
        <v>2.859618848</v>
      </c>
      <c r="F9" s="5">
        <f t="shared" ref="F9:H9" si="4">SUM(F2:F7)</f>
        <v>305</v>
      </c>
      <c r="G9" s="5">
        <f t="shared" si="4"/>
        <v>8488.174152</v>
      </c>
      <c r="H9" s="5">
        <f t="shared" si="4"/>
        <v>44.65020105</v>
      </c>
      <c r="I9" s="4">
        <f> (H9/G9)*1000</f>
        <v>5.260283336</v>
      </c>
      <c r="K9" s="2"/>
      <c r="L9" s="2"/>
      <c r="M9" s="2"/>
      <c r="N9" s="2"/>
      <c r="O9" s="2"/>
      <c r="P9" s="7"/>
      <c r="Q9" s="7"/>
    </row>
    <row r="10">
      <c r="K10" s="2"/>
      <c r="L10" s="2"/>
      <c r="M10" s="2"/>
      <c r="N10" s="2"/>
      <c r="O10" s="2"/>
      <c r="P10" s="7"/>
      <c r="Q10" s="7"/>
    </row>
    <row r="11">
      <c r="E11" s="1" t="s">
        <v>249</v>
      </c>
      <c r="I11" s="1" t="s">
        <v>249</v>
      </c>
      <c r="K11" s="2"/>
      <c r="L11" s="2"/>
      <c r="M11" s="2"/>
      <c r="N11" s="2"/>
      <c r="O11" s="2"/>
      <c r="P11" s="7"/>
      <c r="Q11" s="7"/>
    </row>
    <row r="14">
      <c r="A14" s="1" t="s">
        <v>3</v>
      </c>
      <c r="B14" s="6" t="s">
        <v>149</v>
      </c>
      <c r="C14" s="6" t="s">
        <v>151</v>
      </c>
      <c r="D14" s="6" t="s">
        <v>152</v>
      </c>
      <c r="E14" s="1" t="s">
        <v>252</v>
      </c>
      <c r="F14" s="6" t="s">
        <v>155</v>
      </c>
      <c r="G14" s="6" t="s">
        <v>156</v>
      </c>
      <c r="H14" s="6" t="s">
        <v>157</v>
      </c>
      <c r="I14" s="1" t="s">
        <v>23</v>
      </c>
    </row>
    <row r="15">
      <c r="A15" s="3" t="s">
        <v>24</v>
      </c>
      <c r="B15" s="5">
        <f>COUNTIFS('Data Combined - all-runs'!$D:$D, A15, 'Data Combined - all-runs'!$C:$C, "Json")</f>
        <v>58</v>
      </c>
      <c r="C15" s="5">
        <f>AVERAGEIFS('Data Combined - all-runs'!$H:$H, 'Data Combined - all-runs'!$D:$D, A15, 'Data Combined - all-runs'!$C:$C, "Json")</f>
        <v>760.3448276</v>
      </c>
      <c r="D15" s="5">
        <f>AVERAGEIFS('Data Combined - all-runs'!$N:$N, 'Data Combined - all-runs'!$D:$D, A15, 'Data Combined - all-runs'!$C:$C, "Json")</f>
        <v>0.3275862069</v>
      </c>
      <c r="E15" s="5">
        <f t="shared" ref="E15:E20" si="5"> (D15/C15)*1000</f>
        <v>0.4308390023</v>
      </c>
      <c r="F15" s="5">
        <f>COUNTIFS('Data Combined - all-runs'!$D:$D, A15, 'Data Combined - all-runs'!$C:$C, "Natural")</f>
        <v>64</v>
      </c>
      <c r="G15" s="5">
        <f>AVERAGEIFS('Data Combined - all-runs'!$H:$H, 'Data Combined - all-runs'!$D:$D, A15, 'Data Combined - all-runs'!$C:$C, "Natural")</f>
        <v>1298.234375</v>
      </c>
      <c r="H15" s="5">
        <f>AVERAGEIFS('Data Combined - all-runs'!$N:$N, 'Data Combined - all-runs'!$D:$D, A15, 'Data Combined - all-runs'!$C:$C, "Natural")</f>
        <v>4.390625</v>
      </c>
      <c r="I15" s="5">
        <f t="shared" ref="I15:I20" si="6"> (H15/G15)*1000</f>
        <v>3.381997184</v>
      </c>
    </row>
    <row r="16">
      <c r="A16" s="3" t="s">
        <v>54</v>
      </c>
      <c r="B16" s="5">
        <f>COUNTIFS('Data Combined - all-runs'!$D:$D, A16, 'Data Combined - all-runs'!$C:$C, "Json")</f>
        <v>36</v>
      </c>
      <c r="C16" s="5">
        <f>AVERAGEIFS('Data Combined - all-runs'!$H:$H, 'Data Combined - all-runs'!$D:$D, A16, 'Data Combined - all-runs'!$C:$C, "Json")</f>
        <v>1081.361111</v>
      </c>
      <c r="D16" s="5">
        <f>AVERAGEIFS('Data Combined - all-runs'!$N:$N, 'Data Combined - all-runs'!$D:$D, A16, 'Data Combined - all-runs'!$C:$C, "Json")</f>
        <v>1.611111111</v>
      </c>
      <c r="E16" s="5">
        <f t="shared" si="5"/>
        <v>1.489891854</v>
      </c>
      <c r="F16" s="5">
        <f>COUNTIFS('Data Combined - all-runs'!$D:$D, A16, 'Data Combined - all-runs'!$C:$C, "Natural")</f>
        <v>55</v>
      </c>
      <c r="G16" s="5">
        <f>AVERAGEIFS('Data Combined - all-runs'!$H:$H, 'Data Combined - all-runs'!$D:$D, A16, 'Data Combined - all-runs'!$C:$C, "Natural")</f>
        <v>2112.890909</v>
      </c>
      <c r="H16" s="5">
        <f>AVERAGEIFS('Data Combined - all-runs'!$N:$N, 'Data Combined - all-runs'!$D:$D, A16, 'Data Combined - all-runs'!$C:$C, "Natural")</f>
        <v>12.58181818</v>
      </c>
      <c r="I16" s="5">
        <f t="shared" si="6"/>
        <v>5.954788355</v>
      </c>
    </row>
    <row r="17">
      <c r="A17" s="3" t="s">
        <v>72</v>
      </c>
      <c r="B17" s="5">
        <f>COUNTIFS('Data Combined - all-runs'!$D:$D, A17, 'Data Combined - all-runs'!$C:$C, "Json")</f>
        <v>31</v>
      </c>
      <c r="C17" s="5">
        <f>AVERAGEIFS('Data Combined - all-runs'!$H:$H, 'Data Combined - all-runs'!$D:$D, A17, 'Data Combined - all-runs'!$C:$C, "Json")</f>
        <v>952.6774194</v>
      </c>
      <c r="D17" s="5">
        <f>AVERAGEIFS('Data Combined - all-runs'!$N:$N, 'Data Combined - all-runs'!$D:$D, A17, 'Data Combined - all-runs'!$C:$C, "Json")</f>
        <v>3.580645161</v>
      </c>
      <c r="E17" s="5">
        <f t="shared" si="5"/>
        <v>3.758507432</v>
      </c>
      <c r="F17" s="5">
        <f>COUNTIFS('Data Combined - all-runs'!$D:$D, A17, 'Data Combined - all-runs'!$C:$C, "Natural")</f>
        <v>50</v>
      </c>
      <c r="G17" s="5">
        <f>AVERAGEIFS('Data Combined - all-runs'!$H:$H, 'Data Combined - all-runs'!$D:$D, A17, 'Data Combined - all-runs'!$C:$C, "Natural")</f>
        <v>1901.6</v>
      </c>
      <c r="H17" s="5">
        <f>AVERAGEIFS('Data Combined - all-runs'!$N:$N, 'Data Combined - all-runs'!$D:$D, A17, 'Data Combined - all-runs'!$C:$C, "Natural")</f>
        <v>8.58</v>
      </c>
      <c r="I17" s="5">
        <f t="shared" si="6"/>
        <v>4.511989903</v>
      </c>
    </row>
    <row r="18">
      <c r="A18" s="3" t="s">
        <v>64</v>
      </c>
      <c r="B18" s="5">
        <f>COUNTIFS('Data Combined - all-runs'!$D:$D, A18, 'Data Combined - all-runs'!$C:$C, "Json")</f>
        <v>30</v>
      </c>
      <c r="C18" s="5">
        <f>AVERAGEIFS('Data Combined - all-runs'!$H:$H, 'Data Combined - all-runs'!$D:$D, A18, 'Data Combined - all-runs'!$C:$C, "Json")</f>
        <v>1329.966667</v>
      </c>
      <c r="D18" s="5">
        <f>AVERAGEIFS('Data Combined - all-runs'!$N:$N, 'Data Combined - all-runs'!$D:$D, A18, 'Data Combined - all-runs'!$C:$C, "Json")</f>
        <v>3.433333333</v>
      </c>
      <c r="E18" s="5">
        <f t="shared" si="5"/>
        <v>2.581518334</v>
      </c>
      <c r="F18" s="5">
        <f>COUNTIFS('Data Combined - all-runs'!$D:$D, A18, 'Data Combined - all-runs'!$C:$C, "Natural")</f>
        <v>64</v>
      </c>
      <c r="G18" s="5">
        <f>AVERAGEIFS('Data Combined - all-runs'!$H:$H, 'Data Combined - all-runs'!$D:$D, A18, 'Data Combined - all-runs'!$C:$C, "Natural")</f>
        <v>1070.09375</v>
      </c>
      <c r="H18" s="5">
        <f>AVERAGEIFS('Data Combined - all-runs'!$N:$N, 'Data Combined - all-runs'!$D:$D, A18, 'Data Combined - all-runs'!$C:$C, "Natural")</f>
        <v>6.765625</v>
      </c>
      <c r="I18" s="5">
        <f t="shared" si="6"/>
        <v>6.322460065</v>
      </c>
    </row>
    <row r="19">
      <c r="A19" s="3" t="s">
        <v>102</v>
      </c>
      <c r="B19" s="5">
        <f>COUNTIFS('Data Combined - all-runs'!$D:$D, A19, 'Data Combined - all-runs'!$C:$C, "Json")</f>
        <v>36</v>
      </c>
      <c r="C19" s="5">
        <f>AVERAGEIFS('Data Combined - all-runs'!$H:$H, 'Data Combined - all-runs'!$D:$D, A19, 'Data Combined - all-runs'!$C:$C, "Json")</f>
        <v>646.1944444</v>
      </c>
      <c r="D19" s="5">
        <f>AVERAGEIFS('Data Combined - all-runs'!$N:$N, 'Data Combined - all-runs'!$D:$D, A19, 'Data Combined - all-runs'!$C:$C, "Json")</f>
        <v>4.888888889</v>
      </c>
      <c r="E19" s="5">
        <f t="shared" si="5"/>
        <v>7.56566221</v>
      </c>
      <c r="F19" s="5">
        <f>COUNTIFS('Data Combined - all-runs'!$D:$D, A19, 'Data Combined - all-runs'!$C:$C, "Natural")</f>
        <v>36</v>
      </c>
      <c r="G19" s="5">
        <f>AVERAGEIFS('Data Combined - all-runs'!$H:$H, 'Data Combined - all-runs'!$D:$D, A19, 'Data Combined - all-runs'!$C:$C, "Natural")</f>
        <v>726.5555556</v>
      </c>
      <c r="H19" s="5">
        <f>AVERAGEIFS('Data Combined - all-runs'!$N:$N, 'Data Combined - all-runs'!$D:$D, A19, 'Data Combined - all-runs'!$C:$C, "Natural")</f>
        <v>4.75</v>
      </c>
      <c r="I19" s="5">
        <f t="shared" si="6"/>
        <v>6.537696896</v>
      </c>
    </row>
    <row r="20">
      <c r="A20" s="3" t="s">
        <v>118</v>
      </c>
      <c r="B20" s="5">
        <f>COUNTIFS('Data Combined - all-runs'!$D:$D, A20, 'Data Combined - all-runs'!$C:$C, "Json")</f>
        <v>30</v>
      </c>
      <c r="C20" s="5">
        <f>AVERAGEIFS('Data Combined - all-runs'!$H:$H, 'Data Combined - all-runs'!$D:$D, A20, 'Data Combined - all-runs'!$C:$C, "Json")</f>
        <v>931.7</v>
      </c>
      <c r="D20" s="5">
        <f>AVERAGEIFS('Data Combined - all-runs'!$N:$N, 'Data Combined - all-runs'!$D:$D, A20, 'Data Combined - all-runs'!$C:$C, "Json")</f>
        <v>3.833333333</v>
      </c>
      <c r="E20" s="5">
        <f t="shared" si="5"/>
        <v>4.114342957</v>
      </c>
      <c r="F20" s="5">
        <f>COUNTIFS('Data Combined - all-runs'!$D:$D, A20, 'Data Combined - all-runs'!$C:$C, "Natural")</f>
        <v>36</v>
      </c>
      <c r="G20" s="5">
        <f>AVERAGEIFS('Data Combined - all-runs'!$H:$H, 'Data Combined - all-runs'!$D:$D, A20, 'Data Combined - all-runs'!$C:$C, "Natural")</f>
        <v>1041.916667</v>
      </c>
      <c r="H20" s="5">
        <f>AVERAGEIFS('Data Combined - all-runs'!$N:$N, 'Data Combined - all-runs'!$D:$D, A20, 'Data Combined - all-runs'!$C:$C, "Natural")</f>
        <v>6.527777778</v>
      </c>
      <c r="I20" s="5">
        <f t="shared" si="6"/>
        <v>6.265163028</v>
      </c>
    </row>
    <row r="22">
      <c r="A22" s="3" t="s">
        <v>241</v>
      </c>
      <c r="B22" s="5">
        <f t="shared" ref="B22:D22" si="7">SUM(B15:B20)</f>
        <v>221</v>
      </c>
      <c r="C22" s="5">
        <f t="shared" si="7"/>
        <v>5702.244469</v>
      </c>
      <c r="D22" s="5">
        <f t="shared" si="7"/>
        <v>17.67489803</v>
      </c>
      <c r="E22" s="4">
        <f> (D22/C22)*1000</f>
        <v>3.09963877</v>
      </c>
      <c r="F22" s="5">
        <f t="shared" ref="F22:H22" si="8">SUM(F15:F20)</f>
        <v>305</v>
      </c>
      <c r="G22" s="5">
        <f t="shared" si="8"/>
        <v>8151.291256</v>
      </c>
      <c r="H22" s="5">
        <f t="shared" si="8"/>
        <v>43.59584596</v>
      </c>
      <c r="I22" s="4">
        <f> (H22/G22)*1000</f>
        <v>5.348336182</v>
      </c>
    </row>
    <row r="26">
      <c r="A26" s="1" t="s">
        <v>1</v>
      </c>
      <c r="B26" s="6" t="s">
        <v>149</v>
      </c>
      <c r="C26" s="6" t="s">
        <v>151</v>
      </c>
      <c r="D26" s="6" t="s">
        <v>152</v>
      </c>
      <c r="E26" s="1" t="s">
        <v>324</v>
      </c>
      <c r="F26" s="6" t="s">
        <v>155</v>
      </c>
      <c r="G26" s="6" t="s">
        <v>156</v>
      </c>
      <c r="H26" s="6" t="s">
        <v>157</v>
      </c>
      <c r="I26" s="1" t="s">
        <v>324</v>
      </c>
    </row>
    <row r="27">
      <c r="A27" s="3" t="s">
        <v>22</v>
      </c>
      <c r="B27" s="5">
        <f>COUNTIFS('Data Combined - all-runs'!$B:$B, A27, 'Data Combined - all-runs'!$C:$C, "Json")</f>
        <v>126</v>
      </c>
      <c r="C27" s="5">
        <f>AVERAGEIFS('Data Combined - all-runs'!$H:$H, 'Data Combined - all-runs'!$B:$B, A27, 'Data Combined - all-runs'!$C:$C, "Json")</f>
        <v>487.3015873</v>
      </c>
      <c r="D27" s="3">
        <f>AVERAGEIFS('Data Combined - all-runs'!$N:$N, 'Data Combined - all-runs'!$B:$B, A27, 'Data Combined - all-runs'!$C:$C, "Json")</f>
        <v>2.682539683</v>
      </c>
      <c r="E27" s="5">
        <f t="shared" ref="E27:E28" si="9"> (D27/C27)*1000</f>
        <v>5.504885993</v>
      </c>
      <c r="F27" s="5">
        <f>COUNTIFS('Data Combined - all-runs'!$B:$B, A27, 'Data Combined - all-runs'!$C:$C, "Natural")</f>
        <v>125</v>
      </c>
      <c r="G27" s="5">
        <f>AVERAGEIFS('Data Combined - all-runs'!$H:$H, 'Data Combined - all-runs'!$B:$B, A27, 'Data Combined - all-runs'!$C:$C, "Natural")</f>
        <v>787.888</v>
      </c>
      <c r="H27" s="5">
        <f>AVERAGEIFS('Data Combined - all-runs'!$N:$N, 'Data Combined - all-runs'!$B:$B, A27, 'Data Combined - all-runs'!$C:$C, "Natural")</f>
        <v>5.416</v>
      </c>
      <c r="I27" s="5">
        <f t="shared" ref="I27:I28" si="10"> (H27/G27)*1000</f>
        <v>6.874073472</v>
      </c>
    </row>
    <row r="28">
      <c r="A28" s="3" t="s">
        <v>114</v>
      </c>
      <c r="B28" s="5">
        <f>COUNTIFS('Data Combined - all-runs'!$B:$B, A28, 'Data Combined - all-runs'!$C:$C, "Json")</f>
        <v>95</v>
      </c>
      <c r="C28" s="5">
        <f>AVERAGEIFS('Data Combined - all-runs'!$H:$H, 'Data Combined - all-runs'!$B:$B, A28, 'Data Combined - all-runs'!$C:$C, "Json")</f>
        <v>1497.631579</v>
      </c>
      <c r="D28" s="3">
        <f>AVERAGEIFS('Data Combined - all-runs'!$N:$N, 'Data Combined - all-runs'!$B:$B, A28, 'Data Combined - all-runs'!$C:$C, "Json")</f>
        <v>2.568421053</v>
      </c>
      <c r="E28" s="5">
        <f t="shared" si="9"/>
        <v>1.714988578</v>
      </c>
      <c r="F28" s="5">
        <f>COUNTIFS('Data Combined - all-runs'!$B:$B, A28, 'Data Combined - all-runs'!$C:$C, "Natural")</f>
        <v>180</v>
      </c>
      <c r="G28" s="5">
        <f>AVERAGEIFS('Data Combined - all-runs'!$H:$H, 'Data Combined - all-runs'!$B:$B, A28, 'Data Combined - all-runs'!$C:$C, "Natural")</f>
        <v>1822.45</v>
      </c>
      <c r="H28" s="5">
        <f>AVERAGEIFS('Data Combined - all-runs'!$N:$N, 'Data Combined - all-runs'!$B:$B, A28, 'Data Combined - all-runs'!$C:$C, "Natural")</f>
        <v>8.688888889</v>
      </c>
      <c r="I28" s="5">
        <f t="shared" si="10"/>
        <v>4.767696721</v>
      </c>
    </row>
    <row r="31">
      <c r="A31" s="3" t="s">
        <v>342</v>
      </c>
    </row>
    <row r="32">
      <c r="A32" s="3" t="s">
        <v>343</v>
      </c>
      <c r="B32" s="5">
        <f>E27</f>
        <v>5.504885993</v>
      </c>
    </row>
    <row r="33">
      <c r="A33" s="3" t="s">
        <v>345</v>
      </c>
      <c r="B33" s="5">
        <f>I27</f>
        <v>6.874073472</v>
      </c>
    </row>
    <row r="34">
      <c r="A34" s="3" t="s">
        <v>347</v>
      </c>
      <c r="B34" s="5">
        <f>E28</f>
        <v>1.714988578</v>
      </c>
    </row>
    <row r="35">
      <c r="A35" s="3" t="s">
        <v>348</v>
      </c>
      <c r="B35" s="5">
        <f>I28</f>
        <v>4.767696721</v>
      </c>
    </row>
    <row r="39">
      <c r="A39" s="3" t="s">
        <v>350</v>
      </c>
    </row>
    <row r="58">
      <c r="G58" s="3" t="s">
        <v>352</v>
      </c>
    </row>
    <row r="67">
      <c r="A67" s="6" t="s">
        <v>4</v>
      </c>
      <c r="B67" s="1" t="s">
        <v>353</v>
      </c>
      <c r="C67" s="1" t="s">
        <v>151</v>
      </c>
      <c r="D67" s="6" t="s">
        <v>152</v>
      </c>
      <c r="E67" s="1" t="s">
        <v>153</v>
      </c>
      <c r="F67" s="6" t="s">
        <v>355</v>
      </c>
      <c r="G67" s="6" t="s">
        <v>156</v>
      </c>
      <c r="H67" s="6" t="s">
        <v>157</v>
      </c>
      <c r="I67" s="1" t="s">
        <v>23</v>
      </c>
    </row>
    <row r="68">
      <c r="A68" s="3" t="s">
        <v>25</v>
      </c>
      <c r="B68" s="5">
        <f>COUNTIFS(
  'Data averaged'!$E:$E,$A68,
  'Data averaged'!$C:$C,"Json",
  'Data averaged'!$U:$U,TRUE
)</f>
        <v>24</v>
      </c>
      <c r="C68" s="5">
        <f>AVERAGEIFS(
  'Data averaged'!$H:$H,
  'Data averaged'!$E:$E,$A68,
  'Data averaged'!$C:$C,"Json",
  'Data averaged'!$U:$U,TRUE
)</f>
        <v>553.78125</v>
      </c>
      <c r="D68" s="5">
        <f>AVERAGEIFS(
  'Data averaged'!$N:$N,
  'Data averaged'!$E:$E,$A68,
  'Data averaged'!$C:$C,"Json",
  'Data averaged'!$U:$U,TRUE
)</f>
        <v>1.958333333</v>
      </c>
      <c r="E68" s="5">
        <f t="shared" ref="E68:E73" si="11"> (D68/C68)*1000</f>
        <v>3.536294039</v>
      </c>
      <c r="F68" s="5">
        <f>COUNTIFS(
  'Data averaged'!$E:$E,$A68,
  'Data averaged'!$C:$C,"Natural",
  'Data averaged'!$U:$U,TRUE
)</f>
        <v>24</v>
      </c>
      <c r="G68" s="5">
        <f>AVERAGEIFS(
  'Data averaged'!$H:$H,
  'Data averaged'!$E:$E,$A68,
  'Data averaged'!$C:$C,"Natural",
  'Data averaged'!$U:$U,TRUE
)</f>
        <v>580.5138889</v>
      </c>
      <c r="H68" s="5">
        <f>AVERAGEIFS(
  'Data averaged'!$N:$N,
  'Data averaged'!$E:$E,$A68,
  'Data averaged'!$C:$C,"Natural",
  'Data averaged'!$U:$U,TRUE
)</f>
        <v>4.326388889</v>
      </c>
      <c r="I68" s="5">
        <f t="shared" ref="I68:I73" si="12"> (H68/G68)*1000</f>
        <v>7.452687992</v>
      </c>
    </row>
    <row r="69">
      <c r="A69" s="3" t="s">
        <v>39</v>
      </c>
      <c r="B69" s="5">
        <f>COUNTIFS(
  'Data averaged'!$E:$E,$A69,
  'Data averaged'!$C:$C,"Json",
  'Data averaged'!$U:$U,TRUE
)</f>
        <v>24</v>
      </c>
      <c r="C69" s="5">
        <f>AVERAGEIFS(
  'Data averaged'!$H:$H,
  'Data averaged'!$E:$E,$A69,
  'Data averaged'!$C:$C,"Json",
  'Data averaged'!$U:$U,TRUE
)</f>
        <v>485.7083333</v>
      </c>
      <c r="D69" s="5">
        <f>AVERAGEIFS(
  'Data averaged'!$N:$N,
  'Data averaged'!$E:$E,$A69,
  'Data averaged'!$C:$C,"Json",
  'Data averaged'!$U:$U,TRUE
)</f>
        <v>0.6458333333</v>
      </c>
      <c r="E69" s="5">
        <f t="shared" si="11"/>
        <v>1.329673158</v>
      </c>
      <c r="F69" s="5">
        <f>COUNTIFS(
  'Data averaged'!$E:$E,$A69,
  'Data averaged'!$C:$C,"Natural",
  'Data averaged'!$U:$U,TRUE
)</f>
        <v>24</v>
      </c>
      <c r="G69" s="5">
        <f>AVERAGEIFS(
  'Data averaged'!$H:$H,
  'Data averaged'!$E:$E,$A69,
  'Data averaged'!$C:$C,"Natural",
  'Data averaged'!$U:$U,TRUE
)</f>
        <v>803.5555556</v>
      </c>
      <c r="H69" s="5">
        <f>AVERAGEIFS(
  'Data averaged'!$N:$N,
  'Data averaged'!$E:$E,$A69,
  'Data averaged'!$C:$C,"Natural",
  'Data averaged'!$U:$U,TRUE
)</f>
        <v>3.395833333</v>
      </c>
      <c r="I69" s="5">
        <f t="shared" si="12"/>
        <v>4.226009403</v>
      </c>
    </row>
    <row r="70">
      <c r="A70" s="3" t="s">
        <v>43</v>
      </c>
      <c r="B70" s="5">
        <f>COUNTIFS(
  'Data averaged'!$E:$E,$A70,
  'Data averaged'!$C:$C,"Json",
  'Data averaged'!$U:$U,TRUE
)</f>
        <v>24</v>
      </c>
      <c r="C70" s="5">
        <f>AVERAGEIFS(
  'Data averaged'!$H:$H,
  'Data averaged'!$E:$E,$A70,
  'Data averaged'!$C:$C,"Json",
  'Data averaged'!$U:$U,TRUE
)</f>
        <v>1326.7</v>
      </c>
      <c r="D70" s="5">
        <f>AVERAGEIFS(
  'Data averaged'!$N:$N,
  'Data averaged'!$E:$E,$A70,
  'Data averaged'!$C:$C,"Json",
  'Data averaged'!$U:$U,TRUE
)</f>
        <v>6.4375</v>
      </c>
      <c r="E70" s="5">
        <f t="shared" si="11"/>
        <v>4.852265018</v>
      </c>
      <c r="F70" s="5">
        <f>COUNTIFS(
  'Data averaged'!$E:$E,$A70,
  'Data averaged'!$C:$C,"Natural",
  'Data averaged'!$U:$U,TRUE
)</f>
        <v>24</v>
      </c>
      <c r="G70" s="5">
        <f>AVERAGEIFS(
  'Data averaged'!$H:$H,
  'Data averaged'!$E:$E,$A70,
  'Data averaged'!$C:$C,"Natural",
  'Data averaged'!$U:$U,TRUE
)</f>
        <v>1495.145833</v>
      </c>
      <c r="H70" s="5">
        <f>AVERAGEIFS(
  'Data averaged'!$N:$N,
  'Data averaged'!$E:$E,$A70,
  'Data averaged'!$C:$C,"Natural",
  'Data averaged'!$U:$U,TRUE
)</f>
        <v>11.08333333</v>
      </c>
      <c r="I70" s="5">
        <f t="shared" si="12"/>
        <v>7.412877785</v>
      </c>
    </row>
    <row r="71">
      <c r="A71" s="3" t="s">
        <v>34</v>
      </c>
      <c r="B71" s="5">
        <f>COUNTIFS(
  'Data averaged'!$E:$E,$A71,
  'Data averaged'!$C:$C,"Json",
  'Data averaged'!$U:$U,TRUE
)</f>
        <v>24</v>
      </c>
      <c r="C71" s="5">
        <f>AVERAGEIFS(
  'Data averaged'!$H:$H,
  'Data averaged'!$E:$E,$A71,
  'Data averaged'!$C:$C,"Json",
  'Data averaged'!$U:$U,TRUE
)</f>
        <v>1718.75</v>
      </c>
      <c r="D71" s="5">
        <f>AVERAGEIFS(
  'Data averaged'!$N:$N,
  'Data averaged'!$E:$E,$A71,
  'Data averaged'!$C:$C,"Json",
  'Data averaged'!$U:$U,TRUE
)</f>
        <v>4.895833333</v>
      </c>
      <c r="E71" s="5">
        <f t="shared" si="11"/>
        <v>2.848484848</v>
      </c>
      <c r="F71" s="5">
        <f>COUNTIFS(
  'Data averaged'!$E:$E,$A71,
  'Data averaged'!$C:$C,"Natural",
  'Data averaged'!$U:$U,TRUE
)</f>
        <v>24</v>
      </c>
      <c r="G71" s="5">
        <f>AVERAGEIFS(
  'Data averaged'!$H:$H,
  'Data averaged'!$E:$E,$A71,
  'Data averaged'!$C:$C,"Natural",
  'Data averaged'!$U:$U,TRUE
)</f>
        <v>1703.354167</v>
      </c>
      <c r="H71" s="5">
        <f>AVERAGEIFS(
  'Data averaged'!$N:$N,
  'Data averaged'!$E:$E,$A71,
  'Data averaged'!$C:$C,"Natural",
  'Data averaged'!$U:$U,TRUE
)</f>
        <v>6.604166667</v>
      </c>
      <c r="I71" s="5">
        <f t="shared" si="12"/>
        <v>3.877154144</v>
      </c>
    </row>
    <row r="72">
      <c r="A72" s="3" t="s">
        <v>47</v>
      </c>
      <c r="B72" s="5">
        <f>COUNTIFS(
  'Data averaged'!$E:$E,$A72,
  'Data averaged'!$C:$C,"Json",
  'Data averaged'!$U:$U,TRUE
)</f>
        <v>24</v>
      </c>
      <c r="C72" s="5">
        <f>AVERAGEIFS(
  'Data averaged'!$H:$H,
  'Data averaged'!$E:$E,$A72,
  'Data averaged'!$C:$C,"Json",
  'Data averaged'!$U:$U,TRUE
)</f>
        <v>1474.858333</v>
      </c>
      <c r="D72" s="5">
        <f>AVERAGEIFS(
  'Data averaged'!$N:$N,
  'Data averaged'!$E:$E,$A72,
  'Data averaged'!$C:$C,"Json",
  'Data averaged'!$U:$U,TRUE
)</f>
        <v>4.416666667</v>
      </c>
      <c r="E72" s="5">
        <f t="shared" si="11"/>
        <v>2.994637903</v>
      </c>
      <c r="F72" s="5">
        <f>COUNTIFS(
  'Data averaged'!$E:$E,$A72,
  'Data averaged'!$C:$C,"Natural",
  'Data averaged'!$U:$U,TRUE
)</f>
        <v>24</v>
      </c>
      <c r="G72" s="5">
        <f>AVERAGEIFS(
  'Data averaged'!$H:$H,
  'Data averaged'!$E:$E,$A72,
  'Data averaged'!$C:$C,"Natural",
  'Data averaged'!$U:$U,TRUE
)</f>
        <v>1737.576389</v>
      </c>
      <c r="H72" s="5">
        <f>AVERAGEIFS(
  'Data averaged'!$N:$N,
  'Data averaged'!$E:$E,$A72,
  'Data averaged'!$C:$C,"Natural",
  'Data averaged'!$U:$U,TRUE
)</f>
        <v>8.208333333</v>
      </c>
      <c r="I72" s="5">
        <f t="shared" si="12"/>
        <v>4.724012933</v>
      </c>
    </row>
    <row r="73">
      <c r="A73" s="3" t="s">
        <v>51</v>
      </c>
      <c r="B73" s="5">
        <f>COUNTIFS(
  'Data averaged'!$E:$E,$A73,
  'Data averaged'!$C:$C,"Json",
  'Data averaged'!$U:$U,TRUE
)</f>
        <v>24</v>
      </c>
      <c r="C73" s="5">
        <f>AVERAGEIFS(
  'Data averaged'!$H:$H,
  'Data averaged'!$E:$E,$A73,
  'Data averaged'!$C:$C,"Json",
  'Data averaged'!$U:$U,TRUE
)</f>
        <v>1322.638889</v>
      </c>
      <c r="D73" s="5">
        <f>AVERAGEIFS(
  'Data averaged'!$N:$N,
  'Data averaged'!$E:$E,$A73,
  'Data averaged'!$C:$C,"Json",
  'Data averaged'!$U:$U,TRUE
)</f>
        <v>3.833333333</v>
      </c>
      <c r="E73" s="5">
        <f t="shared" si="11"/>
        <v>2.898246351</v>
      </c>
      <c r="F73" s="5">
        <f>COUNTIFS(
  'Data averaged'!$E:$E,$A73,
  'Data averaged'!$C:$C,"Natural",
  'Data averaged'!$U:$U,TRUE
)</f>
        <v>24</v>
      </c>
      <c r="G73" s="5">
        <f>AVERAGEIFS(
  'Data averaged'!$H:$H,
  'Data averaged'!$E:$E,$A73,
  'Data averaged'!$C:$C,"Natural",
  'Data averaged'!$U:$U,TRUE
)</f>
        <v>1299.833333</v>
      </c>
      <c r="H73" s="5">
        <f>AVERAGEIFS(
  'Data averaged'!$N:$N,
  'Data averaged'!$E:$E,$A73,
  'Data averaged'!$C:$C,"Natural",
  'Data averaged'!$U:$U,TRUE
)</f>
        <v>9.291666667</v>
      </c>
      <c r="I73" s="5">
        <f t="shared" si="12"/>
        <v>7.148352353</v>
      </c>
    </row>
    <row r="75">
      <c r="B75" s="3">
        <f>SUM(B68:B73)</f>
        <v>144</v>
      </c>
      <c r="C75" s="5">
        <f> SUMPRODUCT(B68:B73,C68:C73)/SUM(B68:B73)</f>
        <v>1147.072801</v>
      </c>
      <c r="D75" s="5">
        <f> SUMPRODUCT(B68:B73,D68:D73)/SUM(B68:B73)</f>
        <v>3.697916667</v>
      </c>
      <c r="E75" s="3">
        <f> (D75/C75)*1000</f>
        <v>3.223785503</v>
      </c>
      <c r="F75" s="5">
        <f> SUM(F68:F73)</f>
        <v>144</v>
      </c>
      <c r="G75" s="5">
        <f> SUMPRODUCT(F68:F73,G68:G73)/SUM(F68:F73)</f>
        <v>1269.996528</v>
      </c>
      <c r="H75" s="5">
        <f> SUMPRODUCT(F68:F73,H68:H73)/SUM(F68:F73)</f>
        <v>7.15162037</v>
      </c>
      <c r="I75" s="5">
        <f> (H75/G75)*1000</f>
        <v>5.631212538</v>
      </c>
    </row>
    <row r="80">
      <c r="A80" s="1" t="s">
        <v>3</v>
      </c>
      <c r="B80" s="6" t="s">
        <v>353</v>
      </c>
      <c r="C80" s="6" t="s">
        <v>151</v>
      </c>
      <c r="D80" s="6" t="s">
        <v>152</v>
      </c>
      <c r="E80" s="1" t="s">
        <v>252</v>
      </c>
      <c r="F80" s="6" t="s">
        <v>355</v>
      </c>
      <c r="G80" s="6" t="s">
        <v>156</v>
      </c>
      <c r="H80" s="6" t="s">
        <v>157</v>
      </c>
      <c r="I80" s="1" t="s">
        <v>23</v>
      </c>
    </row>
    <row r="81">
      <c r="A81" s="3" t="s">
        <v>24</v>
      </c>
      <c r="B81" s="5">
        <f>COUNTIFS(
  'Data averaged'!$D:$D,$A81,
  'Data averaged'!$C:$C,"Json",
  'Data averaged'!$U:$U,TRUE
)</f>
        <v>24</v>
      </c>
      <c r="C81" s="5">
        <f>AVERAGEIFS(
  'Data averaged'!$H:$H,
  'Data averaged'!$D:$D,$A81,
  'Data averaged'!$C:$C,"Json",
  'Data averaged'!$U:$U,TRUE
)</f>
        <v>990.4784722</v>
      </c>
      <c r="D81" s="5">
        <f>AVERAGEIFS(
  'Data averaged'!$N:$N,
  'Data averaged'!$D:$D,$A81,
  'Data averaged'!$C:$C,"Json",
  'Data averaged'!$U:$U,TRUE
)</f>
        <v>0.75</v>
      </c>
      <c r="E81" s="5">
        <f t="shared" ref="E81:E86" si="13"> (D81/C81)*1000</f>
        <v>0.7572097941</v>
      </c>
      <c r="F81" s="5">
        <f>COUNTIFS(
  'Data averaged'!$D:$D,$A81,
  'Data averaged'!$C:$C,"Natural",
  'Data averaged'!$U:$U,TRUE
)</f>
        <v>24</v>
      </c>
      <c r="G81" s="5">
        <f>AVERAGEIFS(
  'Data averaged'!$H:$H,
  'Data averaged'!$D:$D,$A81,
  'Data averaged'!$C:$C,"Natural",
  'Data averaged'!$U:$U,TRUE
)</f>
        <v>1030.083333</v>
      </c>
      <c r="H81" s="5">
        <f>AVERAGEIFS(
  'Data averaged'!$N:$N,
  'Data averaged'!$D:$D,$A81,
  'Data averaged'!$C:$C,"Natural",
  'Data averaged'!$U:$U,TRUE
)</f>
        <v>2.805555556</v>
      </c>
      <c r="I81" s="5">
        <f t="shared" ref="I81:I86" si="14"> (H81/G81)*1000</f>
        <v>2.723619988</v>
      </c>
    </row>
    <row r="82">
      <c r="A82" s="3" t="s">
        <v>54</v>
      </c>
      <c r="B82" s="5">
        <f>COUNTIFS(
  'Data averaged'!$D:$D,$A82,
  'Data averaged'!$C:$C,"Json",
  'Data averaged'!$U:$U,TRUE
)</f>
        <v>24</v>
      </c>
      <c r="C82" s="5">
        <f>AVERAGEIFS(
  'Data averaged'!$H:$H,
  'Data averaged'!$D:$D,$A82,
  'Data averaged'!$C:$C,"Json",
  'Data averaged'!$U:$U,TRUE
)</f>
        <v>1230.395833</v>
      </c>
      <c r="D82" s="5">
        <f>AVERAGEIFS(
  'Data averaged'!$N:$N,
  'Data averaged'!$D:$D,$A82,
  'Data averaged'!$C:$C,"Json",
  'Data averaged'!$U:$U,TRUE
)</f>
        <v>2.333333333</v>
      </c>
      <c r="E82" s="5">
        <f t="shared" si="13"/>
        <v>1.896408676</v>
      </c>
      <c r="F82" s="5">
        <f>COUNTIFS(
  'Data averaged'!$D:$D,$A82,
  'Data averaged'!$C:$C,"Natural",
  'Data averaged'!$U:$U,TRUE
)</f>
        <v>24</v>
      </c>
      <c r="G82" s="5">
        <f>AVERAGEIFS(
  'Data averaged'!$H:$H,
  'Data averaged'!$D:$D,$A82,
  'Data averaged'!$C:$C,"Natural",
  'Data averaged'!$U:$U,TRUE
)</f>
        <v>1958.958333</v>
      </c>
      <c r="H82" s="5">
        <f>AVERAGEIFS(
  'Data averaged'!$N:$N,
  'Data averaged'!$D:$D,$A82,
  'Data averaged'!$C:$C,"Natural",
  'Data averaged'!$U:$U,TRUE
)</f>
        <v>12.08333333</v>
      </c>
      <c r="I82" s="5">
        <f t="shared" si="14"/>
        <v>6.168244177</v>
      </c>
    </row>
    <row r="83">
      <c r="A83" s="3" t="s">
        <v>72</v>
      </c>
      <c r="B83" s="5">
        <f>COUNTIFS(
  'Data averaged'!$D:$D,$A83,
  'Data averaged'!$C:$C,"Json",
  'Data averaged'!$U:$U,TRUE
)</f>
        <v>24</v>
      </c>
      <c r="C83" s="5">
        <f>AVERAGEIFS(
  'Data averaged'!$H:$H,
  'Data averaged'!$D:$D,$A83,
  'Data averaged'!$C:$C,"Json",
  'Data averaged'!$U:$U,TRUE
)</f>
        <v>1175.583333</v>
      </c>
      <c r="D83" s="5">
        <f>AVERAGEIFS(
  'Data averaged'!$N:$N,
  'Data averaged'!$D:$D,$A83,
  'Data averaged'!$C:$C,"Json",
  'Data averaged'!$U:$U,TRUE
)</f>
        <v>4.416666667</v>
      </c>
      <c r="E83" s="5">
        <f t="shared" si="13"/>
        <v>3.757000071</v>
      </c>
      <c r="F83" s="5">
        <f>COUNTIFS(
  'Data averaged'!$D:$D,$A83,
  'Data averaged'!$C:$C,"Natural",
  'Data averaged'!$U:$U,TRUE
)</f>
        <v>24</v>
      </c>
      <c r="G83" s="5">
        <f>AVERAGEIFS(
  'Data averaged'!$H:$H,
  'Data averaged'!$D:$D,$A83,
  'Data averaged'!$C:$C,"Natural",
  'Data averaged'!$U:$U,TRUE
)</f>
        <v>1731.291667</v>
      </c>
      <c r="H83" s="5">
        <f>AVERAGEIFS(
  'Data averaged'!$N:$N,
  'Data averaged'!$D:$D,$A83,
  'Data averaged'!$C:$C,"Natural",
  'Data averaged'!$U:$U,TRUE
)</f>
        <v>7.541666667</v>
      </c>
      <c r="I83" s="5">
        <f t="shared" si="14"/>
        <v>4.356092513</v>
      </c>
    </row>
    <row r="84">
      <c r="A84" s="3" t="s">
        <v>64</v>
      </c>
      <c r="B84" s="5">
        <f>COUNTIFS(
  'Data averaged'!$D:$D,$A84,
  'Data averaged'!$C:$C,"Json",
  'Data averaged'!$U:$U,TRUE
)</f>
        <v>24</v>
      </c>
      <c r="C84" s="5">
        <f>AVERAGEIFS(
  'Data averaged'!$H:$H,
  'Data averaged'!$D:$D,$A84,
  'Data averaged'!$C:$C,"Json",
  'Data averaged'!$U:$U,TRUE
)</f>
        <v>1621.208333</v>
      </c>
      <c r="D84" s="5">
        <f>AVERAGEIFS(
  'Data averaged'!$N:$N,
  'Data averaged'!$D:$D,$A84,
  'Data averaged'!$C:$C,"Json",
  'Data averaged'!$U:$U,TRUE
)</f>
        <v>4.208333333</v>
      </c>
      <c r="E84" s="5">
        <f t="shared" si="13"/>
        <v>2.595800457</v>
      </c>
      <c r="F84" s="5">
        <f>COUNTIFS(
  'Data averaged'!$D:$D,$A84,
  'Data averaged'!$C:$C,"Natural",
  'Data averaged'!$U:$U,TRUE
)</f>
        <v>24</v>
      </c>
      <c r="G84" s="5">
        <f>AVERAGEIFS(
  'Data averaged'!$H:$H,
  'Data averaged'!$D:$D,$A84,
  'Data averaged'!$C:$C,"Natural",
  'Data averaged'!$U:$U,TRUE
)</f>
        <v>1074.354167</v>
      </c>
      <c r="H84" s="5">
        <f>AVERAGEIFS(
  'Data averaged'!$N:$N,
  'Data averaged'!$D:$D,$A84,
  'Data averaged'!$C:$C,"Natural",
  'Data averaged'!$U:$U,TRUE
)</f>
        <v>7.6875</v>
      </c>
      <c r="I84" s="5">
        <f t="shared" si="14"/>
        <v>7.155461615</v>
      </c>
    </row>
    <row r="85">
      <c r="A85" s="3" t="s">
        <v>102</v>
      </c>
      <c r="B85" s="5">
        <f>COUNTIFS(
  'Data averaged'!$D:$D,$A85,
  'Data averaged'!$C:$C,"Json",
  'Data averaged'!$U:$U,TRUE
)</f>
        <v>24</v>
      </c>
      <c r="C85" s="5">
        <f>AVERAGEIFS(
  'Data averaged'!$H:$H,
  'Data averaged'!$D:$D,$A85,
  'Data averaged'!$C:$C,"Json",
  'Data averaged'!$U:$U,TRUE
)</f>
        <v>724.0625</v>
      </c>
      <c r="D85" s="5">
        <f>AVERAGEIFS(
  'Data averaged'!$N:$N,
  'Data averaged'!$D:$D,$A85,
  'Data averaged'!$C:$C,"Json",
  'Data averaged'!$U:$U,TRUE
)</f>
        <v>5.8125</v>
      </c>
      <c r="E85" s="5">
        <f t="shared" si="13"/>
        <v>8.027621925</v>
      </c>
      <c r="F85" s="5">
        <f>COUNTIFS(
  'Data averaged'!$D:$D,$A85,
  'Data averaged'!$C:$C,"Natural",
  'Data averaged'!$U:$U,TRUE
)</f>
        <v>24</v>
      </c>
      <c r="G85" s="5">
        <f>AVERAGEIFS(
  'Data averaged'!$H:$H,
  'Data averaged'!$D:$D,$A85,
  'Data averaged'!$C:$C,"Natural",
  'Data averaged'!$U:$U,TRUE
)</f>
        <v>752.25</v>
      </c>
      <c r="H85" s="5">
        <f>AVERAGEIFS(
  'Data averaged'!$N:$N,
  'Data averaged'!$D:$D,$A85,
  'Data averaged'!$C:$C,"Natural",
  'Data averaged'!$U:$U,TRUE
)</f>
        <v>5.791666667</v>
      </c>
      <c r="I85" s="5">
        <f t="shared" si="14"/>
        <v>7.699124848</v>
      </c>
    </row>
    <row r="86">
      <c r="A86" s="3" t="s">
        <v>118</v>
      </c>
      <c r="B86" s="5">
        <f>COUNTIFS(
  'Data averaged'!$D:$D,$A86,
  'Data averaged'!$C:$C,"Json",
  'Data averaged'!$U:$U,TRUE
)</f>
        <v>24</v>
      </c>
      <c r="C86" s="5">
        <f>AVERAGEIFS(
  'Data averaged'!$H:$H,
  'Data averaged'!$D:$D,$A86,
  'Data averaged'!$C:$C,"Json",
  'Data averaged'!$U:$U,TRUE
)</f>
        <v>1140.708333</v>
      </c>
      <c r="D86" s="5">
        <f>AVERAGEIFS(
  'Data averaged'!$N:$N,
  'Data averaged'!$D:$D,$A86,
  'Data averaged'!$C:$C,"Json",
  'Data averaged'!$U:$U,TRUE
)</f>
        <v>4.666666667</v>
      </c>
      <c r="E86" s="5">
        <f t="shared" si="13"/>
        <v>4.091025313</v>
      </c>
      <c r="F86" s="5">
        <f>COUNTIFS(
  'Data averaged'!$D:$D,$A86,
  'Data averaged'!$C:$C,"Natural",
  'Data averaged'!$U:$U,TRUE
)</f>
        <v>24</v>
      </c>
      <c r="G86" s="5">
        <f>AVERAGEIFS(
  'Data averaged'!$H:$H,
  'Data averaged'!$D:$D,$A86,
  'Data averaged'!$C:$C,"Natural",
  'Data averaged'!$U:$U,TRUE
)</f>
        <v>1073.041667</v>
      </c>
      <c r="H86" s="5">
        <f>AVERAGEIFS(
  'Data averaged'!$N:$N,
  'Data averaged'!$D:$D,$A86,
  'Data averaged'!$C:$C,"Natural",
  'Data averaged'!$U:$U,TRUE
)</f>
        <v>7</v>
      </c>
      <c r="I86" s="5">
        <f t="shared" si="14"/>
        <v>6.523511824</v>
      </c>
    </row>
    <row r="91">
      <c r="A91" s="1" t="s">
        <v>1</v>
      </c>
      <c r="B91" s="6" t="s">
        <v>353</v>
      </c>
      <c r="C91" s="6" t="s">
        <v>151</v>
      </c>
      <c r="D91" s="6" t="s">
        <v>152</v>
      </c>
      <c r="E91" s="1" t="s">
        <v>324</v>
      </c>
      <c r="F91" s="6" t="s">
        <v>355</v>
      </c>
      <c r="G91" s="6" t="s">
        <v>156</v>
      </c>
      <c r="H91" s="6" t="s">
        <v>157</v>
      </c>
      <c r="I91" s="1" t="s">
        <v>324</v>
      </c>
    </row>
    <row r="92">
      <c r="A92" s="3" t="s">
        <v>22</v>
      </c>
      <c r="B92" s="5">
        <f>COUNTIFS(
  'Data averaged'!$B:$B,$A92,
  'Data averaged'!$C:$C,"Json",
  'Data averaged'!$U:$U,TRUE
)</f>
        <v>72</v>
      </c>
      <c r="C92" s="5">
        <f>AVERAGEIFS(
  'Data averaged'!$H:$H,
  'Data averaged'!$B:$B,$A92,
  'Data averaged'!$C:$C,"Json",
  'Data averaged'!$U:$U,TRUE
)</f>
        <v>686.2115741</v>
      </c>
      <c r="D92" s="3">
        <f>AVERAGEIFS(
  'Data averaged'!$N:$N,
  'Data averaged'!$B:$B,$A92,
  'Data averaged'!$C:$C,"Json",
  'Data averaged'!$U:$U,TRUE
)</f>
        <v>4.402777778</v>
      </c>
      <c r="E92" s="5">
        <f t="shared" ref="E92:E93" si="15"> (D92/C92)*1000</f>
        <v>6.416064584</v>
      </c>
      <c r="F92" s="5">
        <f>COUNTIFS(
  'Data averaged'!$B:$B,$A92,
  'Data averaged'!$C:$C,"Natural",
  'Data averaged'!$U:$U,TRUE
)</f>
        <v>72</v>
      </c>
      <c r="G92" s="5">
        <f>AVERAGEIFS(
  'Data averaged'!$H:$H,
  'Data averaged'!$B:$B,$A92,
  'Data averaged'!$C:$C,"Natural",
  'Data averaged'!$U:$U,TRUE
)</f>
        <v>830.875</v>
      </c>
      <c r="H92" s="5">
        <f>AVERAGEIFS(
  'Data averaged'!$N:$N,
  'Data averaged'!$B:$B,$A92,
  'Data averaged'!$C:$C,"Natural",
  'Data averaged'!$U:$U,TRUE
)</f>
        <v>5.944444444</v>
      </c>
      <c r="I92" s="5">
        <f t="shared" ref="I92:I93" si="16"> (H92/G92)*1000</f>
        <v>7.154438928</v>
      </c>
    </row>
    <row r="93">
      <c r="A93" s="3" t="s">
        <v>114</v>
      </c>
      <c r="B93" s="5">
        <f>COUNTIFS(
  'Data averaged'!$B:$B,$A93,
  'Data averaged'!$C:$C,"Json",
  'Data averaged'!$U:$U,TRUE
)</f>
        <v>72</v>
      </c>
      <c r="C93" s="5">
        <f>AVERAGEIFS(
  'Data averaged'!$H:$H,
  'Data averaged'!$B:$B,$A93,
  'Data averaged'!$C:$C,"Json",
  'Data averaged'!$U:$U,TRUE
)</f>
        <v>1607.934028</v>
      </c>
      <c r="D93" s="3">
        <f>AVERAGEIFS(
  'Data averaged'!$N:$N,
  'Data averaged'!$B:$B,$A93,
  'Data averaged'!$C:$C,"Json",
  'Data averaged'!$U:$U,TRUE
)</f>
        <v>2.993055556</v>
      </c>
      <c r="E93" s="5">
        <f t="shared" si="15"/>
        <v>1.861429327</v>
      </c>
      <c r="F93" s="5">
        <f>COUNTIFS(
  'Data averaged'!$B:$B,$A93,
  'Data averaged'!$C:$C,"Natural",
  'Data averaged'!$U:$U,TRUE
)</f>
        <v>72</v>
      </c>
      <c r="G93" s="5">
        <f>AVERAGEIFS(
  'Data averaged'!$H:$H,
  'Data averaged'!$B:$B,$A93,
  'Data averaged'!$C:$C,"Natural",
  'Data averaged'!$U:$U,TRUE
)</f>
        <v>1709.118056</v>
      </c>
      <c r="H93" s="5">
        <f>AVERAGEIFS(
  'Data averaged'!$N:$N,
  'Data averaged'!$B:$B,$A93,
  'Data averaged'!$C:$C,"Natural",
  'Data averaged'!$U:$U,TRUE
)</f>
        <v>8.358796296</v>
      </c>
      <c r="I93" s="5">
        <f t="shared" si="16"/>
        <v>4.890707385</v>
      </c>
    </row>
    <row r="96">
      <c r="A96" s="3" t="s">
        <v>342</v>
      </c>
    </row>
    <row r="97">
      <c r="A97" s="3" t="s">
        <v>343</v>
      </c>
      <c r="B97" s="5">
        <f>E92</f>
        <v>6.416064584</v>
      </c>
    </row>
    <row r="98">
      <c r="A98" s="3" t="s">
        <v>345</v>
      </c>
      <c r="B98" s="5">
        <f>I92</f>
        <v>7.154438928</v>
      </c>
    </row>
    <row r="99">
      <c r="A99" s="3" t="s">
        <v>347</v>
      </c>
      <c r="B99" s="5">
        <f>E93</f>
        <v>1.861429327</v>
      </c>
    </row>
    <row r="100">
      <c r="A100" s="3" t="s">
        <v>348</v>
      </c>
      <c r="B100" s="5">
        <f>I93</f>
        <v>4.890707385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8.13"/>
    <col customWidth="1" min="3" max="3" width="19.38"/>
    <col customWidth="1" min="4" max="4" width="25.5"/>
    <col customWidth="1" min="5" max="5" width="28.88"/>
    <col customWidth="1" min="6" max="6" width="17.13"/>
    <col customWidth="1" min="7" max="7" width="22.13"/>
    <col customWidth="1" min="8" max="9" width="25.25"/>
  </cols>
  <sheetData>
    <row r="1">
      <c r="A1" s="6" t="s">
        <v>4</v>
      </c>
      <c r="B1" s="6" t="s">
        <v>405</v>
      </c>
      <c r="C1" s="6" t="s">
        <v>406</v>
      </c>
      <c r="D1" s="6" t="s">
        <v>407</v>
      </c>
      <c r="E1" s="6" t="s">
        <v>408</v>
      </c>
      <c r="F1" s="6" t="s">
        <v>410</v>
      </c>
      <c r="G1" s="6" t="s">
        <v>411</v>
      </c>
      <c r="H1" s="6" t="s">
        <v>412</v>
      </c>
      <c r="I1" s="6" t="s">
        <v>413</v>
      </c>
    </row>
    <row r="2">
      <c r="A2" s="3" t="s">
        <v>25</v>
      </c>
      <c r="B2" s="5">
        <f>COUNTIFS('Data Combined - all-runs'!$E:$E, A2, 'Data Combined - all-runs'!$B:$B, "Centralized")</f>
        <v>44</v>
      </c>
      <c r="C2" s="5">
        <f>AVERAGEIFS('Data Combined - all-runs'!$H:$H, 'Data Combined - all-runs'!$E:$E, A2, 'Data Combined - all-runs'!$B:$B, "Centralized")</f>
        <v>449.1363636</v>
      </c>
      <c r="D2" s="5">
        <f>AVERAGEIFS('Data Combined - all-runs'!$N:$N, 'Data Combined - all-runs'!$E:$E, A2, 'Data Combined - all-runs'!$B:$B, "Centralized")</f>
        <v>2.204545455</v>
      </c>
      <c r="E2" s="5">
        <f t="shared" ref="E2:E7" si="1"> (D2/C2)*1000</f>
        <v>4.90841008</v>
      </c>
      <c r="F2" s="5">
        <f>COUNTIFS('Data Combined - all-runs'!$E:$E, A2, 'Data Combined - all-runs'!$B:$B, "Shared")</f>
        <v>50</v>
      </c>
      <c r="G2" s="5">
        <f>AVERAGEIFS('Data Combined - all-runs'!$H:$H, 'Data Combined - all-runs'!$E:$E, A2, 'Data Combined - all-runs'!$B:$B, "Shared")</f>
        <v>748.88</v>
      </c>
      <c r="H2" s="5">
        <f>AVERAGEIFS('Data Combined - all-runs'!$N:$N, 'Data Combined - all-runs'!$E:$E, A2, 'Data Combined - all-runs'!$B:$B, "Shared")</f>
        <v>4.62</v>
      </c>
      <c r="I2" s="5">
        <f t="shared" ref="I2:I7" si="2"> (H2/G2)*1000</f>
        <v>6.169212691</v>
      </c>
    </row>
    <row r="3">
      <c r="A3" s="3" t="s">
        <v>39</v>
      </c>
      <c r="B3" s="5">
        <f>COUNTIFS('Data Combined - all-runs'!$E:$E, A3, 'Data Combined - all-runs'!$B:$B, "Centralized")</f>
        <v>43</v>
      </c>
      <c r="C3" s="5">
        <f>AVERAGEIFS('Data Combined - all-runs'!$H:$H, 'Data Combined - all-runs'!$E:$E, A3, 'Data Combined - all-runs'!$B:$B, "Centralized")</f>
        <v>417.2325581</v>
      </c>
      <c r="D3" s="5">
        <f>AVERAGEIFS('Data Combined - all-runs'!$N:$N, 'Data Combined - all-runs'!$E:$E, A3, 'Data Combined - all-runs'!$B:$B, "Centralized")</f>
        <v>1.418604651</v>
      </c>
      <c r="E3" s="5">
        <f t="shared" si="1"/>
        <v>3.400033443</v>
      </c>
      <c r="F3" s="5">
        <f>COUNTIFS('Data Combined - all-runs'!$E:$E, A3, 'Data Combined - all-runs'!$B:$B, "Shared")</f>
        <v>49</v>
      </c>
      <c r="G3" s="5">
        <f>AVERAGEIFS('Data Combined - all-runs'!$H:$H, 'Data Combined - all-runs'!$E:$E, A3, 'Data Combined - all-runs'!$B:$B, "Shared")</f>
        <v>1029.204082</v>
      </c>
      <c r="H3" s="5">
        <f>AVERAGEIFS('Data Combined - all-runs'!$N:$N, 'Data Combined - all-runs'!$E:$E, A3, 'Data Combined - all-runs'!$B:$B, "Shared")</f>
        <v>3.040816327</v>
      </c>
      <c r="I3" s="5">
        <f t="shared" si="2"/>
        <v>2.954531935</v>
      </c>
    </row>
    <row r="4">
      <c r="A4" s="3" t="s">
        <v>43</v>
      </c>
      <c r="B4" s="5">
        <f>COUNTIFS('Data Combined - all-runs'!$E:$E, A4, 'Data Combined - all-runs'!$B:$B, "Centralized")</f>
        <v>43</v>
      </c>
      <c r="C4" s="5">
        <f>AVERAGEIFS('Data Combined - all-runs'!$H:$H, 'Data Combined - all-runs'!$E:$E, A4, 'Data Combined - all-runs'!$B:$B, "Centralized")</f>
        <v>690.3488372</v>
      </c>
      <c r="D4" s="5">
        <f>AVERAGEIFS('Data Combined - all-runs'!$N:$N, 'Data Combined - all-runs'!$E:$E, A4, 'Data Combined - all-runs'!$B:$B, "Centralized")</f>
        <v>6.488372093</v>
      </c>
      <c r="E4" s="5">
        <f t="shared" si="1"/>
        <v>9.398686205</v>
      </c>
      <c r="F4" s="5">
        <f>COUNTIFS('Data Combined - all-runs'!$E:$E, A4, 'Data Combined - all-runs'!$B:$B, "Shared")</f>
        <v>43</v>
      </c>
      <c r="G4" s="5">
        <f>AVERAGEIFS('Data Combined - all-runs'!$H:$H, 'Data Combined - all-runs'!$E:$E, A4, 'Data Combined - all-runs'!$B:$B, "Shared")</f>
        <v>1968.930233</v>
      </c>
      <c r="H4" s="5">
        <f>AVERAGEIFS('Data Combined - all-runs'!$N:$N, 'Data Combined - all-runs'!$E:$E, A4, 'Data Combined - all-runs'!$B:$B, "Shared")</f>
        <v>10.1627907</v>
      </c>
      <c r="I4" s="5">
        <f t="shared" si="2"/>
        <v>5.161579892</v>
      </c>
    </row>
    <row r="5">
      <c r="A5" s="3" t="s">
        <v>34</v>
      </c>
      <c r="B5" s="5">
        <f>COUNTIFS('Data Combined - all-runs'!$E:$E, A5, 'Data Combined - all-runs'!$B:$B, "Centralized")</f>
        <v>38</v>
      </c>
      <c r="C5" s="5">
        <f>AVERAGEIFS('Data Combined - all-runs'!$H:$H, 'Data Combined - all-runs'!$E:$E, A5, 'Data Combined - all-runs'!$B:$B, "Centralized")</f>
        <v>825.2368421</v>
      </c>
      <c r="D5" s="5">
        <f>AVERAGEIFS('Data Combined - all-runs'!$N:$N, 'Data Combined - all-runs'!$E:$E, A5, 'Data Combined - all-runs'!$B:$B, "Centralized")</f>
        <v>3.921052632</v>
      </c>
      <c r="E5" s="5">
        <f t="shared" si="1"/>
        <v>4.751427023</v>
      </c>
      <c r="F5" s="5">
        <f>COUNTIFS('Data Combined - all-runs'!$E:$E, A5, 'Data Combined - all-runs'!$B:$B, "Shared")</f>
        <v>43</v>
      </c>
      <c r="G5" s="5">
        <f>AVERAGEIFS('Data Combined - all-runs'!$H:$H, 'Data Combined - all-runs'!$E:$E, A5, 'Data Combined - all-runs'!$B:$B, "Shared")</f>
        <v>2516.674419</v>
      </c>
      <c r="H5" s="5">
        <f>AVERAGEIFS('Data Combined - all-runs'!$N:$N, 'Data Combined - all-runs'!$E:$E, A5, 'Data Combined - all-runs'!$B:$B, "Shared")</f>
        <v>7.325581395</v>
      </c>
      <c r="I5" s="5">
        <f t="shared" si="2"/>
        <v>2.910818078</v>
      </c>
    </row>
    <row r="6">
      <c r="A6" s="3" t="s">
        <v>47</v>
      </c>
      <c r="B6" s="5">
        <f>COUNTIFS('Data Combined - all-runs'!$E:$E, A6, 'Data Combined - all-runs'!$B:$B, "Centralized")</f>
        <v>43</v>
      </c>
      <c r="C6" s="5">
        <f>AVERAGEIFS('Data Combined - all-runs'!$H:$H, 'Data Combined - all-runs'!$E:$E, A6, 'Data Combined - all-runs'!$B:$B, "Centralized")</f>
        <v>871.5116279</v>
      </c>
      <c r="D6" s="5">
        <f>AVERAGEIFS('Data Combined - all-runs'!$N:$N, 'Data Combined - all-runs'!$E:$E, A6, 'Data Combined - all-runs'!$B:$B, "Centralized")</f>
        <v>5.395348837</v>
      </c>
      <c r="E6" s="5">
        <f t="shared" si="1"/>
        <v>6.190793863</v>
      </c>
      <c r="F6" s="5">
        <f>COUNTIFS('Data Combined - all-runs'!$E:$E, A6, 'Data Combined - all-runs'!$B:$B, "Shared")</f>
        <v>47</v>
      </c>
      <c r="G6" s="5">
        <f>AVERAGEIFS('Data Combined - all-runs'!$H:$H, 'Data Combined - all-runs'!$E:$E, A6, 'Data Combined - all-runs'!$B:$B, "Shared")</f>
        <v>2335.744681</v>
      </c>
      <c r="H6" s="5">
        <f>AVERAGEIFS('Data Combined - all-runs'!$N:$N, 'Data Combined - all-runs'!$E:$E, A6, 'Data Combined - all-runs'!$B:$B, "Shared")</f>
        <v>6.872340426</v>
      </c>
      <c r="I6" s="5">
        <f t="shared" si="2"/>
        <v>2.942248133</v>
      </c>
    </row>
    <row r="7">
      <c r="A7" s="3" t="s">
        <v>51</v>
      </c>
      <c r="B7" s="5">
        <f>COUNTIFS('Data Combined - all-runs'!$E:$E, A7, 'Data Combined - all-runs'!$B:$B, "Centralized")</f>
        <v>40</v>
      </c>
      <c r="C7" s="5">
        <f>AVERAGEIFS('Data Combined - all-runs'!$H:$H, 'Data Combined - all-runs'!$E:$E, A7, 'Data Combined - all-runs'!$B:$B, "Centralized")</f>
        <v>591.6</v>
      </c>
      <c r="D7" s="5">
        <f>AVERAGEIFS('Data Combined - all-runs'!$N:$N, 'Data Combined - all-runs'!$E:$E, A7, 'Data Combined - all-runs'!$B:$B, "Centralized")</f>
        <v>4.925</v>
      </c>
      <c r="E7" s="5">
        <f t="shared" si="1"/>
        <v>8.324881677</v>
      </c>
      <c r="F7" s="5">
        <f>COUNTIFS('Data Combined - all-runs'!$E:$E, A7, 'Data Combined - all-runs'!$B:$B, "Shared")</f>
        <v>43</v>
      </c>
      <c r="G7" s="5">
        <f>AVERAGEIFS('Data Combined - all-runs'!$H:$H, 'Data Combined - all-runs'!$E:$E, A7, 'Data Combined - all-runs'!$B:$B, "Shared")</f>
        <v>1855.348837</v>
      </c>
      <c r="H7" s="5">
        <f>AVERAGEIFS('Data Combined - all-runs'!$N:$N, 'Data Combined - all-runs'!$E:$E, A7, 'Data Combined - all-runs'!$B:$B, "Shared")</f>
        <v>8.209302326</v>
      </c>
      <c r="I7" s="5">
        <f t="shared" si="2"/>
        <v>4.424667837</v>
      </c>
    </row>
    <row r="12">
      <c r="A12" s="1" t="s">
        <v>3</v>
      </c>
      <c r="B12" s="6" t="s">
        <v>405</v>
      </c>
      <c r="C12" s="6" t="s">
        <v>406</v>
      </c>
      <c r="D12" s="6" t="s">
        <v>407</v>
      </c>
      <c r="E12" s="6" t="s">
        <v>408</v>
      </c>
      <c r="F12" s="6" t="s">
        <v>410</v>
      </c>
      <c r="G12" s="6" t="s">
        <v>411</v>
      </c>
      <c r="H12" s="6" t="s">
        <v>412</v>
      </c>
      <c r="I12" s="6" t="s">
        <v>413</v>
      </c>
    </row>
    <row r="13">
      <c r="A13" s="3" t="s">
        <v>24</v>
      </c>
      <c r="B13" s="5">
        <f>COUNTIFS('Data Combined - all-runs'!$D:$D, A13, 'Data Combined - all-runs'!$B:$B, "Centralized")</f>
        <v>57</v>
      </c>
      <c r="C13" s="5">
        <f>AVERAGEIFS('Data Combined - all-runs'!$H:$H, 'Data Combined - all-runs'!$D:$D, A13, 'Data Combined - all-runs'!$B:$B, "Centralized")</f>
        <v>384.754386</v>
      </c>
      <c r="D13" s="5">
        <f>AVERAGEIFS('Data Combined - all-runs'!$N:$N, 'Data Combined - all-runs'!$D:$D, A13, 'Data Combined - all-runs'!$B:$B, "Centralized")</f>
        <v>0.1403508772</v>
      </c>
      <c r="E13" s="5">
        <f t="shared" ref="E13:E18" si="3"> (D13/C13)*1000</f>
        <v>0.3647804478</v>
      </c>
      <c r="F13" s="5">
        <f>COUNTIFS('Data Combined - all-runs'!$D:$D, A13, 'Data Combined - all-runs'!$B:$B, "Shared")</f>
        <v>65</v>
      </c>
      <c r="G13" s="5">
        <f>AVERAGEIFS('Data Combined - all-runs'!$H:$H, 'Data Combined - all-runs'!$D:$D, A13, 'Data Combined - all-runs'!$B:$B, "Shared")</f>
        <v>1619.323077</v>
      </c>
      <c r="H13" s="5">
        <f>AVERAGEIFS('Data Combined - all-runs'!$N:$N, 'Data Combined - all-runs'!$D:$D, A13,'Data Combined - all-runs'!$B:$B, "Shared")</f>
        <v>4.492307692</v>
      </c>
      <c r="I13" s="5">
        <f t="shared" ref="I13:I18" si="4"> (H13/G13)*1000</f>
        <v>2.774188645</v>
      </c>
    </row>
    <row r="14">
      <c r="A14" s="3" t="s">
        <v>54</v>
      </c>
      <c r="B14" s="5">
        <f>COUNTIFS('Data Combined - all-runs'!$D:$D, A14, 'Data Combined - all-runs'!$B:$B, "Centralized")</f>
        <v>37</v>
      </c>
      <c r="C14" s="5">
        <f>AVERAGEIFS('Data Combined - all-runs'!$H:$H, 'Data Combined - all-runs'!$D:$D, A14, 'Data Combined - all-runs'!$B:$B, "Centralized")</f>
        <v>891.3783784</v>
      </c>
      <c r="D14" s="5">
        <f>AVERAGEIFS('Data Combined - all-runs'!$N:$N, 'Data Combined - all-runs'!$D:$D, A14, 'Data Combined - all-runs'!$B:$B, "Centralized")</f>
        <v>5.594594595</v>
      </c>
      <c r="E14" s="5">
        <f t="shared" si="3"/>
        <v>6.276340924</v>
      </c>
      <c r="F14" s="5">
        <f>COUNTIFS('Data Combined - all-runs'!$D:$D, A14, 'Data Combined - all-runs'!$B:$B, "Shared")</f>
        <v>54</v>
      </c>
      <c r="G14" s="5">
        <f>AVERAGEIFS('Data Combined - all-runs'!$H:$H, 'Data Combined - all-runs'!$D:$D, A14, 'Data Combined - all-runs'!$B:$B, "Shared")</f>
        <v>2262.166667</v>
      </c>
      <c r="H14" s="5">
        <f>AVERAGEIFS('Data Combined - all-runs'!$N:$N, 'Data Combined - all-runs'!$D:$D, A14,'Data Combined - all-runs'!$B:$B, "Shared")</f>
        <v>10.05555556</v>
      </c>
      <c r="I14" s="5">
        <f t="shared" si="4"/>
        <v>4.445099339</v>
      </c>
    </row>
    <row r="15">
      <c r="A15" s="3" t="s">
        <v>72</v>
      </c>
      <c r="B15" s="5">
        <f>COUNTIFS('Data Combined - all-runs'!$D:$D, A15, 'Data Combined - all-runs'!$B:$B, "Centralized")</f>
        <v>37</v>
      </c>
      <c r="C15" s="5">
        <f>AVERAGEIFS('Data Combined - all-runs'!$H:$H, 'Data Combined - all-runs'!$D:$D, A15, 'Data Combined - all-runs'!$B:$B, "Centralized")</f>
        <v>864.8108108</v>
      </c>
      <c r="D15" s="5">
        <f>AVERAGEIFS('Data Combined - all-runs'!$N:$N, 'Data Combined - all-runs'!$D:$D, A15, 'Data Combined - all-runs'!$B:$B, "Centralized")</f>
        <v>5.297297297</v>
      </c>
      <c r="E15" s="5">
        <f t="shared" si="3"/>
        <v>6.125382836</v>
      </c>
      <c r="F15" s="5">
        <f>COUNTIFS('Data Combined - all-runs'!$D:$D, A15, 'Data Combined - all-runs'!$B:$B, "Shared")</f>
        <v>44</v>
      </c>
      <c r="G15" s="5">
        <f>AVERAGEIFS('Data Combined - all-runs'!$H:$H, 'Data Combined - all-runs'!$D:$D, A15, 'Data Combined - all-runs'!$B:$B, "Shared")</f>
        <v>2104.886364</v>
      </c>
      <c r="H15" s="5">
        <f>AVERAGEIFS('Data Combined - all-runs'!$N:$N, 'Data Combined - all-runs'!$D:$D, A15,'Data Combined - all-runs'!$B:$B, "Shared")</f>
        <v>7.818181818</v>
      </c>
      <c r="I15" s="5">
        <f t="shared" si="4"/>
        <v>3.714301139</v>
      </c>
    </row>
    <row r="16">
      <c r="A16" s="3" t="s">
        <v>64</v>
      </c>
      <c r="B16" s="5">
        <f>COUNTIFS('Data Combined - all-runs'!$D:$D, A16, 'Data Combined - all-runs'!$B:$B, "Centralized")</f>
        <v>48</v>
      </c>
      <c r="C16" s="5">
        <f>AVERAGEIFS('Data Combined - all-runs'!$H:$H, 'Data Combined - all-runs'!$D:$D, A16, 'Data Combined - all-runs'!$B:$B, "Centralized")</f>
        <v>605.6875</v>
      </c>
      <c r="D16" s="5">
        <f>AVERAGEIFS('Data Combined - all-runs'!$N:$N, 'Data Combined - all-runs'!$D:$D, A16, 'Data Combined - all-runs'!$B:$B, "Centralized")</f>
        <v>4.708333333</v>
      </c>
      <c r="E16" s="5">
        <f t="shared" si="3"/>
        <v>7.773535583</v>
      </c>
      <c r="F16" s="5">
        <f>COUNTIFS('Data Combined - all-runs'!$D:$D, A16, 'Data Combined - all-runs'!$B:$B, "Shared")</f>
        <v>46</v>
      </c>
      <c r="G16" s="5">
        <f>AVERAGEIFS('Data Combined - all-runs'!$H:$H, 'Data Combined - all-runs'!$D:$D, A16, 'Data Combined - all-runs'!$B:$B, "Shared")</f>
        <v>1724.173913</v>
      </c>
      <c r="H16" s="5">
        <f>AVERAGEIFS('Data Combined - all-runs'!$N:$N, 'Data Combined - all-runs'!$D:$D, A16,'Data Combined - all-runs'!$B:$B, "Shared")</f>
        <v>6.739130435</v>
      </c>
      <c r="I16" s="5">
        <f t="shared" si="4"/>
        <v>3.908614081</v>
      </c>
    </row>
    <row r="17">
      <c r="A17" s="3" t="s">
        <v>102</v>
      </c>
      <c r="B17" s="5">
        <f>COUNTIFS('Data Combined - all-runs'!$D:$D, A17, 'Data Combined - all-runs'!$B:$B, "Centralized")</f>
        <v>36</v>
      </c>
      <c r="C17" s="5">
        <f>AVERAGEIFS('Data Combined - all-runs'!$H:$H, 'Data Combined - all-runs'!$D:$D, A17, 'Data Combined - all-runs'!$B:$B, "Centralized")</f>
        <v>572.5555556</v>
      </c>
      <c r="D17" s="5">
        <f>AVERAGEIFS('Data Combined - all-runs'!$N:$N, 'Data Combined - all-runs'!$D:$D, A17, 'Data Combined - all-runs'!$B:$B, "Centralized")</f>
        <v>4.972222222</v>
      </c>
      <c r="E17" s="5">
        <f t="shared" si="3"/>
        <v>8.684261595</v>
      </c>
      <c r="F17" s="5">
        <f>COUNTIFS('Data Combined - all-runs'!$D:$D, A17, 'Data Combined - all-runs'!$B:$B, "Shared")</f>
        <v>36</v>
      </c>
      <c r="G17" s="5">
        <f>AVERAGEIFS('Data Combined - all-runs'!$H:$H, 'Data Combined - all-runs'!$D:$D, A17, 'Data Combined - all-runs'!$B:$B, "Shared")</f>
        <v>800.1944444</v>
      </c>
      <c r="H17" s="5">
        <f>AVERAGEIFS('Data Combined - all-runs'!$N:$N, 'Data Combined - all-runs'!$D:$D, A17,'Data Combined - all-runs'!$B:$B, "Shared")</f>
        <v>4.666666667</v>
      </c>
      <c r="I17" s="5">
        <f t="shared" si="4"/>
        <v>5.831915854</v>
      </c>
    </row>
    <row r="18">
      <c r="A18" s="3" t="s">
        <v>118</v>
      </c>
      <c r="B18" s="5">
        <f>COUNTIFS('Data Combined - all-runs'!$D:$D, A18, 'Data Combined - all-runs'!$B:$B, "Centralized")</f>
        <v>36</v>
      </c>
      <c r="C18" s="5">
        <f>AVERAGEIFS('Data Combined - all-runs'!$H:$H, 'Data Combined - all-runs'!$D:$D, A18, 'Data Combined - all-runs'!$B:$B, "Centralized")</f>
        <v>646.9722222</v>
      </c>
      <c r="D18" s="5">
        <f>AVERAGEIFS('Data Combined - all-runs'!$N:$N, 'Data Combined - all-runs'!$D:$D, A18, 'Data Combined - all-runs'!$B:$B, "Centralized")</f>
        <v>5.527777778</v>
      </c>
      <c r="E18" s="5">
        <f t="shared" si="3"/>
        <v>8.544072818</v>
      </c>
      <c r="F18" s="5">
        <f>COUNTIFS('Data Combined - all-runs'!$D:$D, A18, 'Data Combined - all-runs'!$B:$B, "Shared")</f>
        <v>30</v>
      </c>
      <c r="G18" s="5">
        <f>AVERAGEIFS('Data Combined - all-runs'!$H:$H, 'Data Combined - all-runs'!$D:$D, A18, 'Data Combined - all-runs'!$B:$B, "Shared")</f>
        <v>1405.633333</v>
      </c>
      <c r="H18" s="5">
        <f>AVERAGEIFS('Data Combined - all-runs'!$N:$N, 'Data Combined - all-runs'!$D:$D, A18,'Data Combined - all-runs'!$B:$B, "Shared")</f>
        <v>5.033333333</v>
      </c>
      <c r="I18" s="5">
        <f t="shared" si="4"/>
        <v>3.580829519</v>
      </c>
    </row>
    <row r="54">
      <c r="A54" s="6" t="s">
        <v>4</v>
      </c>
      <c r="B54" s="6" t="s">
        <v>486</v>
      </c>
      <c r="C54" s="6" t="s">
        <v>406</v>
      </c>
      <c r="D54" s="6" t="s">
        <v>407</v>
      </c>
      <c r="E54" s="6" t="s">
        <v>408</v>
      </c>
      <c r="F54" s="6" t="s">
        <v>487</v>
      </c>
      <c r="G54" s="6" t="s">
        <v>411</v>
      </c>
      <c r="H54" s="6" t="s">
        <v>412</v>
      </c>
      <c r="I54" s="6" t="s">
        <v>413</v>
      </c>
    </row>
    <row r="55">
      <c r="A55" s="3" t="s">
        <v>25</v>
      </c>
      <c r="B55" s="5">
        <f>COUNTIFS(
  'Data averaged'!$E:$E,A55,
  'Data averaged'!$A:$A,"Battery",
  'Data averaged'!$B:$B,"Centralized",
  'Data averaged'!$C:$C,"Natural"
)
+
COUNTIFS(
  'Data averaged'!$E:$E,A55,
  'Data averaged'!$A:$A,"Battery + Shelf",
  'Data averaged'!$B:$B,"Centralized",
  'Data averaged'!$C:$C,"Natural"
)
+
COUNTIFS(
  'Data averaged'!$E:$E,A55,
  'Data averaged'!$A:$A,"Calls",
  'Data averaged'!$B:$B,"Centralized",
  'Data averaged'!$C:$C,"Natural",
  'Data averaged'!$D:$D,"&lt;&gt;phi4",
  'Data averaged'!$D:$D,"&lt;&gt;qwen 14b (2.5)"
)</f>
        <v>16</v>
      </c>
      <c r="C55" s="5">
        <f>AVERAGE(
  AVERAGEIFS(
    'Data averaged'!$H:$H,
    'Data averaged'!$E:$E,A55,
    'Data averaged'!$A:$A,"Battery",
    'Data averaged'!$B:$B,"Centralized",
    'Data averaged'!$C:$C,"Natural"
  ),
  AVERAGEIFS(
    'Data averaged'!$H:$H,
    'Data averaged'!$E:$E,A55,
    'Data averaged'!$A:$A,"Battery + Shelf",
    'Data averaged'!$B:$B,"Centralized",
    'Data averaged'!$C:$C,"Natural"
  ),
  AVERAGE(
    AVERAGEIFS(
      'Data averaged'!$H:$H,
      'Data averaged'!$E:$E,A55,
      'Data averaged'!$A:$A,"Calls",
      'Data averaged'!$B:$B,"Centralized",
      'Data averaged'!$C:$C,"Natural",
      'Data averaged'!$D:$D,"llama 1b (3.2)"
    ),
    AVERAGEIFS(
      'Data averaged'!$H:$H,
      'Data averaged'!$E:$E,A55,
      'Data averaged'!$A:$A,"Calls",
      'Data averaged'!$B:$B,"Centralized",
      'Data averaged'!$C:$C,"Natural",
      'Data averaged'!$D:$D,"llama 3b (3.2)"
    ),
    AVERAGEIFS(
      'Data averaged'!$H:$H,
      'Data averaged'!$E:$E,A55,
      'Data averaged'!$A:$A,"Calls",
      'Data averaged'!$B:$B,"Centralized",
      'Data averaged'!$C:$C,"Natural",
      'Data averaged'!$D:$D,"mistral 7b"
    ),
    AVERAGEIFS(
      'Data averaged'!$H:$H,
      'Data averaged'!$E:$E,A55,
      'Data averaged'!$A:$A,"Calls",
      'Data averaged'!$B:$B,"Centralized",
      'Data averaged'!$C:$C,"Natural",
      'Data averaged'!$D:$D,"gemma 12b"
    )
  )
)</f>
        <v>605.3055556</v>
      </c>
      <c r="D55" s="5">
        <f>AVERAGE(
  AVERAGEIFS(
    'Data averaged'!$N:$N,
    'Data averaged'!$E:$E,A55,
    'Data averaged'!$A:$A,"Battery",
    'Data averaged'!$B:$B,"Centralized",
    'Data averaged'!$C:$C,"Natural"
  ),
  AVERAGEIFS(
    'Data averaged'!$N:$N,
    'Data averaged'!$E:$E,A55,
    'Data averaged'!$A:$A,"Battery + Shelf",
    'Data averaged'!$B:$B,"Centralized",
    'Data averaged'!$C:$C,"Natural"
  ),
  AVERAGEIFS(
    'Data averaged'!$N:$N,
    'Data averaged'!$E:$E,A55,
    'Data averaged'!$A:$A,"Calls",
    'Data averaged'!$B:$B,"Centralized",
    'Data averaged'!$C:$C,"Natural",
    'Data averaged'!$D:$D,"&lt;&gt;phi4",
    'Data averaged'!$D:$D,"&lt;&gt;qwen 14b (2.5)"
  )
)</f>
        <v>3.083333333</v>
      </c>
      <c r="E55" s="5">
        <f t="shared" ref="E55:E60" si="5"> (D55/C55)*1000</f>
        <v>5.093846083</v>
      </c>
      <c r="F55" s="5">
        <f>COUNTIFS(
  'Data averaged'!$E:$E,A55,
  'Data averaged'!$A:$A,"Battery",
  'Data averaged'!$B:$B,"Shared",
  'Data averaged'!$C:$C,"Natural"
)
+
COUNTIFS(
  'Data averaged'!$E:$E,A55,
  'Data averaged'!$A:$A,"Battery + Shelf",
  'Data averaged'!$B:$B,"Shared",
  'Data averaged'!$C:$C,"Natural"
)
+
COUNTIFS(
  'Data averaged'!$E:$E,A55,
  'Data averaged'!$A:$A,"Calls",
  'Data averaged'!$B:$B,"Shared",
  'Data averaged'!$C:$C,"Natural",
  'Data averaged'!$D:$D,"&lt;&gt;phi4",
  'Data averaged'!$D:$D,"&lt;&gt;qwen 14b (2.5)"
)</f>
        <v>16</v>
      </c>
      <c r="G55" s="5">
        <f>AVERAGE(
  AVERAGEIFS(
    'Data averaged'!$H:$H,
    'Data averaged'!$E:$E,A55,
    'Data averaged'!$A:$A,"Battery",
    'Data averaged'!$B:$B,"Shared",
    'Data averaged'!$C:$C,"Natural"
  ),
  AVERAGEIFS(
    'Data averaged'!$H:$H,
    'Data averaged'!$E:$E,A55,
    'Data averaged'!$A:$A,"Battery + Shelf",
    'Data averaged'!$B:$B,"Shared",
    'Data averaged'!$C:$C,"Natural"
  ),
  AVERAGE(
    AVERAGEIFS(
      'Data averaged'!$H:$H,
      'Data averaged'!$E:$E,A55,
      'Data averaged'!$A:$A,"Calls",
      'Data averaged'!$B:$B,"Shared",
      'Data averaged'!$C:$C,"Natural",
      'Data averaged'!$D:$D,"llama 1b (3.2)"
    ),
    AVERAGEIFS(
      'Data averaged'!$H:$H,
      'Data averaged'!$E:$E,A55,
      'Data averaged'!$A:$A,"Calls",
      'Data averaged'!$B:$B,"Shared",
      'Data averaged'!$C:$C,"Natural",
      'Data averaged'!$D:$D,"llama 3b (3.2)"
    ),
    AVERAGEIFS(
      'Data averaged'!$H:$H,
      'Data averaged'!$E:$E,A55,
      'Data averaged'!$A:$A,"Calls",
      'Data averaged'!$B:$B,"Shared",
      'Data averaged'!$C:$C,"Natural",
      'Data averaged'!$D:$D,"mistral 7b"
    ),
    AVERAGEIFS(
      'Data averaged'!$H:$H,
      'Data averaged'!$E:$E,A55,
      'Data averaged'!$A:$A,"Calls",
      'Data averaged'!$B:$B,"Shared",
      'Data averaged'!$C:$C,"Natural",
      'Data averaged'!$D:$D,"gemma 12b"
    )
  )
)</f>
        <v>717.8935185</v>
      </c>
      <c r="H55" s="5">
        <f>AVERAGE(
  AVERAGEIFS(
    'Data averaged'!$N:$N,
    'Data averaged'!$E:$E,A55,
    'Data averaged'!$A:$A,"Battery",
    'Data averaged'!$B:$B,"Shared",
    'Data averaged'!$C:$C,"Natural"
  ),
  AVERAGEIFS(
    'Data averaged'!$N:$N,
    'Data averaged'!$E:$E,A55,
    'Data averaged'!$A:$A,"Battery + Shelf",
    'Data averaged'!$B:$B,"Shared",
    'Data averaged'!$C:$C,"Natural"
  ),
  AVERAGEIFS(
    'Data averaged'!$N:$N,
    'Data averaged'!$E:$E,A55,
    'Data averaged'!$A:$A,"Calls",
    'Data averaged'!$B:$B,"Shared",
    'Data averaged'!$C:$C,"Natural",
    'Data averaged'!$D:$D,"&lt;&gt;phi4",
    'Data averaged'!$D:$D,"&lt;&gt;qwen 14b (2.5)"
  )
)</f>
        <v>6.046296296</v>
      </c>
      <c r="I55" s="5">
        <f t="shared" ref="I55:I60" si="6"> (H55/G55)*1000</f>
        <v>8.42227453</v>
      </c>
    </row>
    <row r="56">
      <c r="A56" s="3" t="s">
        <v>39</v>
      </c>
      <c r="B56" s="5">
        <f>COUNTIFS(
  'Data averaged'!$E:$E,A56,
  'Data averaged'!$A:$A,"Battery",
  'Data averaged'!$B:$B,"Centralized",
  'Data averaged'!$C:$C,"Natural"
)
+
COUNTIFS(
  'Data averaged'!$E:$E,A56,
  'Data averaged'!$A:$A,"Battery + Shelf",
  'Data averaged'!$B:$B,"Centralized",
  'Data averaged'!$C:$C,"Natural"
)
+
COUNTIFS(
  'Data averaged'!$E:$E,A56,
  'Data averaged'!$A:$A,"Calls",
  'Data averaged'!$B:$B,"Centralized",
  'Data averaged'!$C:$C,"Natural",
  'Data averaged'!$D:$D,"&lt;&gt;phi4",
  'Data averaged'!$D:$D,"&lt;&gt;qwen 14b (2.5)"
)</f>
        <v>16</v>
      </c>
      <c r="C56" s="5">
        <f>AVERAGE(
  AVERAGEIFS(
    'Data averaged'!$H:$H,
    'Data averaged'!$E:$E,A56,
    'Data averaged'!$A:$A,"Battery",
    'Data averaged'!$B:$B,"Centralized",
    'Data averaged'!$C:$C,"Natural"
  ),
  AVERAGEIFS(
    'Data averaged'!$H:$H,
    'Data averaged'!$E:$E,A56,
    'Data averaged'!$A:$A,"Battery + Shelf",
    'Data averaged'!$B:$B,"Centralized",
    'Data averaged'!$C:$C,"Natural"
  ),
  AVERAGE(
    AVERAGEIFS(
      'Data averaged'!$H:$H,
      'Data averaged'!$E:$E,A56,
      'Data averaged'!$A:$A,"Calls",
      'Data averaged'!$B:$B,"Centralized",
      'Data averaged'!$C:$C,"Natural",
      'Data averaged'!$D:$D,"llama 1b (3.2)"
    ),
    AVERAGEIFS(
      'Data averaged'!$H:$H,
      'Data averaged'!$E:$E,A56,
      'Data averaged'!$A:$A,"Calls",
      'Data averaged'!$B:$B,"Centralized",
      'Data averaged'!$C:$C,"Natural",
      'Data averaged'!$D:$D,"llama 3b (3.2)"
    ),
    AVERAGEIFS(
      'Data averaged'!$H:$H,
      'Data averaged'!$E:$E,A56,
      'Data averaged'!$A:$A,"Calls",
      'Data averaged'!$B:$B,"Centralized",
      'Data averaged'!$C:$C,"Natural",
      'Data averaged'!$D:$D,"mistral 7b"
    ),
    AVERAGEIFS(
      'Data averaged'!$H:$H,
      'Data averaged'!$E:$E,A56,
      'Data averaged'!$A:$A,"Calls",
      'Data averaged'!$B:$B,"Centralized",
      'Data averaged'!$C:$C,"Natural",
      'Data averaged'!$D:$D,"gemma 12b"
    )
  )
)</f>
        <v>598.5416667</v>
      </c>
      <c r="D56" s="5">
        <f>AVERAGE(
  AVERAGEIFS(
    'Data averaged'!$N:$N,
    'Data averaged'!$E:$E,A56,
    'Data averaged'!$A:$A,"Battery",
    'Data averaged'!$B:$B,"Centralized",
    'Data averaged'!$C:$C,"Natural"
  ),
  AVERAGEIFS(
    'Data averaged'!$N:$N,
    'Data averaged'!$E:$E,A56,
    'Data averaged'!$A:$A,"Battery + Shelf",
    'Data averaged'!$B:$B,"Centralized",
    'Data averaged'!$C:$C,"Natural"
  ),
  AVERAGEIFS(
    'Data averaged'!$N:$N,
    'Data averaged'!$E:$E,A56,
    'Data averaged'!$A:$A,"Calls",
    'Data averaged'!$B:$B,"Centralized",
    'Data averaged'!$C:$C,"Natural",
    'Data averaged'!$D:$D,"&lt;&gt;phi4",
    'Data averaged'!$D:$D,"&lt;&gt;qwen 14b (2.5)"
  )
)</f>
        <v>2.666666667</v>
      </c>
      <c r="E56" s="5">
        <f t="shared" si="5"/>
        <v>4.455273234</v>
      </c>
      <c r="F56" s="5">
        <f>COUNTIFS(
  'Data averaged'!$E:$E,A56,
  'Data averaged'!$A:$A,"Battery",
  'Data averaged'!$B:$B,"Shared",
  'Data averaged'!$C:$C,"Natural"
)
+
COUNTIFS(
  'Data averaged'!$E:$E,A56,
  'Data averaged'!$A:$A,"Battery + Shelf",
  'Data averaged'!$B:$B,"Shared",
  'Data averaged'!$C:$C,"Natural"
)
+
COUNTIFS(
  'Data averaged'!$E:$E,A56,
  'Data averaged'!$A:$A,"Calls",
  'Data averaged'!$B:$B,"Shared",
  'Data averaged'!$C:$C,"Natural",
  'Data averaged'!$D:$D,"&lt;&gt;phi4",
  'Data averaged'!$D:$D,"&lt;&gt;qwen 14b (2.5)"
)</f>
        <v>16</v>
      </c>
      <c r="G56" s="5">
        <f>AVERAGE(
  AVERAGEIFS(
    'Data averaged'!$H:$H,
    'Data averaged'!$E:$E,A56,
    'Data averaged'!$A:$A,"Battery",
    'Data averaged'!$B:$B,"Shared",
    'Data averaged'!$C:$C,"Natural"
  ),
  AVERAGEIFS(
    'Data averaged'!$H:$H,
    'Data averaged'!$E:$E,A56,
    'Data averaged'!$A:$A,"Battery + Shelf",
    'Data averaged'!$B:$B,"Shared",
    'Data averaged'!$C:$C,"Natural"
  ),
  AVERAGE(
    AVERAGEIFS(
      'Data averaged'!$H:$H,
      'Data averaged'!$E:$E,A56,
      'Data averaged'!$A:$A,"Calls",
      'Data averaged'!$B:$B,"Shared",
      'Data averaged'!$C:$C,"Natural",
      'Data averaged'!$D:$D,"llama 1b (3.2)"
    ),
    AVERAGEIFS(
      'Data averaged'!$H:$H,
      'Data averaged'!$E:$E,A56,
      'Data averaged'!$A:$A,"Calls",
      'Data averaged'!$B:$B,"Shared",
      'Data averaged'!$C:$C,"Natural",
      'Data averaged'!$D:$D,"llama 3b (3.2)"
    ),
    AVERAGEIFS(
      'Data averaged'!$H:$H,
      'Data averaged'!$E:$E,A56,
      'Data averaged'!$A:$A,"Calls",
      'Data averaged'!$B:$B,"Shared",
      'Data averaged'!$C:$C,"Natural",
      'Data averaged'!$D:$D,"mistral 7b"
    ),
    AVERAGEIFS(
      'Data averaged'!$H:$H,
      'Data averaged'!$E:$E,A56,
      'Data averaged'!$A:$A,"Calls",
      'Data averaged'!$B:$B,"Shared",
      'Data averaged'!$C:$C,"Natural",
      'Data averaged'!$D:$D,"gemma 12b"
    )
  )
)</f>
        <v>1230.458333</v>
      </c>
      <c r="H56" s="5">
        <f>AVERAGE(
  AVERAGEIFS(
    'Data averaged'!$N:$N,
    'Data averaged'!$E:$E,A56,
    'Data averaged'!$A:$A,"Battery",
    'Data averaged'!$B:$B,"Shared",
    'Data averaged'!$C:$C,"Natural"
  ),
  AVERAGEIFS(
    'Data averaged'!$N:$N,
    'Data averaged'!$E:$E,A56,
    'Data averaged'!$A:$A,"Battery + Shelf",
    'Data averaged'!$B:$B,"Shared",
    'Data averaged'!$C:$C,"Natural"
  ),
  AVERAGEIFS(
    'Data averaged'!$N:$N,
    'Data averaged'!$E:$E,A56,
    'Data averaged'!$A:$A,"Calls",
    'Data averaged'!$B:$B,"Shared",
    'Data averaged'!$C:$C,"Natural",
    'Data averaged'!$D:$D,"&lt;&gt;phi4",
    'Data averaged'!$D:$D,"&lt;&gt;qwen 14b (2.5)"
  )
)</f>
        <v>4.541666667</v>
      </c>
      <c r="I56" s="5">
        <f t="shared" si="6"/>
        <v>3.691036538</v>
      </c>
    </row>
    <row r="57">
      <c r="A57" s="3" t="s">
        <v>43</v>
      </c>
      <c r="B57" s="5">
        <f>COUNTIFS(
  'Data averaged'!$E:$E,A57,
  'Data averaged'!$A:$A,"Battery",
  'Data averaged'!$B:$B,"Centralized",
  'Data averaged'!$C:$C,"Natural"
)
+
COUNTIFS(
  'Data averaged'!$E:$E,A57,
  'Data averaged'!$A:$A,"Battery + Shelf",
  'Data averaged'!$B:$B,"Centralized",
  'Data averaged'!$C:$C,"Natural"
)
+
COUNTIFS(
  'Data averaged'!$E:$E,A57,
  'Data averaged'!$A:$A,"Calls",
  'Data averaged'!$B:$B,"Centralized",
  'Data averaged'!$C:$C,"Natural",
  'Data averaged'!$D:$D,"&lt;&gt;phi4",
  'Data averaged'!$D:$D,"&lt;&gt;qwen 14b (2.5)"
)</f>
        <v>16</v>
      </c>
      <c r="C57" s="5">
        <f>AVERAGE(
  AVERAGEIFS(
    'Data averaged'!$H:$H,
    'Data averaged'!$E:$E,A57,
    'Data averaged'!$A:$A,"Battery",
    'Data averaged'!$B:$B,"Centralized",
    'Data averaged'!$C:$C,"Natural"
  ),
  AVERAGEIFS(
    'Data averaged'!$H:$H,
    'Data averaged'!$E:$E,A57,
    'Data averaged'!$A:$A,"Battery + Shelf",
    'Data averaged'!$B:$B,"Centralized",
    'Data averaged'!$C:$C,"Natural"
  ),
  AVERAGE(
    AVERAGEIFS(
      'Data averaged'!$H:$H,
      'Data averaged'!$E:$E,A57,
      'Data averaged'!$A:$A,"Calls",
      'Data averaged'!$B:$B,"Centralized",
      'Data averaged'!$C:$C,"Natural",
      'Data averaged'!$D:$D,"llama 1b (3.2)"
    ),
    AVERAGEIFS(
      'Data averaged'!$H:$H,
      'Data averaged'!$E:$E,A57,
      'Data averaged'!$A:$A,"Calls",
      'Data averaged'!$B:$B,"Centralized",
      'Data averaged'!$C:$C,"Natural",
      'Data averaged'!$D:$D,"llama 3b (3.2)"
    ),
    AVERAGEIFS(
      'Data averaged'!$H:$H,
      'Data averaged'!$E:$E,A57,
      'Data averaged'!$A:$A,"Calls",
      'Data averaged'!$B:$B,"Centralized",
      'Data averaged'!$C:$C,"Natural",
      'Data averaged'!$D:$D,"mistral 7b"
    ),
    AVERAGEIFS(
      'Data averaged'!$H:$H,
      'Data averaged'!$E:$E,A57,
      'Data averaged'!$A:$A,"Calls",
      'Data averaged'!$B:$B,"Centralized",
      'Data averaged'!$C:$C,"Natural",
      'Data averaged'!$D:$D,"gemma 12b"
    )
  )
)</f>
        <v>925.8888889</v>
      </c>
      <c r="D57" s="5">
        <f>AVERAGE(
  AVERAGEIFS(
    'Data averaged'!$N:$N,
    'Data averaged'!$E:$E,A57,
    'Data averaged'!$A:$A,"Battery",
    'Data averaged'!$B:$B,"Centralized",
    'Data averaged'!$C:$C,"Natural"
  ),
  AVERAGEIFS(
    'Data averaged'!$N:$N,
    'Data averaged'!$E:$E,A57,
    'Data averaged'!$A:$A,"Battery + Shelf",
    'Data averaged'!$B:$B,"Centralized",
    'Data averaged'!$C:$C,"Natural"
  ),
  AVERAGEIFS(
    'Data averaged'!$N:$N,
    'Data averaged'!$E:$E,A57,
    'Data averaged'!$A:$A,"Calls",
    'Data averaged'!$B:$B,"Centralized",
    'Data averaged'!$C:$C,"Natural",
    'Data averaged'!$D:$D,"&lt;&gt;phi4",
    'Data averaged'!$D:$D,"&lt;&gt;qwen 14b (2.5)"
  )
)</f>
        <v>8.666666667</v>
      </c>
      <c r="E57" s="5">
        <f t="shared" si="5"/>
        <v>9.360374415</v>
      </c>
      <c r="F57" s="5">
        <f>COUNTIFS(
  'Data averaged'!$E:$E,A57,
  'Data averaged'!$A:$A,"Battery",
  'Data averaged'!$B:$B,"Shared",
  'Data averaged'!$C:$C,"Natural"
)
+
COUNTIFS(
  'Data averaged'!$E:$E,A57,
  'Data averaged'!$A:$A,"Battery + Shelf",
  'Data averaged'!$B:$B,"Shared",
  'Data averaged'!$C:$C,"Natural"
)
+
COUNTIFS(
  'Data averaged'!$E:$E,A57,
  'Data averaged'!$A:$A,"Calls",
  'Data averaged'!$B:$B,"Shared",
  'Data averaged'!$C:$C,"Natural",
  'Data averaged'!$D:$D,"&lt;&gt;phi4",
  'Data averaged'!$D:$D,"&lt;&gt;qwen 14b (2.5)"
)</f>
        <v>16</v>
      </c>
      <c r="G57" s="5">
        <f>AVERAGE(
  AVERAGEIFS(
    'Data averaged'!$H:$H,
    'Data averaged'!$E:$E,A57,
    'Data averaged'!$A:$A,"Battery",
    'Data averaged'!$B:$B,"Shared",
    'Data averaged'!$C:$C,"Natural"
  ),
  AVERAGEIFS(
    'Data averaged'!$H:$H,
    'Data averaged'!$E:$E,A57,
    'Data averaged'!$A:$A,"Battery + Shelf",
    'Data averaged'!$B:$B,"Shared",
    'Data averaged'!$C:$C,"Natural"
  ),
  AVERAGE(
    AVERAGEIFS(
      'Data averaged'!$H:$H,
      'Data averaged'!$E:$E,A57,
      'Data averaged'!$A:$A,"Calls",
      'Data averaged'!$B:$B,"Shared",
      'Data averaged'!$C:$C,"Natural",
      'Data averaged'!$D:$D,"llama 1b (3.2)"
    ),
    AVERAGEIFS(
      'Data averaged'!$H:$H,
      'Data averaged'!$E:$E,A57,
      'Data averaged'!$A:$A,"Calls",
      'Data averaged'!$B:$B,"Shared",
      'Data averaged'!$C:$C,"Natural",
      'Data averaged'!$D:$D,"llama 3b (3.2)"
    ),
    AVERAGEIFS(
      'Data averaged'!$H:$H,
      'Data averaged'!$E:$E,A57,
      'Data averaged'!$A:$A,"Calls",
      'Data averaged'!$B:$B,"Shared",
      'Data averaged'!$C:$C,"Natural",
      'Data averaged'!$D:$D,"mistral 7b"
    ),
    AVERAGEIFS(
      'Data averaged'!$H:$H,
      'Data averaged'!$E:$E,A57,
      'Data averaged'!$A:$A,"Calls",
      'Data averaged'!$B:$B,"Shared",
      'Data averaged'!$C:$C,"Natural",
      'Data averaged'!$D:$D,"gemma 12b"
    )
  )
)</f>
        <v>2185.601852</v>
      </c>
      <c r="H57" s="5">
        <f>AVERAGE(
  AVERAGEIFS(
    'Data averaged'!$N:$N,
    'Data averaged'!$E:$E,A57,
    'Data averaged'!$A:$A,"Battery",
    'Data averaged'!$B:$B,"Shared",
    'Data averaged'!$C:$C,"Natural"
  ),
  AVERAGEIFS(
    'Data averaged'!$N:$N,
    'Data averaged'!$E:$E,A57,
    'Data averaged'!$A:$A,"Battery + Shelf",
    'Data averaged'!$B:$B,"Shared",
    'Data averaged'!$C:$C,"Natural"
  ),
  AVERAGEIFS(
    'Data averaged'!$N:$N,
    'Data averaged'!$E:$E,A57,
    'Data averaged'!$A:$A,"Calls",
    'Data averaged'!$B:$B,"Shared",
    'Data averaged'!$C:$C,"Natural",
    'Data averaged'!$D:$D,"&lt;&gt;phi4",
    'Data averaged'!$D:$D,"&lt;&gt;qwen 14b (2.5)"
  )
)</f>
        <v>13.14814815</v>
      </c>
      <c r="I57" s="5">
        <f t="shared" si="6"/>
        <v>6.015802072</v>
      </c>
    </row>
    <row r="58">
      <c r="A58" s="3" t="s">
        <v>34</v>
      </c>
      <c r="B58" s="5">
        <f>COUNTIFS(
  'Data averaged'!$E:$E,A58,
  'Data averaged'!$A:$A,"Battery",
  'Data averaged'!$B:$B,"Centralized",
  'Data averaged'!$C:$C,"Natural"
)
+
COUNTIFS(
  'Data averaged'!$E:$E,A58,
  'Data averaged'!$A:$A,"Battery + Shelf",
  'Data averaged'!$B:$B,"Centralized",
  'Data averaged'!$C:$C,"Natural"
)
+
COUNTIFS(
  'Data averaged'!$E:$E,A58,
  'Data averaged'!$A:$A,"Calls",
  'Data averaged'!$B:$B,"Centralized",
  'Data averaged'!$C:$C,"Natural",
  'Data averaged'!$D:$D,"&lt;&gt;phi4",
  'Data averaged'!$D:$D,"&lt;&gt;qwen 14b (2.5)"
)</f>
        <v>16</v>
      </c>
      <c r="C58" s="5">
        <f>AVERAGE(
  AVERAGEIFS(
    'Data averaged'!$H:$H,
    'Data averaged'!$E:$E,A58,
    'Data averaged'!$A:$A,"Battery",
    'Data averaged'!$B:$B,"Centralized",
    'Data averaged'!$C:$C,"Natural"
  ),
  AVERAGEIFS(
    'Data averaged'!$H:$H,
    'Data averaged'!$E:$E,A58,
    'Data averaged'!$A:$A,"Battery + Shelf",
    'Data averaged'!$B:$B,"Centralized",
    'Data averaged'!$C:$C,"Natural"
  ),
  AVERAGE(
    AVERAGEIFS(
      'Data averaged'!$H:$H,
      'Data averaged'!$E:$E,A58,
      'Data averaged'!$A:$A,"Calls",
      'Data averaged'!$B:$B,"Centralized",
      'Data averaged'!$C:$C,"Natural",
      'Data averaged'!$D:$D,"llama 1b (3.2)"
    ),
    AVERAGEIFS(
      'Data averaged'!$H:$H,
      'Data averaged'!$E:$E,A58,
      'Data averaged'!$A:$A,"Calls",
      'Data averaged'!$B:$B,"Centralized",
      'Data averaged'!$C:$C,"Natural",
      'Data averaged'!$D:$D,"llama 3b (3.2)"
    ),
    AVERAGEIFS(
      'Data averaged'!$H:$H,
      'Data averaged'!$E:$E,A58,
      'Data averaged'!$A:$A,"Calls",
      'Data averaged'!$B:$B,"Centralized",
      'Data averaged'!$C:$C,"Natural",
      'Data averaged'!$D:$D,"mistral 7b"
    ),
    AVERAGEIFS(
      'Data averaged'!$H:$H,
      'Data averaged'!$E:$E,A58,
      'Data averaged'!$A:$A,"Calls",
      'Data averaged'!$B:$B,"Centralized",
      'Data averaged'!$C:$C,"Natural",
      'Data averaged'!$D:$D,"gemma 12b"
    )
  )
)</f>
        <v>939.6111111</v>
      </c>
      <c r="D58" s="5">
        <f>AVERAGE(
  AVERAGEIFS(
    'Data averaged'!$N:$N,
    'Data averaged'!$E:$E,A58,
    'Data averaged'!$A:$A,"Battery",
    'Data averaged'!$B:$B,"Centralized",
    'Data averaged'!$C:$C,"Natural"
  ),
  AVERAGEIFS(
    'Data averaged'!$N:$N,
    'Data averaged'!$E:$E,A58,
    'Data averaged'!$A:$A,"Battery + Shelf",
    'Data averaged'!$B:$B,"Centralized",
    'Data averaged'!$C:$C,"Natural"
  ),
  AVERAGEIFS(
    'Data averaged'!$N:$N,
    'Data averaged'!$E:$E,A58,
    'Data averaged'!$A:$A,"Calls",
    'Data averaged'!$B:$B,"Centralized",
    'Data averaged'!$C:$C,"Natural",
    'Data averaged'!$D:$D,"&lt;&gt;phi4",
    'Data averaged'!$D:$D,"&lt;&gt;qwen 14b (2.5)"
  )
)</f>
        <v>3.861111111</v>
      </c>
      <c r="E58" s="5">
        <f t="shared" si="5"/>
        <v>4.109265062</v>
      </c>
      <c r="F58" s="5">
        <f>COUNTIFS(
  'Data averaged'!$E:$E,A58,
  'Data averaged'!$A:$A,"Battery",
  'Data averaged'!$B:$B,"Shared",
  'Data averaged'!$C:$C,"Natural"
)
+
COUNTIFS(
  'Data averaged'!$E:$E,A58,
  'Data averaged'!$A:$A,"Battery + Shelf",
  'Data averaged'!$B:$B,"Shared",
  'Data averaged'!$C:$C,"Natural"
)
+
COUNTIFS(
  'Data averaged'!$E:$E,A58,
  'Data averaged'!$A:$A,"Calls",
  'Data averaged'!$B:$B,"Shared",
  'Data averaged'!$C:$C,"Natural",
  'Data averaged'!$D:$D,"&lt;&gt;phi4",
  'Data averaged'!$D:$D,"&lt;&gt;qwen 14b (2.5)"
)</f>
        <v>16</v>
      </c>
      <c r="G58" s="5">
        <f>AVERAGE(
  AVERAGEIFS(
    'Data averaged'!$H:$H,
    'Data averaged'!$E:$E,A58,
    'Data averaged'!$A:$A,"Battery",
    'Data averaged'!$B:$B,"Shared",
    'Data averaged'!$C:$C,"Natural"
  ),
  AVERAGEIFS(
    'Data averaged'!$H:$H,
    'Data averaged'!$E:$E,A58,
    'Data averaged'!$A:$A,"Battery + Shelf",
    'Data averaged'!$B:$B,"Shared",
    'Data averaged'!$C:$C,"Natural"
  ),
  AVERAGE(
    AVERAGEIFS(
      'Data averaged'!$H:$H,
      'Data averaged'!$E:$E,A58,
      'Data averaged'!$A:$A,"Calls",
      'Data averaged'!$B:$B,"Shared",
      'Data averaged'!$C:$C,"Natural",
      'Data averaged'!$D:$D,"llama 1b (3.2)"
    ),
    AVERAGEIFS(
      'Data averaged'!$H:$H,
      'Data averaged'!$E:$E,A58,
      'Data averaged'!$A:$A,"Calls",
      'Data averaged'!$B:$B,"Shared",
      'Data averaged'!$C:$C,"Natural",
      'Data averaged'!$D:$D,"llama 3b (3.2)"
    ),
    AVERAGEIFS(
      'Data averaged'!$H:$H,
      'Data averaged'!$E:$E,A58,
      'Data averaged'!$A:$A,"Calls",
      'Data averaged'!$B:$B,"Shared",
      'Data averaged'!$C:$C,"Natural",
      'Data averaged'!$D:$D,"mistral 7b"
    ),
    AVERAGEIFS(
      'Data averaged'!$H:$H,
      'Data averaged'!$E:$E,A58,
      'Data averaged'!$A:$A,"Calls",
      'Data averaged'!$B:$B,"Shared",
      'Data averaged'!$C:$C,"Natural",
      'Data averaged'!$D:$D,"gemma 12b"
    )
  )
)</f>
        <v>2551.907407</v>
      </c>
      <c r="H58" s="5">
        <f>AVERAGE(
  AVERAGEIFS(
    'Data averaged'!$N:$N,
    'Data averaged'!$E:$E,A58,
    'Data averaged'!$A:$A,"Battery",
    'Data averaged'!$B:$B,"Shared",
    'Data averaged'!$C:$C,"Natural"
  ),
  AVERAGEIFS(
    'Data averaged'!$N:$N,
    'Data averaged'!$E:$E,A58,
    'Data averaged'!$A:$A,"Battery + Shelf",
    'Data averaged'!$B:$B,"Shared",
    'Data averaged'!$C:$C,"Natural"
  ),
  AVERAGEIFS(
    'Data averaged'!$N:$N,
    'Data averaged'!$E:$E,A58,
    'Data averaged'!$A:$A,"Calls",
    'Data averaged'!$B:$B,"Shared",
    'Data averaged'!$C:$C,"Natural",
    'Data averaged'!$D:$D,"&lt;&gt;phi4",
    'Data averaged'!$D:$D,"&lt;&gt;qwen 14b (2.5)"
  )
)</f>
        <v>8.925925926</v>
      </c>
      <c r="I58" s="5">
        <f t="shared" si="6"/>
        <v>3.497746783</v>
      </c>
    </row>
    <row r="59">
      <c r="A59" s="3" t="s">
        <v>47</v>
      </c>
      <c r="B59" s="5">
        <f>COUNTIFS(
  'Data averaged'!$E:$E,A59,
  'Data averaged'!$A:$A,"Battery",
  'Data averaged'!$B:$B,"Centralized",
  'Data averaged'!$C:$C,"Natural"
)
+
COUNTIFS(
  'Data averaged'!$E:$E,A59,
  'Data averaged'!$A:$A,"Battery + Shelf",
  'Data averaged'!$B:$B,"Centralized",
  'Data averaged'!$C:$C,"Natural"
)
+
COUNTIFS(
  'Data averaged'!$E:$E,A59,
  'Data averaged'!$A:$A,"Calls",
  'Data averaged'!$B:$B,"Centralized",
  'Data averaged'!$C:$C,"Natural",
  'Data averaged'!$D:$D,"&lt;&gt;phi4",
  'Data averaged'!$D:$D,"&lt;&gt;qwen 14b (2.5)"
)</f>
        <v>16</v>
      </c>
      <c r="C59" s="5">
        <f>AVERAGE(
  AVERAGEIFS(
    'Data averaged'!$H:$H,
    'Data averaged'!$E:$E,A59,
    'Data averaged'!$A:$A,"Battery",
    'Data averaged'!$B:$B,"Centralized",
    'Data averaged'!$C:$C,"Natural"
  ),
  AVERAGEIFS(
    'Data averaged'!$H:$H,
    'Data averaged'!$E:$E,A59,
    'Data averaged'!$A:$A,"Battery + Shelf",
    'Data averaged'!$B:$B,"Centralized",
    'Data averaged'!$C:$C,"Natural"
  ),
  AVERAGE(
    AVERAGEIFS(
      'Data averaged'!$H:$H,
      'Data averaged'!$E:$E,A59,
      'Data averaged'!$A:$A,"Calls",
      'Data averaged'!$B:$B,"Centralized",
      'Data averaged'!$C:$C,"Natural",
      'Data averaged'!$D:$D,"llama 1b (3.2)"
    ),
    AVERAGEIFS(
      'Data averaged'!$H:$H,
      'Data averaged'!$E:$E,A59,
      'Data averaged'!$A:$A,"Calls",
      'Data averaged'!$B:$B,"Centralized",
      'Data averaged'!$C:$C,"Natural",
      'Data averaged'!$D:$D,"llama 3b (3.2)"
    ),
    AVERAGEIFS(
      'Data averaged'!$H:$H,
      'Data averaged'!$E:$E,A59,
      'Data averaged'!$A:$A,"Calls",
      'Data averaged'!$B:$B,"Centralized",
      'Data averaged'!$C:$C,"Natural",
      'Data averaged'!$D:$D,"mistral 7b"
    ),
    AVERAGEIFS(
      'Data averaged'!$H:$H,
      'Data averaged'!$E:$E,A59,
      'Data averaged'!$A:$A,"Calls",
      'Data averaged'!$B:$B,"Centralized",
      'Data averaged'!$C:$C,"Natural",
      'Data averaged'!$D:$D,"gemma 12b"
    )
  )
)</f>
        <v>1297.569444</v>
      </c>
      <c r="D59" s="5">
        <f>AVERAGE(
  AVERAGEIFS(
    'Data averaged'!$N:$N,
    'Data averaged'!$E:$E,A59,
    'Data averaged'!$A:$A,"Battery",
    'Data averaged'!$B:$B,"Centralized",
    'Data averaged'!$C:$C,"Natural"
  ),
  AVERAGEIFS(
    'Data averaged'!$N:$N,
    'Data averaged'!$E:$E,A59,
    'Data averaged'!$A:$A,"Battery + Shelf",
    'Data averaged'!$B:$B,"Centralized",
    'Data averaged'!$C:$C,"Natural"
  ),
  AVERAGEIFS(
    'Data averaged'!$N:$N,
    'Data averaged'!$E:$E,A59,
    'Data averaged'!$A:$A,"Calls",
    'Data averaged'!$B:$B,"Centralized",
    'Data averaged'!$C:$C,"Natural",
    'Data averaged'!$D:$D,"&lt;&gt;phi4",
    'Data averaged'!$D:$D,"&lt;&gt;qwen 14b (2.5)"
  )
)</f>
        <v>7.833333333</v>
      </c>
      <c r="E59" s="5">
        <f t="shared" si="5"/>
        <v>6.036928017</v>
      </c>
      <c r="F59" s="5">
        <f>COUNTIFS(
  'Data averaged'!$E:$E,A59,
  'Data averaged'!$A:$A,"Battery",
  'Data averaged'!$B:$B,"Shared",
  'Data averaged'!$C:$C,"Natural"
)
+
COUNTIFS(
  'Data averaged'!$E:$E,A59,
  'Data averaged'!$A:$A,"Battery + Shelf",
  'Data averaged'!$B:$B,"Shared",
  'Data averaged'!$C:$C,"Natural"
)
+
COUNTIFS(
  'Data averaged'!$E:$E,A59,
  'Data averaged'!$A:$A,"Calls",
  'Data averaged'!$B:$B,"Shared",
  'Data averaged'!$C:$C,"Natural",
  'Data averaged'!$D:$D,"&lt;&gt;phi4",
  'Data averaged'!$D:$D,"&lt;&gt;qwen 14b (2.5)"
)</f>
        <v>16</v>
      </c>
      <c r="G59" s="5">
        <f>AVERAGE(
  AVERAGEIFS(
    'Data averaged'!$H:$H,
    'Data averaged'!$E:$E,A59,
    'Data averaged'!$A:$A,"Battery",
    'Data averaged'!$B:$B,"Shared",
    'Data averaged'!$C:$C,"Natural"
  ),
  AVERAGEIFS(
    'Data averaged'!$H:$H,
    'Data averaged'!$E:$E,A59,
    'Data averaged'!$A:$A,"Battery + Shelf",
    'Data averaged'!$B:$B,"Shared",
    'Data averaged'!$C:$C,"Natural"
  ),
  AVERAGE(
    AVERAGEIFS(
      'Data averaged'!$H:$H,
      'Data averaged'!$E:$E,A59,
      'Data averaged'!$A:$A,"Calls",
      'Data averaged'!$B:$B,"Shared",
      'Data averaged'!$C:$C,"Natural",
      'Data averaged'!$D:$D,"llama 1b (3.2)"
    ),
    AVERAGEIFS(
      'Data averaged'!$H:$H,
      'Data averaged'!$E:$E,A59,
      'Data averaged'!$A:$A,"Calls",
      'Data averaged'!$B:$B,"Shared",
      'Data averaged'!$C:$C,"Natural",
      'Data averaged'!$D:$D,"llama 3b (3.2)"
    ),
    AVERAGEIFS(
      'Data averaged'!$H:$H,
      'Data averaged'!$E:$E,A59,
      'Data averaged'!$A:$A,"Calls",
      'Data averaged'!$B:$B,"Shared",
      'Data averaged'!$C:$C,"Natural",
      'Data averaged'!$D:$D,"mistral 7b"
    ),
    AVERAGEIFS(
      'Data averaged'!$H:$H,
      'Data averaged'!$E:$E,A59,
      'Data averaged'!$A:$A,"Calls",
      'Data averaged'!$B:$B,"Shared",
      'Data averaged'!$C:$C,"Natural",
      'Data averaged'!$D:$D,"gemma 12b"
    )
  )
)</f>
        <v>2412.208333</v>
      </c>
      <c r="H59" s="5">
        <f>AVERAGE(
  AVERAGEIFS(
    'Data averaged'!$N:$N,
    'Data averaged'!$E:$E,A59,
    'Data averaged'!$A:$A,"Battery",
    'Data averaged'!$B:$B,"Shared",
    'Data averaged'!$C:$C,"Natural"
  ),
  AVERAGEIFS(
    'Data averaged'!$N:$N,
    'Data averaged'!$E:$E,A59,
    'Data averaged'!$A:$A,"Battery + Shelf",
    'Data averaged'!$B:$B,"Shared",
    'Data averaged'!$C:$C,"Natural"
  ),
  AVERAGEIFS(
    'Data averaged'!$N:$N,
    'Data averaged'!$E:$E,A59,
    'Data averaged'!$A:$A,"Calls",
    'Data averaged'!$B:$B,"Shared",
    'Data averaged'!$C:$C,"Natural",
    'Data averaged'!$D:$D,"&lt;&gt;phi4",
    'Data averaged'!$D:$D,"&lt;&gt;qwen 14b (2.5)"
  )
)</f>
        <v>8.175925926</v>
      </c>
      <c r="I59" s="5">
        <f t="shared" si="6"/>
        <v>3.389394611</v>
      </c>
    </row>
    <row r="60">
      <c r="A60" s="3" t="s">
        <v>51</v>
      </c>
      <c r="B60" s="5">
        <f>COUNTIFS(
  'Data averaged'!$E:$E,A60,
  'Data averaged'!$A:$A,"Battery",
  'Data averaged'!$B:$B,"Centralized",
  'Data averaged'!$C:$C,"Natural"
)
+
COUNTIFS(
  'Data averaged'!$E:$E,A60,
  'Data averaged'!$A:$A,"Battery + Shelf",
  'Data averaged'!$B:$B,"Centralized",
  'Data averaged'!$C:$C,"Natural"
)
+
COUNTIFS(
  'Data averaged'!$E:$E,A60,
  'Data averaged'!$A:$A,"Calls",
  'Data averaged'!$B:$B,"Centralized",
  'Data averaged'!$C:$C,"Natural",
  'Data averaged'!$D:$D,"&lt;&gt;phi4",
  'Data averaged'!$D:$D,"&lt;&gt;qwen 14b (2.5)"
)</f>
        <v>16</v>
      </c>
      <c r="C60" s="5">
        <f>AVERAGE(
  AVERAGEIFS(
    'Data averaged'!$H:$H,
    'Data averaged'!$E:$E,A60,
    'Data averaged'!$A:$A,"Battery",
    'Data averaged'!$B:$B,"Centralized",
    'Data averaged'!$C:$C,"Natural"
  ),
  AVERAGEIFS(
    'Data averaged'!$H:$H,
    'Data averaged'!$E:$E,A60,
    'Data averaged'!$A:$A,"Battery + Shelf",
    'Data averaged'!$B:$B,"Centralized",
    'Data averaged'!$C:$C,"Natural"
  ),
  AVERAGE(
    AVERAGEIFS(
      'Data averaged'!$H:$H,
      'Data averaged'!$E:$E,A60,
      'Data averaged'!$A:$A,"Calls",
      'Data averaged'!$B:$B,"Centralized",
      'Data averaged'!$C:$C,"Natural",
      'Data averaged'!$D:$D,"llama 1b (3.2)"
    ),
    AVERAGEIFS(
      'Data averaged'!$H:$H,
      'Data averaged'!$E:$E,A60,
      'Data averaged'!$A:$A,"Calls",
      'Data averaged'!$B:$B,"Centralized",
      'Data averaged'!$C:$C,"Natural",
      'Data averaged'!$D:$D,"llama 3b (3.2)"
    ),
    AVERAGEIFS(
      'Data averaged'!$H:$H,
      'Data averaged'!$E:$E,A60,
      'Data averaged'!$A:$A,"Calls",
      'Data averaged'!$B:$B,"Centralized",
      'Data averaged'!$C:$C,"Natural",
      'Data averaged'!$D:$D,"mistral 7b"
    ),
    AVERAGEIFS(
      'Data averaged'!$H:$H,
      'Data averaged'!$E:$E,A60,
      'Data averaged'!$A:$A,"Calls",
      'Data averaged'!$B:$B,"Centralized",
      'Data averaged'!$C:$C,"Natural",
      'Data averaged'!$D:$D,"gemma 12b"
    )
  )
)</f>
        <v>816.6111111</v>
      </c>
      <c r="D60" s="5">
        <f>AVERAGE(
  AVERAGEIFS(
    'Data averaged'!$N:$N,
    'Data averaged'!$E:$E,A60,
    'Data averaged'!$A:$A,"Battery",
    'Data averaged'!$B:$B,"Centralized",
    'Data averaged'!$C:$C,"Natural"
  ),
  AVERAGEIFS(
    'Data averaged'!$N:$N,
    'Data averaged'!$E:$E,A60,
    'Data averaged'!$A:$A,"Battery + Shelf",
    'Data averaged'!$B:$B,"Centralized",
    'Data averaged'!$C:$C,"Natural"
  ),
  AVERAGEIFS(
    'Data averaged'!$N:$N,
    'Data averaged'!$E:$E,A60,
    'Data averaged'!$A:$A,"Calls",
    'Data averaged'!$B:$B,"Centralized",
    'Data averaged'!$C:$C,"Natural",
    'Data averaged'!$D:$D,"&lt;&gt;phi4",
    'Data averaged'!$D:$D,"&lt;&gt;qwen 14b (2.5)"
  )
)</f>
        <v>7.694444444</v>
      </c>
      <c r="E60" s="5">
        <f t="shared" si="5"/>
        <v>9.422409688</v>
      </c>
      <c r="F60" s="5">
        <f>COUNTIFS(
  'Data averaged'!$E:$E,A60,
  'Data averaged'!$A:$A,"Battery",
  'Data averaged'!$B:$B,"Shared",
  'Data averaged'!$C:$C,"Natural"
)
+
COUNTIFS(
  'Data averaged'!$E:$E,A60,
  'Data averaged'!$A:$A,"Battery + Shelf",
  'Data averaged'!$B:$B,"Shared",
  'Data averaged'!$C:$C,"Natural"
)
+
COUNTIFS(
  'Data averaged'!$E:$E,A60,
  'Data averaged'!$A:$A,"Calls",
  'Data averaged'!$B:$B,"Shared",
  'Data averaged'!$C:$C,"Natural",
  'Data averaged'!$D:$D,"&lt;&gt;phi4",
  'Data averaged'!$D:$D,"&lt;&gt;qwen 14b (2.5)"
)</f>
        <v>16</v>
      </c>
      <c r="G60" s="5">
        <f>AVERAGE(
  AVERAGEIFS(
    'Data averaged'!$H:$H,
    'Data averaged'!$E:$E,A60,
    'Data averaged'!$A:$A,"Battery",
    'Data averaged'!$B:$B,"Shared",
    'Data averaged'!$C:$C,"Natural"
  ),
  AVERAGEIFS(
    'Data averaged'!$H:$H,
    'Data averaged'!$E:$E,A60,
    'Data averaged'!$A:$A,"Battery + Shelf",
    'Data averaged'!$B:$B,"Shared",
    'Data averaged'!$C:$C,"Natural"
  ),
  AVERAGE(
    AVERAGEIFS(
      'Data averaged'!$H:$H,
      'Data averaged'!$E:$E,A60,
      'Data averaged'!$A:$A,"Calls",
      'Data averaged'!$B:$B,"Shared",
      'Data averaged'!$C:$C,"Natural",
      'Data averaged'!$D:$D,"llama 1b (3.2)"
    ),
    AVERAGEIFS(
      'Data averaged'!$H:$H,
      'Data averaged'!$E:$E,A60,
      'Data averaged'!$A:$A,"Calls",
      'Data averaged'!$B:$B,"Shared",
      'Data averaged'!$C:$C,"Natural",
      'Data averaged'!$D:$D,"llama 3b (3.2)"
    ),
    AVERAGEIFS(
      'Data averaged'!$H:$H,
      'Data averaged'!$E:$E,A60,
      'Data averaged'!$A:$A,"Calls",
      'Data averaged'!$B:$B,"Shared",
      'Data averaged'!$C:$C,"Natural",
      'Data averaged'!$D:$D,"mistral 7b"
    ),
    AVERAGEIFS(
      'Data averaged'!$H:$H,
      'Data averaged'!$E:$E,A60,
      'Data averaged'!$A:$A,"Calls",
      'Data averaged'!$B:$B,"Shared",
      'Data averaged'!$C:$C,"Natural",
      'Data averaged'!$D:$D,"gemma 12b"
    )
  )
)</f>
        <v>1852.569444</v>
      </c>
      <c r="H60" s="5">
        <f>AVERAGE(
  AVERAGEIFS(
    'Data averaged'!$N:$N,
    'Data averaged'!$E:$E,A60,
    'Data averaged'!$A:$A,"Battery",
    'Data averaged'!$B:$B,"Shared",
    'Data averaged'!$C:$C,"Natural"
  ),
  AVERAGEIFS(
    'Data averaged'!$N:$N,
    'Data averaged'!$E:$E,A60,
    'Data averaged'!$A:$A,"Battery + Shelf",
    'Data averaged'!$B:$B,"Shared",
    'Data averaged'!$C:$C,"Natural"
  ),
  AVERAGEIFS(
    'Data averaged'!$N:$N,
    'Data averaged'!$E:$E,A60,
    'Data averaged'!$A:$A,"Calls",
    'Data averaged'!$B:$B,"Shared",
    'Data averaged'!$C:$C,"Natural",
    'Data averaged'!$D:$D,"&lt;&gt;phi4",
    'Data averaged'!$D:$D,"&lt;&gt;qwen 14b (2.5)"
  )
)</f>
        <v>10.58796296</v>
      </c>
      <c r="I60" s="5">
        <f t="shared" si="6"/>
        <v>5.715285327</v>
      </c>
    </row>
    <row r="64">
      <c r="A64" s="3" t="s">
        <v>668</v>
      </c>
    </row>
    <row r="65">
      <c r="A65" s="1" t="s">
        <v>3</v>
      </c>
      <c r="B65" s="6" t="s">
        <v>486</v>
      </c>
      <c r="C65" s="6" t="s">
        <v>406</v>
      </c>
      <c r="D65" s="6" t="s">
        <v>407</v>
      </c>
      <c r="E65" s="6" t="s">
        <v>408</v>
      </c>
      <c r="F65" s="6" t="s">
        <v>487</v>
      </c>
      <c r="G65" s="6" t="s">
        <v>411</v>
      </c>
      <c r="H65" s="6" t="s">
        <v>412</v>
      </c>
      <c r="I65" s="6" t="s">
        <v>413</v>
      </c>
    </row>
    <row r="66">
      <c r="A66" s="3" t="s">
        <v>24</v>
      </c>
      <c r="B66" s="5">
        <f>COUNTIFS(
  'Data averaged'!$D:$D,$A66,
  'Data averaged'!$A:$A,"Battery",
  'Data averaged'!$B:$B,"Centralized",
  'Data averaged'!$C:$C,"Natural"
)
+
COUNTIFS(
  'Data averaged'!$D:$D,$A66,
  'Data averaged'!$A:$A,"Battery + Shelf",
  'Data averaged'!$B:$B,"Centralized",
  'Data averaged'!$C:$C,"Natural"
)</f>
        <v>12</v>
      </c>
      <c r="C66" s="5">
        <f>AVERAGE(
  AVERAGEIFS(
    'Data averaged'!$H:$H,
    'Data averaged'!$D:$D,$A66,
    'Data averaged'!$A:$A,"Battery",
    'Data averaged'!$B:$B,"Centralized",
    'Data averaged'!$C:$C,"Natural"
  ),
  AVERAGEIFS(
    'Data averaged'!$H:$H,
    'Data averaged'!$D:$D,$A66,
    'Data averaged'!$A:$A,"Battery + Shelf",
    'Data averaged'!$B:$B,"Centralized",
    'Data averaged'!$C:$C,"Natural"
  )
)</f>
        <v>491.75</v>
      </c>
      <c r="D66" s="5">
        <f>AVERAGE(
  AVERAGEIFS(
    'Data averaged'!$N:$N,
    'Data averaged'!$D:$D,$A66,
    'Data averaged'!$A:$A,"Battery",
    'Data averaged'!$B:$B,"Centralized",
    'Data averaged'!$C:$C,"Natural"
  ),
  AVERAGEIFS(
    'Data averaged'!$N:$N,
    'Data averaged'!$D:$D,$A66,
    'Data averaged'!$A:$A,"Battery + Shelf",
    'Data averaged'!$B:$B,"Centralized",
    'Data averaged'!$C:$C,"Natural"
  )
)</f>
        <v>0.4166666667</v>
      </c>
      <c r="E66" s="5">
        <f t="shared" ref="E66:E71" si="7"> (D66/C66)*1000</f>
        <v>0.8473140146</v>
      </c>
      <c r="F66" s="5">
        <f>COUNTIFS(
  'Data averaged'!$D:$D,$A66,
  'Data averaged'!$A:$A,"Battery",
  'Data averaged'!$B:$B,"shared",
  'Data averaged'!$C:$C,"Natural"
)
+
COUNTIFS(
  'Data averaged'!$D:$D,$A66,
  'Data averaged'!$A:$A,"Battery + Shelf",
  'Data averaged'!$B:$B,"shared",
  'Data averaged'!$C:$C,"Natural"
)</f>
        <v>12</v>
      </c>
      <c r="G66" s="5">
        <f>AVERAGE(
  AVERAGEIFS(
    'Data averaged'!$H:$H,
    'Data averaged'!$D:$D,$A66,
    'Data averaged'!$A:$A,"Battery",
    'Data averaged'!$B:$B,"shared",
    'Data averaged'!$C:$C,"Natural"
  ),
  AVERAGEIFS(
    'Data averaged'!$H:$H,
    'Data averaged'!$D:$D,$A66,
    'Data averaged'!$A:$A,"Battery + Shelf",
    'Data averaged'!$B:$B,"shared",
    'Data averaged'!$C:$C,"Natural"
  )
)</f>
        <v>1632.020833</v>
      </c>
      <c r="H66" s="5">
        <f>AVERAGE(
  AVERAGEIFS(
    'Data averaged'!$N:$N,
    'Data averaged'!$D:$D,$A66,
    'Data averaged'!$A:$A,"Battery",
    'Data averaged'!$B:$B,"shared",
    'Data averaged'!$C:$C,"Natural"
  ),
  AVERAGEIFS(
    'Data averaged'!$N:$N,
    'Data averaged'!$D:$D,$A66,
    'Data averaged'!$A:$A,"Battery + Shelf",
    'Data averaged'!$B:$B,"shared",
    'Data averaged'!$C:$C,"Natural"
  )
)</f>
        <v>6.208333333</v>
      </c>
      <c r="I66" s="5">
        <f t="shared" ref="I66:I71" si="8"> (H66/G66)*1000</f>
        <v>3.804077256</v>
      </c>
    </row>
    <row r="67">
      <c r="A67" s="3" t="s">
        <v>54</v>
      </c>
      <c r="B67" s="5">
        <f>COUNTIFS(
  'Data averaged'!$D:$D,$A67,
  'Data averaged'!$A:$A,"Battery",
  'Data averaged'!$B:$B,"Centralized",
  'Data averaged'!$C:$C,"Natural"
)
+
COUNTIFS(
  'Data averaged'!$D:$D,$A67,
  'Data averaged'!$A:$A,"Battery + Shelf",
  'Data averaged'!$B:$B,"Centralized",
  'Data averaged'!$C:$C,"Natural"
)</f>
        <v>12</v>
      </c>
      <c r="C67" s="5">
        <f>AVERAGE(
  AVERAGEIFS(
    'Data averaged'!$H:$H,
    'Data averaged'!$D:$D,$A67,
    'Data averaged'!$A:$A,"Battery",
    'Data averaged'!$B:$B,"Centralized",
    'Data averaged'!$C:$C,"Natural"
  ),
  AVERAGEIFS(
    'Data averaged'!$H:$H,
    'Data averaged'!$D:$D,$A67,
    'Data averaged'!$A:$A,"Battery + Shelf",
    'Data averaged'!$B:$B,"Centralized",
    'Data averaged'!$C:$C,"Natural"
  )
)</f>
        <v>1147.958333</v>
      </c>
      <c r="D67" s="5">
        <f>AVERAGE(
  AVERAGEIFS(
    'Data averaged'!$N:$N,
    'Data averaged'!$D:$D,$A67,
    'Data averaged'!$A:$A,"Battery",
    'Data averaged'!$B:$B,"Centralized",
    'Data averaged'!$C:$C,"Natural"
  ),
  AVERAGEIFS(
    'Data averaged'!$N:$N,
    'Data averaged'!$D:$D,$A67,
    'Data averaged'!$A:$A,"Battery + Shelf",
    'Data averaged'!$B:$B,"Centralized",
    'Data averaged'!$C:$C,"Natural"
  )
)</f>
        <v>10.875</v>
      </c>
      <c r="E67" s="5">
        <f t="shared" si="7"/>
        <v>9.473340351</v>
      </c>
      <c r="F67" s="5">
        <f>COUNTIFS(
  'Data averaged'!$D:$D,$A67,
  'Data averaged'!$A:$A,"Battery",
  'Data averaged'!$B:$B,"shared",
  'Data averaged'!$C:$C,"Natural"
)
+
COUNTIFS(
  'Data averaged'!$D:$D,$A67,
  'Data averaged'!$A:$A,"Battery + Shelf",
  'Data averaged'!$B:$B,"shared",
  'Data averaged'!$C:$C,"Natural"
)</f>
        <v>12</v>
      </c>
      <c r="G67" s="5">
        <f>AVERAGE(
  AVERAGEIFS(
    'Data averaged'!$H:$H,
    'Data averaged'!$D:$D,$A67,
    'Data averaged'!$A:$A,"Battery",
    'Data averaged'!$B:$B,"shared",
    'Data averaged'!$C:$C,"Natural"
  ),
  AVERAGEIFS(
    'Data averaged'!$H:$H,
    'Data averaged'!$D:$D,$A67,
    'Data averaged'!$A:$A,"Battery + Shelf",
    'Data averaged'!$B:$B,"shared",
    'Data averaged'!$C:$C,"Natural"
  )
)</f>
        <v>2799.479167</v>
      </c>
      <c r="H67" s="5">
        <f>AVERAGE(
  AVERAGEIFS(
    'Data averaged'!$N:$N,
    'Data averaged'!$D:$D,$A67,
    'Data averaged'!$A:$A,"Battery",
    'Data averaged'!$B:$B,"shared",
    'Data averaged'!$C:$C,"Natural"
  ),
  AVERAGEIFS(
    'Data averaged'!$N:$N,
    'Data averaged'!$D:$D,$A67,
    'Data averaged'!$A:$A,"Battery + Shelf",
    'Data averaged'!$B:$B,"shared",
    'Data averaged'!$C:$C,"Natural"
  )
)</f>
        <v>15.0625</v>
      </c>
      <c r="I67" s="5">
        <f t="shared" si="8"/>
        <v>5.380465116</v>
      </c>
    </row>
    <row r="68">
      <c r="A68" s="3" t="s">
        <v>72</v>
      </c>
      <c r="B68" s="5">
        <f>COUNTIFS(
  'Data averaged'!$D:$D,$A68,
  'Data averaged'!$A:$A,"Battery",
  'Data averaged'!$B:$B,"Centralized",
  'Data averaged'!$C:$C,"Natural"
)
+
COUNTIFS(
  'Data averaged'!$D:$D,$A68,
  'Data averaged'!$A:$A,"Battery + Shelf",
  'Data averaged'!$B:$B,"Centralized",
  'Data averaged'!$C:$C,"Natural"
)</f>
        <v>12</v>
      </c>
      <c r="C68" s="5">
        <f>AVERAGE(
  AVERAGEIFS(
    'Data averaged'!$H:$H,
    'Data averaged'!$D:$D,$A68,
    'Data averaged'!$A:$A,"Battery",
    'Data averaged'!$B:$B,"Centralized",
    'Data averaged'!$C:$C,"Natural"
  ),
  AVERAGEIFS(
    'Data averaged'!$H:$H,
    'Data averaged'!$D:$D,$A68,
    'Data averaged'!$A:$A,"Battery + Shelf",
    'Data averaged'!$B:$B,"Centralized",
    'Data averaged'!$C:$C,"Natural"
  )
)</f>
        <v>1064.166667</v>
      </c>
      <c r="D68" s="5">
        <f>AVERAGE(
  AVERAGEIFS(
    'Data averaged'!$N:$N,
    'Data averaged'!$D:$D,$A68,
    'Data averaged'!$A:$A,"Battery",
    'Data averaged'!$B:$B,"Centralized",
    'Data averaged'!$C:$C,"Natural"
  ),
  AVERAGEIFS(
    'Data averaged'!$N:$N,
    'Data averaged'!$D:$D,$A68,
    'Data averaged'!$A:$A,"Battery + Shelf",
    'Data averaged'!$B:$B,"Centralized",
    'Data averaged'!$C:$C,"Natural"
  )
)</f>
        <v>7.666666667</v>
      </c>
      <c r="E68" s="5">
        <f t="shared" si="7"/>
        <v>7.204385278</v>
      </c>
      <c r="F68" s="5">
        <f>COUNTIFS(
  'Data averaged'!$D:$D,$A68,
  'Data averaged'!$A:$A,"Battery",
  'Data averaged'!$B:$B,"shared",
  'Data averaged'!$C:$C,"Natural"
)
+
COUNTIFS(
  'Data averaged'!$D:$D,$A68,
  'Data averaged'!$A:$A,"Battery + Shelf",
  'Data averaged'!$B:$B,"shared",
  'Data averaged'!$C:$C,"Natural"
)</f>
        <v>12</v>
      </c>
      <c r="G68" s="5">
        <f>AVERAGE(
  AVERAGEIFS(
    'Data averaged'!$H:$H,
    'Data averaged'!$D:$D,$A68,
    'Data averaged'!$A:$A,"Battery",
    'Data averaged'!$B:$B,"shared",
    'Data averaged'!$C:$C,"Natural"
  ),
  AVERAGEIFS(
    'Data averaged'!$H:$H,
    'Data averaged'!$D:$D,$A68,
    'Data averaged'!$A:$A,"Battery + Shelf",
    'Data averaged'!$B:$B,"shared",
    'Data averaged'!$C:$C,"Natural"
  )
)</f>
        <v>2281.138889</v>
      </c>
      <c r="H68" s="5">
        <f>AVERAGE(
  AVERAGEIFS(
    'Data averaged'!$N:$N,
    'Data averaged'!$D:$D,$A68,
    'Data averaged'!$A:$A,"Battery",
    'Data averaged'!$B:$B,"shared",
    'Data averaged'!$C:$C,"Natural"
  ),
  AVERAGEIFS(
    'Data averaged'!$N:$N,
    'Data averaged'!$D:$D,$A68,
    'Data averaged'!$A:$A,"Battery + Shelf",
    'Data averaged'!$B:$B,"shared",
    'Data averaged'!$C:$C,"Natural"
  )
)</f>
        <v>9.965277778</v>
      </c>
      <c r="I68" s="5">
        <f t="shared" si="8"/>
        <v>4.36855372</v>
      </c>
    </row>
    <row r="69">
      <c r="A69" s="3" t="s">
        <v>64</v>
      </c>
      <c r="B69" s="5">
        <f>COUNTIFS(
  'Data averaged'!$D:$D,$A69,
  'Data averaged'!$A:$A,"Battery",
  'Data averaged'!$B:$B,"Centralized",
  'Data averaged'!$C:$C,"Natural"
)
+
COUNTIFS(
  'Data averaged'!$D:$D,$A69,
  'Data averaged'!$A:$A,"Battery + Shelf",
  'Data averaged'!$B:$B,"Centralized",
  'Data averaged'!$C:$C,"Natural"
)</f>
        <v>12</v>
      </c>
      <c r="C69" s="5">
        <f>AVERAGE(
  AVERAGEIFS(
    'Data averaged'!$H:$H,
    'Data averaged'!$D:$D,$A69,
    'Data averaged'!$A:$A,"Battery",
    'Data averaged'!$B:$B,"Centralized",
    'Data averaged'!$C:$C,"Natural"
  ),
  AVERAGEIFS(
    'Data averaged'!$H:$H,
    'Data averaged'!$D:$D,$A69,
    'Data averaged'!$A:$A,"Battery + Shelf",
    'Data averaged'!$B:$B,"Centralized",
    'Data averaged'!$C:$C,"Natural"
  )
)</f>
        <v>626.7083333</v>
      </c>
      <c r="D69" s="5">
        <f>AVERAGE(
  AVERAGEIFS(
    'Data averaged'!$N:$N,
    'Data averaged'!$D:$D,$A69,
    'Data averaged'!$A:$A,"Battery",
    'Data averaged'!$B:$B,"Centralized",
    'Data averaged'!$C:$C,"Natural"
  ),
  AVERAGEIFS(
    'Data averaged'!$N:$N,
    'Data averaged'!$D:$D,$A69,
    'Data averaged'!$A:$A,"Battery + Shelf",
    'Data averaged'!$B:$B,"Centralized",
    'Data averaged'!$C:$C,"Natural"
  )
)</f>
        <v>5</v>
      </c>
      <c r="E69" s="5">
        <f t="shared" si="7"/>
        <v>7.978192939</v>
      </c>
      <c r="F69" s="5">
        <f>COUNTIFS(
  'Data averaged'!$D:$D,$A69,
  'Data averaged'!$A:$A,"Battery",
  'Data averaged'!$B:$B,"shared",
  'Data averaged'!$C:$C,"Natural"
)
+
COUNTIFS(
  'Data averaged'!$D:$D,$A69,
  'Data averaged'!$A:$A,"Battery + Shelf",
  'Data averaged'!$B:$B,"shared",
  'Data averaged'!$C:$C,"Natural"
)</f>
        <v>12</v>
      </c>
      <c r="G69" s="5">
        <f>AVERAGE(
  AVERAGEIFS(
    'Data averaged'!$H:$H,
    'Data averaged'!$D:$D,$A69,
    'Data averaged'!$A:$A,"Battery",
    'Data averaged'!$B:$B,"shared",
    'Data averaged'!$C:$C,"Natural"
  ),
  AVERAGEIFS(
    'Data averaged'!$H:$H,
    'Data averaged'!$D:$D,$A69,
    'Data averaged'!$A:$A,"Battery + Shelf",
    'Data averaged'!$B:$B,"shared",
    'Data averaged'!$C:$C,"Natural"
  )
)</f>
        <v>1265.569444</v>
      </c>
      <c r="H69" s="5">
        <f>AVERAGE(
  AVERAGEIFS(
    'Data averaged'!$N:$N,
    'Data averaged'!$D:$D,$A69,
    'Data averaged'!$A:$A,"Battery",
    'Data averaged'!$B:$B,"shared",
    'Data averaged'!$C:$C,"Natural"
  ),
  AVERAGEIFS(
    'Data averaged'!$N:$N,
    'Data averaged'!$D:$D,$A69,
    'Data averaged'!$A:$A,"Battery + Shelf",
    'Data averaged'!$B:$B,"shared",
    'Data averaged'!$C:$C,"Natural"
  )
)</f>
        <v>6.569444444</v>
      </c>
      <c r="I69" s="5">
        <f t="shared" si="8"/>
        <v>5.190900012</v>
      </c>
    </row>
    <row r="70">
      <c r="A70" s="3" t="s">
        <v>102</v>
      </c>
      <c r="B70" s="5">
        <f>COUNTIFS(
  'Data averaged'!$D:$D,$A70,
  'Data averaged'!$A:$A,"Battery",
  'Data averaged'!$B:$B,"Centralized",
  'Data averaged'!$C:$C,"Natural"
)
+
COUNTIFS(
  'Data averaged'!$D:$D,$A70,
  'Data averaged'!$A:$A,"Battery + Shelf",
  'Data averaged'!$B:$B,"Centralized",
  'Data averaged'!$C:$C,"Natural"
)</f>
        <v>12</v>
      </c>
      <c r="C70" s="5">
        <f>AVERAGE(
  AVERAGEIFS(
    'Data averaged'!$H:$H,
    'Data averaged'!$D:$D,$A70,
    'Data averaged'!$A:$A,"Battery",
    'Data averaged'!$B:$B,"Centralized",
    'Data averaged'!$C:$C,"Natural"
  ),
  AVERAGEIFS(
    'Data averaged'!$H:$H,
    'Data averaged'!$D:$D,$A70,
    'Data averaged'!$A:$A,"Battery + Shelf",
    'Data averaged'!$B:$B,"Centralized",
    'Data averaged'!$C:$C,"Natural"
  )
)</f>
        <v>727.9166667</v>
      </c>
      <c r="D70" s="5">
        <f>AVERAGE(
  AVERAGEIFS(
    'Data averaged'!$N:$N,
    'Data averaged'!$D:$D,$A70,
    'Data averaged'!$A:$A,"Battery",
    'Data averaged'!$B:$B,"Centralized",
    'Data averaged'!$C:$C,"Natural"
  ),
  AVERAGEIFS(
    'Data averaged'!$N:$N,
    'Data averaged'!$D:$D,$A70,
    'Data averaged'!$A:$A,"Battery + Shelf",
    'Data averaged'!$B:$B,"Centralized",
    'Data averaged'!$C:$C,"Natural"
  )
)</f>
        <v>4.5</v>
      </c>
      <c r="E70" s="5">
        <f t="shared" si="7"/>
        <v>6.182026331</v>
      </c>
      <c r="F70" s="5">
        <f>COUNTIFS(
  'Data averaged'!$D:$D,$A70,
  'Data averaged'!$A:$A,"Battery",
  'Data averaged'!$B:$B,"shared",
  'Data averaged'!$C:$C,"Natural"
)
+
COUNTIFS(
  'Data averaged'!$D:$D,$A70,
  'Data averaged'!$A:$A,"Battery + Shelf",
  'Data averaged'!$B:$B,"shared",
  'Data averaged'!$C:$C,"Natural"
)</f>
        <v>12</v>
      </c>
      <c r="G70" s="5">
        <f>AVERAGE(
  AVERAGEIFS(
    'Data averaged'!$H:$H,
    'Data averaged'!$D:$D,$A70,
    'Data averaged'!$A:$A,"Battery",
    'Data averaged'!$B:$B,"shared",
    'Data averaged'!$C:$C,"Natural"
  ),
  AVERAGEIFS(
    'Data averaged'!$H:$H,
    'Data averaged'!$D:$D,$A70,
    'Data averaged'!$A:$A,"Battery + Shelf",
    'Data averaged'!$B:$B,"shared",
    'Data averaged'!$C:$C,"Natural"
  )
)</f>
        <v>883.8333333</v>
      </c>
      <c r="H70" s="5">
        <f>AVERAGE(
  AVERAGEIFS(
    'Data averaged'!$N:$N,
    'Data averaged'!$D:$D,$A70,
    'Data averaged'!$A:$A,"Battery",
    'Data averaged'!$B:$B,"shared",
    'Data averaged'!$C:$C,"Natural"
  ),
  AVERAGEIFS(
    'Data averaged'!$N:$N,
    'Data averaged'!$D:$D,$A70,
    'Data averaged'!$A:$A,"Battery + Shelf",
    'Data averaged'!$B:$B,"shared",
    'Data averaged'!$C:$C,"Natural"
  )
)</f>
        <v>5</v>
      </c>
      <c r="I70" s="5">
        <f t="shared" si="8"/>
        <v>5.657175184</v>
      </c>
    </row>
    <row r="71">
      <c r="A71" s="3" t="s">
        <v>118</v>
      </c>
      <c r="B71" s="5">
        <f>COUNTIFS(
  'Data averaged'!$D:$D,$A71,
  'Data averaged'!$A:$A,"Battery",
  'Data averaged'!$B:$B,"Centralized",
  'Data averaged'!$C:$C,"Natural"
)
+
COUNTIFS(
  'Data averaged'!$D:$D,$A71,
  'Data averaged'!$A:$A,"Battery + Shelf",
  'Data averaged'!$B:$B,"Centralized",
  'Data averaged'!$C:$C,"Natural"
)</f>
        <v>12</v>
      </c>
      <c r="C71" s="5">
        <f>AVERAGE(
  AVERAGEIFS(
    'Data averaged'!$H:$H,
    'Data averaged'!$D:$D,$A71,
    'Data averaged'!$A:$A,"Battery",
    'Data averaged'!$B:$B,"Centralized",
    'Data averaged'!$C:$C,"Natural"
  ),
  AVERAGEIFS(
    'Data averaged'!$H:$H,
    'Data averaged'!$D:$D,$A71,
    'Data averaged'!$A:$A,"Battery + Shelf",
    'Data averaged'!$B:$B,"Centralized",
    'Data averaged'!$C:$C,"Natural"
  )
)</f>
        <v>901.4166667</v>
      </c>
      <c r="D71" s="5">
        <f>AVERAGE(
  AVERAGEIFS(
    'Data averaged'!$N:$N,
    'Data averaged'!$D:$D,$A71,
    'Data averaged'!$A:$A,"Battery",
    'Data averaged'!$B:$B,"Centralized",
    'Data averaged'!$C:$C,"Natural"
  ),
  AVERAGEIFS(
    'Data averaged'!$N:$N,
    'Data averaged'!$D:$D,$A71,
    'Data averaged'!$A:$A,"Battery + Shelf",
    'Data averaged'!$B:$B,"Centralized",
    'Data averaged'!$C:$C,"Natural"
  )
)</f>
        <v>7</v>
      </c>
      <c r="E71" s="5">
        <f t="shared" si="7"/>
        <v>7.76555422</v>
      </c>
      <c r="F71" s="5">
        <f>COUNTIFS(
  'Data averaged'!$D:$D,$A71,
  'Data averaged'!$A:$A,"Battery",
  'Data averaged'!$B:$B,"shared",
  'Data averaged'!$C:$C,"Natural"
)
+
COUNTIFS(
  'Data averaged'!$D:$D,$A71,
  'Data averaged'!$A:$A,"Battery + Shelf",
  'Data averaged'!$B:$B,"shared",
  'Data averaged'!$C:$C,"Natural"
)</f>
        <v>12</v>
      </c>
      <c r="G71" s="5">
        <f>AVERAGE(
  AVERAGEIFS(
    'Data averaged'!$H:$H,
    'Data averaged'!$D:$D,$A71,
    'Data averaged'!$A:$A,"Battery",
    'Data averaged'!$B:$B,"shared",
    'Data averaged'!$C:$C,"Natural"
  ),
  AVERAGEIFS(
    'Data averaged'!$H:$H,
    'Data averaged'!$D:$D,$A71,
    'Data averaged'!$A:$A,"Battery + Shelf",
    'Data averaged'!$B:$B,"shared",
    'Data averaged'!$C:$C,"Natural"
  )
)</f>
        <v>1263.916667</v>
      </c>
      <c r="H71" s="5">
        <f>AVERAGE(
  AVERAGEIFS(
    'Data averaged'!$N:$N,
    'Data averaged'!$D:$D,$A71,
    'Data averaged'!$A:$A,"Battery",
    'Data averaged'!$B:$B,"shared",
    'Data averaged'!$C:$C,"Natural"
  ),
  AVERAGEIFS(
    'Data averaged'!$N:$N,
    'Data averaged'!$D:$D,$A71,
    'Data averaged'!$A:$A,"Battery + Shelf",
    'Data averaged'!$B:$B,"shared",
    'Data averaged'!$C:$C,"Natural"
  )
)</f>
        <v>5.666666667</v>
      </c>
      <c r="I71" s="5">
        <f t="shared" si="8"/>
        <v>4.483417947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75"/>
    <col customWidth="1" min="4" max="4" width="25.88"/>
    <col customWidth="1" min="5" max="5" width="23.75"/>
    <col customWidth="1" min="6" max="6" width="26.13"/>
    <col customWidth="1" min="7" max="7" width="22.88"/>
    <col customWidth="1" min="8" max="8" width="33.75"/>
  </cols>
  <sheetData>
    <row r="2">
      <c r="B2" s="3" t="s">
        <v>348</v>
      </c>
    </row>
    <row r="3">
      <c r="B3" s="6" t="s">
        <v>155</v>
      </c>
      <c r="C3" s="6" t="s">
        <v>156</v>
      </c>
      <c r="D3" s="6" t="s">
        <v>157</v>
      </c>
      <c r="E3" s="1" t="s">
        <v>550</v>
      </c>
      <c r="F3" s="3" t="s">
        <v>551</v>
      </c>
    </row>
    <row r="4">
      <c r="A4" s="3" t="s">
        <v>33</v>
      </c>
      <c r="B4" s="5">
        <f>COUNTIFS('Data Combined - all-runs'!$A:$A, A4, 'Data Combined - all-runs'!$C:$C, "Natural",'Data Combined - all-runs'!$B:$B, "Shared")</f>
        <v>48</v>
      </c>
      <c r="C4" s="5">
        <f>AVERAGEIFS('Data Combined - all-runs'!$H:$H, 'Data Combined - all-runs'!$A:$A, A4, 'Data Combined - all-runs'!$C:$C, "Natural",'Data Combined - all-runs'!$B:$B, "Shared")</f>
        <v>1686.270833</v>
      </c>
      <c r="D4" s="5">
        <f>AVERAGEIFS('Data Combined - all-runs'!$N:$N,'Data Combined - all-runs'!$A:$A, A4, 'Data Combined - all-runs'!$C:$C, "Natural",'Data Combined - all-runs'!$B:$B, "Shared")</f>
        <v>8.208333333</v>
      </c>
      <c r="E4" s="5">
        <f t="shared" ref="E4:E6" si="1"> (D4/C4)*1000</f>
        <v>4.867743171</v>
      </c>
      <c r="F4" s="3" t="s">
        <v>561</v>
      </c>
    </row>
    <row r="5">
      <c r="A5" s="3" t="s">
        <v>460</v>
      </c>
      <c r="B5" s="5">
        <f>COUNTIFS('Data Combined - all-runs'!$A:$A, A5, 'Data Combined - all-runs'!$C:$C, "Natural",'Data Combined - all-runs'!$B:$B, "Shared")</f>
        <v>42</v>
      </c>
      <c r="C5" s="5">
        <f>AVERAGEIFS('Data Combined - all-runs'!$H:$H, 'Data Combined - all-runs'!$A:$A, A5, 'Data Combined - all-runs'!$C:$C, "Natural",'Data Combined - all-runs'!$B:$B, "Shared")</f>
        <v>1642.119048</v>
      </c>
      <c r="D5" s="5">
        <f>AVERAGEIFS('Data Combined - all-runs'!$N:$N,'Data Combined - all-runs'!$A:$A, A5, 'Data Combined - all-runs'!$C:$C, "Natural",'Data Combined - all-runs'!$B:$B, "Shared")</f>
        <v>8.380952381</v>
      </c>
      <c r="E5" s="5">
        <f t="shared" si="1"/>
        <v>5.103742261</v>
      </c>
    </row>
    <row r="6">
      <c r="A6" s="3" t="s">
        <v>32</v>
      </c>
      <c r="B6" s="5">
        <f>COUNTIFS('Data Combined - all-runs'!$A:$A, A6, 'Data Combined - all-runs'!$C:$C, "Natural",'Data Combined - all-runs'!$B:$B, "Shared")</f>
        <v>90</v>
      </c>
      <c r="C6" s="5">
        <f>AVERAGEIFS('Data Combined - all-runs'!$H:$H, 'Data Combined - all-runs'!$A:$A, A6, 'Data Combined - all-runs'!$C:$C, "Natural",'Data Combined - all-runs'!$B:$B, "Shared")</f>
        <v>1979.233333</v>
      </c>
      <c r="D6" s="5">
        <f>AVERAGEIFS('Data Combined - all-runs'!$N:$N,'Data Combined - all-runs'!$A:$A, A6, 'Data Combined - all-runs'!$C:$C, "Natural",'Data Combined - all-runs'!$B:$B, "Shared")</f>
        <v>9.088888889</v>
      </c>
      <c r="E6" s="5">
        <f t="shared" si="1"/>
        <v>4.59212602</v>
      </c>
      <c r="F6" s="3" t="s">
        <v>568</v>
      </c>
    </row>
    <row r="8">
      <c r="A8" s="3" t="s">
        <v>21</v>
      </c>
      <c r="B8" s="5">
        <f>COUNTIFS('Data Combined - all-runs'!$A:$A, A8, 'Data Combined - all-runs'!$C:$C, "Natural",'Data Combined - all-runs'!$B:$B, "Shared")</f>
        <v>0</v>
      </c>
      <c r="C8" s="5" t="str">
        <f>AVERAGEIFS('Data Combined - all-runs'!$H:$H, 'Data Combined - all-runs'!$A:$A, A8, 'Data Combined - all-runs'!$C:$C, "Natural",'Data Combined - all-runs'!$B:$B, "Shared")</f>
        <v>#DIV/0!</v>
      </c>
      <c r="D8" s="5" t="str">
        <f>AVERAGEIFS('Data Combined - all-runs'!$N:$N,'Data Combined - all-runs'!$A:$A, A8, 'Data Combined - all-runs'!$C:$C, "Natural",'Data Combined - all-runs'!$B:$B, "Shared")</f>
        <v>#DIV/0!</v>
      </c>
      <c r="E8" s="5" t="str">
        <f> (D8/C8)*1000</f>
        <v>#DIV/0!</v>
      </c>
    </row>
    <row r="10">
      <c r="A10" s="3" t="s">
        <v>24</v>
      </c>
    </row>
    <row r="11">
      <c r="C11" s="6" t="s">
        <v>155</v>
      </c>
      <c r="D11" s="6" t="s">
        <v>156</v>
      </c>
      <c r="E11" s="6" t="s">
        <v>157</v>
      </c>
      <c r="F11" s="1" t="s">
        <v>550</v>
      </c>
    </row>
    <row r="12">
      <c r="B12" s="3" t="s">
        <v>33</v>
      </c>
      <c r="C12" s="5">
        <f>COUNTIFS('Data Combined - all-runs'!$A:$A, B12, 'Data Combined - all-runs'!$C:$C, "Natural",'Data Combined - all-runs'!$B:$B, "Shared", 'Data Combined - all-runs'!$D:$D, $A$10)</f>
        <v>12</v>
      </c>
      <c r="D12" s="5">
        <f>AVERAGEIFS('Data Combined - all-runs'!$H:$H, 'Data Combined - all-runs'!$A:$A, B12, 'Data Combined - all-runs'!$C:$C, "Natural",'Data Combined - all-runs'!$B:$B, "Shared", 'Data Combined - all-runs'!$D:$D, $A$10)</f>
        <v>1659.5</v>
      </c>
      <c r="E12" s="5">
        <f>AVERAGEIFS('Data Combined - all-runs'!$N:$N,'Data Combined - all-runs'!$A:$A, B12, 'Data Combined - all-runs'!$C:$C, "Natural",'Data Combined - all-runs'!$B:$B, "Shared", 'Data Combined - all-runs'!$D:$D, $A$10)</f>
        <v>5.5</v>
      </c>
      <c r="F12" s="5">
        <f t="shared" ref="F12:F14" si="2"> (E12/D12)*1000</f>
        <v>3.314251281</v>
      </c>
    </row>
    <row r="13">
      <c r="B13" s="3" t="s">
        <v>460</v>
      </c>
      <c r="C13" s="5">
        <f>COUNTIFS('Data Combined - all-runs'!$A:$A, B13, 'Data Combined - all-runs'!$C:$C, "Natural",'Data Combined - all-runs'!$B:$B, "Shared", 'Data Combined - all-runs'!$D:$D, $A$10)</f>
        <v>6</v>
      </c>
      <c r="D13" s="5">
        <f>AVERAGEIFS('Data Combined - all-runs'!$H:$H, 'Data Combined - all-runs'!$A:$A, B13, 'Data Combined - all-runs'!$C:$C, "Natural",'Data Combined - all-runs'!$B:$B, "Shared", 'Data Combined - all-runs'!$D:$D, $A$10)</f>
        <v>1403.666667</v>
      </c>
      <c r="E13" s="5">
        <f>AVERAGEIFS('Data Combined - all-runs'!$N:$N,'Data Combined - all-runs'!$A:$A, B13, 'Data Combined - all-runs'!$C:$C, "Natural",'Data Combined - all-runs'!$B:$B, "Shared", 'Data Combined - all-runs'!$D:$D, $A$10)</f>
        <v>5</v>
      </c>
      <c r="F13" s="5">
        <f t="shared" si="2"/>
        <v>3.562099264</v>
      </c>
    </row>
    <row r="14">
      <c r="B14" s="3" t="s">
        <v>32</v>
      </c>
      <c r="C14" s="5">
        <f>COUNTIFS('Data Combined - all-runs'!$A:$A, B14, 'Data Combined - all-runs'!$C:$C, "Natural",'Data Combined - all-runs'!$B:$B, "Shared", 'Data Combined - all-runs'!$D:$D, $A$10)</f>
        <v>24</v>
      </c>
      <c r="D14" s="5">
        <f>AVERAGEIFS('Data Combined - all-runs'!$H:$H, 'Data Combined - all-runs'!$A:$A, B14, 'Data Combined - all-runs'!$C:$C, "Natural",'Data Combined - all-runs'!$B:$B, "Shared", 'Data Combined - all-runs'!$D:$D, $A$10)</f>
        <v>1860.375</v>
      </c>
      <c r="E14" s="5">
        <f>AVERAGEIFS('Data Combined - all-runs'!$N:$N,'Data Combined - all-runs'!$A:$A, B14, 'Data Combined - all-runs'!$C:$C, "Natural",'Data Combined - all-runs'!$B:$B, "Shared", 'Data Combined - all-runs'!$D:$D, $A$10)</f>
        <v>7.416666667</v>
      </c>
      <c r="F14" s="5">
        <f t="shared" si="2"/>
        <v>3.986651437</v>
      </c>
    </row>
    <row r="16">
      <c r="B16" s="3" t="s">
        <v>21</v>
      </c>
      <c r="C16" s="5">
        <f>COUNTIFS('Data Combined - all-runs'!$A:$A, B16, 'Data Combined - all-runs'!$C:$C, "Natural",'Data Combined - all-runs'!$B:$B, "Shared", 'Data Combined - all-runs'!$D:$D, $A$10)</f>
        <v>0</v>
      </c>
      <c r="D16" s="5" t="str">
        <f>AVERAGEIFS('Data Combined - all-runs'!$H:$H, 'Data Combined - all-runs'!$A:$A, B16, 'Data Combined - all-runs'!$C:$C, "Natural",'Data Combined - all-runs'!$B:$B, "Shared", 'Data Combined - all-runs'!$D:$D, $A$10)</f>
        <v>#DIV/0!</v>
      </c>
      <c r="E16" s="5" t="str">
        <f>AVERAGEIFS('Data Combined - all-runs'!$N:$N,'Data Combined - all-runs'!$A:$A, B16, 'Data Combined - all-runs'!$C:$C, "Natural",'Data Combined - all-runs'!$B:$B, "Shared", 'Data Combined - all-runs'!$D:$D, $A$10)</f>
        <v>#DIV/0!</v>
      </c>
      <c r="F16" s="5" t="str">
        <f> (E16/D16)*1000</f>
        <v>#DIV/0!</v>
      </c>
    </row>
    <row r="18">
      <c r="A18" s="3" t="s">
        <v>54</v>
      </c>
    </row>
    <row r="19">
      <c r="C19" s="6" t="s">
        <v>155</v>
      </c>
      <c r="D19" s="6" t="s">
        <v>156</v>
      </c>
      <c r="E19" s="6" t="s">
        <v>157</v>
      </c>
      <c r="F19" s="1" t="s">
        <v>550</v>
      </c>
    </row>
    <row r="20">
      <c r="B20" s="3" t="s">
        <v>33</v>
      </c>
      <c r="C20" s="5">
        <f>COUNTIFS('Data Combined - all-runs'!$A:$A, B20, 'Data Combined - all-runs'!$C:$C, "Natural",'Data Combined - all-runs'!$B:$B, "Shared", 'Data Combined - all-runs'!$D:$D, $A$18)</f>
        <v>6</v>
      </c>
      <c r="D20" s="5">
        <f>AVERAGEIFS('Data Combined - all-runs'!$H:$H, 'Data Combined - all-runs'!$A:$A, B20, 'Data Combined - all-runs'!$C:$C, "Natural",'Data Combined - all-runs'!$B:$B, "Shared", 'Data Combined - all-runs'!$D:$D, $A$18)</f>
        <v>2039.833333</v>
      </c>
      <c r="E20" s="5">
        <f>AVERAGEIFS('Data Combined - all-runs'!$N:$N,'Data Combined - all-runs'!$A:$A, B20, 'Data Combined - all-runs'!$C:$C, "Natural",'Data Combined - all-runs'!$B:$B, "Shared", 'Data Combined - all-runs'!$D:$D, $A$18)</f>
        <v>12.16666667</v>
      </c>
      <c r="F20" s="5">
        <f t="shared" ref="F20:F22" si="3"> (E20/D20)*1000</f>
        <v>5.964539587</v>
      </c>
    </row>
    <row r="21">
      <c r="B21" s="3" t="s">
        <v>460</v>
      </c>
      <c r="C21" s="5">
        <f>COUNTIFS('Data Combined - all-runs'!$A:$A, B21, 'Data Combined - all-runs'!$C:$C, "Natural",'Data Combined - all-runs'!$B:$B, "Shared", 'Data Combined - all-runs'!$D:$D, $A$18)</f>
        <v>6</v>
      </c>
      <c r="D21" s="5">
        <f>AVERAGEIFS('Data Combined - all-runs'!$H:$H, 'Data Combined - all-runs'!$A:$A, B21, 'Data Combined - all-runs'!$C:$C, "Natural",'Data Combined - all-runs'!$B:$B, "Shared", 'Data Combined - all-runs'!$D:$D, $A$18)</f>
        <v>3054.333333</v>
      </c>
      <c r="E21" s="5">
        <f>AVERAGEIFS('Data Combined - all-runs'!$N:$N,'Data Combined - all-runs'!$A:$A, B21, 'Data Combined - all-runs'!$C:$C, "Natural",'Data Combined - all-runs'!$B:$B, "Shared", 'Data Combined - all-runs'!$D:$D, $A$18)</f>
        <v>16.33333333</v>
      </c>
      <c r="F21" s="5">
        <f t="shared" si="3"/>
        <v>5.347593583</v>
      </c>
    </row>
    <row r="22">
      <c r="B22" s="3" t="s">
        <v>32</v>
      </c>
      <c r="C22" s="5">
        <f>COUNTIFS('Data Combined - all-runs'!$A:$A, B22, 'Data Combined - all-runs'!$C:$C, "Natural",'Data Combined - all-runs'!$B:$B, "Shared", 'Data Combined - all-runs'!$D:$D, $A$18)</f>
        <v>24</v>
      </c>
      <c r="D22" s="5">
        <f>AVERAGEIFS('Data Combined - all-runs'!$H:$H, 'Data Combined - all-runs'!$A:$A, B22, 'Data Combined - all-runs'!$C:$C, "Natural",'Data Combined - all-runs'!$B:$B, "Shared", 'Data Combined - all-runs'!$D:$D, $A$18)</f>
        <v>2544.625</v>
      </c>
      <c r="E22" s="5">
        <f>AVERAGEIFS('Data Combined - all-runs'!$N:$N,'Data Combined - all-runs'!$A:$A, B22, 'Data Combined - all-runs'!$C:$C, "Natural",'Data Combined - all-runs'!$B:$B, "Shared", 'Data Combined - all-runs'!$D:$D, $A$18)</f>
        <v>13.79166667</v>
      </c>
      <c r="F22" s="5">
        <f t="shared" si="3"/>
        <v>5.419921075</v>
      </c>
    </row>
    <row r="24">
      <c r="B24" s="3" t="s">
        <v>21</v>
      </c>
      <c r="C24" s="5">
        <f>COUNTIFS('Data Combined - all-runs'!$A:$A, B24, 'Data Combined - all-runs'!$C:$C, "Natural",'Data Combined - all-runs'!$B:$B, "Shared", 'Data Combined - all-runs'!$D:$D, $A$18)</f>
        <v>0</v>
      </c>
      <c r="D24" s="5" t="str">
        <f>AVERAGEIFS('Data Combined - all-runs'!$H:$H, 'Data Combined - all-runs'!$A:$A, B24, 'Data Combined - all-runs'!$C:$C, "Natural",'Data Combined - all-runs'!$B:$B, "Shared", 'Data Combined - all-runs'!$D:$D, $A$18)</f>
        <v>#DIV/0!</v>
      </c>
      <c r="E24" s="5" t="str">
        <f>AVERAGEIFS('Data Combined - all-runs'!$N:$N,'Data Combined - all-runs'!$A:$A, B24, 'Data Combined - all-runs'!$C:$C, "Natural",'Data Combined - all-runs'!$B:$B, "Shared", 'Data Combined - all-runs'!$D:$D, $A$18)</f>
        <v>#DIV/0!</v>
      </c>
      <c r="F24" s="5" t="str">
        <f> (E24/D24)*1000</f>
        <v>#DIV/0!</v>
      </c>
    </row>
    <row r="26">
      <c r="A26" s="3" t="s">
        <v>72</v>
      </c>
    </row>
    <row r="27">
      <c r="C27" s="6" t="s">
        <v>155</v>
      </c>
      <c r="D27" s="6" t="s">
        <v>156</v>
      </c>
      <c r="E27" s="6" t="s">
        <v>157</v>
      </c>
      <c r="F27" s="1" t="s">
        <v>550</v>
      </c>
    </row>
    <row r="28">
      <c r="B28" s="3" t="s">
        <v>33</v>
      </c>
      <c r="C28" s="5">
        <f>COUNTIFS('Data Combined - all-runs'!$A:$A, B28, 'Data Combined - all-runs'!$C:$C, "Natural",'Data Combined - all-runs'!$B:$B, "Shared", 'Data Combined - all-runs'!$D:$D, $A$26)</f>
        <v>6</v>
      </c>
      <c r="D28" s="5">
        <f>AVERAGEIFS('Data Combined - all-runs'!$H:$H, 'Data Combined - all-runs'!$A:$A, B28, 'Data Combined - all-runs'!$C:$C, "Natural",'Data Combined - all-runs'!$B:$B, "Shared", 'Data Combined - all-runs'!$D:$D, $A$26)</f>
        <v>2822.5</v>
      </c>
      <c r="E28" s="5">
        <f>AVERAGEIFS('Data Combined - all-runs'!$N:$N,'Data Combined - all-runs'!$A:$A, B28, 'Data Combined - all-runs'!$C:$C, "Natural",'Data Combined - all-runs'!$B:$B, "Shared", 'Data Combined - all-runs'!$D:$D, $A$26)</f>
        <v>9.833333333</v>
      </c>
      <c r="F28" s="5">
        <f t="shared" ref="F28:F30" si="4"> (E28/D28)*1000</f>
        <v>3.483909064</v>
      </c>
    </row>
    <row r="29">
      <c r="B29" s="3" t="s">
        <v>460</v>
      </c>
      <c r="C29" s="5">
        <f>COUNTIFS('Data Combined - all-runs'!$A:$A, B29, 'Data Combined - all-runs'!$C:$C, "Natural",'Data Combined - all-runs'!$B:$B, "Shared", 'Data Combined - all-runs'!$D:$D, $A$26)</f>
        <v>6</v>
      </c>
      <c r="D29" s="5">
        <f>AVERAGEIFS('Data Combined - all-runs'!$H:$H, 'Data Combined - all-runs'!$A:$A, B29, 'Data Combined - all-runs'!$C:$C, "Natural",'Data Combined - all-runs'!$B:$B, "Shared", 'Data Combined - all-runs'!$D:$D, $A$26)</f>
        <v>2072.5</v>
      </c>
      <c r="E29" s="5">
        <f>AVERAGEIFS('Data Combined - all-runs'!$N:$N,'Data Combined - all-runs'!$A:$A, B29, 'Data Combined - all-runs'!$C:$C, "Natural",'Data Combined - all-runs'!$B:$B, "Shared", 'Data Combined - all-runs'!$D:$D, $A$26)</f>
        <v>9.333333333</v>
      </c>
      <c r="F29" s="5">
        <f t="shared" si="4"/>
        <v>4.503417772</v>
      </c>
    </row>
    <row r="30">
      <c r="B30" s="3" t="s">
        <v>32</v>
      </c>
      <c r="C30" s="5">
        <f>COUNTIFS('Data Combined - all-runs'!$A:$A, B30, 'Data Combined - all-runs'!$C:$C, "Natural",'Data Combined - all-runs'!$B:$B, "Shared", 'Data Combined - all-runs'!$D:$D, $A$26)</f>
        <v>20</v>
      </c>
      <c r="D30" s="5">
        <f>AVERAGEIFS('Data Combined - all-runs'!$H:$H, 'Data Combined - all-runs'!$A:$A, B30, 'Data Combined - all-runs'!$C:$C, "Natural",'Data Combined - all-runs'!$B:$B, "Shared", 'Data Combined - all-runs'!$D:$D, $A$26)</f>
        <v>2403.8</v>
      </c>
      <c r="E30" s="5">
        <f>AVERAGEIFS('Data Combined - all-runs'!$N:$N,'Data Combined - all-runs'!$A:$A, B30, 'Data Combined - all-runs'!$C:$C, "Natural",'Data Combined - all-runs'!$B:$B, "Shared", 'Data Combined - all-runs'!$D:$D, $A$26)</f>
        <v>10.25</v>
      </c>
      <c r="F30" s="5">
        <f t="shared" si="4"/>
        <v>4.26408187</v>
      </c>
    </row>
    <row r="32">
      <c r="B32" s="3" t="s">
        <v>21</v>
      </c>
      <c r="C32" s="5">
        <f>COUNTIFS('Data Combined - all-runs'!$A:$A, B32, 'Data Combined - all-runs'!$C:$C, "Natural",'Data Combined - all-runs'!$B:$B, "Shared", 'Data Combined - all-runs'!$D:$D, $A$26)</f>
        <v>0</v>
      </c>
      <c r="D32" s="5" t="str">
        <f>AVERAGEIFS('Data Combined - all-runs'!$H:$H, 'Data Combined - all-runs'!$A:$A, B32, 'Data Combined - all-runs'!$C:$C, "Natural",'Data Combined - all-runs'!$B:$B, "Shared", 'Data Combined - all-runs'!$D:$D, $A$26)</f>
        <v>#DIV/0!</v>
      </c>
      <c r="E32" s="5" t="str">
        <f>AVERAGEIFS('Data Combined - all-runs'!$N:$N,'Data Combined - all-runs'!$A:$A, B32, 'Data Combined - all-runs'!$C:$C, "Natural",'Data Combined - all-runs'!$B:$B, "Shared", 'Data Combined - all-runs'!$D:$D, $A$26)</f>
        <v>#DIV/0!</v>
      </c>
      <c r="F32" s="5" t="str">
        <f> (E32/D32)*1000</f>
        <v>#DIV/0!</v>
      </c>
    </row>
    <row r="35">
      <c r="A35" s="3" t="s">
        <v>64</v>
      </c>
    </row>
    <row r="36">
      <c r="C36" s="6" t="s">
        <v>155</v>
      </c>
      <c r="D36" s="6" t="s">
        <v>156</v>
      </c>
      <c r="E36" s="6" t="s">
        <v>157</v>
      </c>
      <c r="F36" s="1" t="s">
        <v>550</v>
      </c>
    </row>
    <row r="37">
      <c r="B37" s="3" t="s">
        <v>33</v>
      </c>
      <c r="C37" s="5">
        <f>COUNTIFS('Data Combined - all-runs'!$A:$A, B37, 'Data Combined - all-runs'!$C:$C, "Natural",'Data Combined - all-runs'!$B:$B, "Shared", 'Data Combined - all-runs'!$D:$D, $A$35)</f>
        <v>12</v>
      </c>
      <c r="D37" s="5">
        <f>AVERAGEIFS('Data Combined - all-runs'!$H:$H, 'Data Combined - all-runs'!$A:$A, B37, 'Data Combined - all-runs'!$C:$C, "Natural",'Data Combined - all-runs'!$B:$B, "Shared", 'Data Combined - all-runs'!$D:$D, $A$35)</f>
        <v>1697.666667</v>
      </c>
      <c r="E37" s="5">
        <f>AVERAGEIFS('Data Combined - all-runs'!$N:$N,'Data Combined - all-runs'!$A:$A, B37, 'Data Combined - all-runs'!$C:$C, "Natural",'Data Combined - all-runs'!$B:$B, "Shared", 'Data Combined - all-runs'!$D:$D, $A$35)</f>
        <v>10.33333333</v>
      </c>
      <c r="F37" s="5">
        <f t="shared" ref="F37:F39" si="5"> (E37/D37)*1000</f>
        <v>6.086785784</v>
      </c>
    </row>
    <row r="38">
      <c r="B38" s="3" t="s">
        <v>460</v>
      </c>
      <c r="C38" s="5">
        <f>COUNTIFS('Data Combined - all-runs'!$A:$A, B38, 'Data Combined - all-runs'!$C:$C, "Natural",'Data Combined - all-runs'!$B:$B, "Shared", 'Data Combined - all-runs'!$D:$D, $A$35)</f>
        <v>12</v>
      </c>
      <c r="D38" s="5">
        <f>AVERAGEIFS('Data Combined - all-runs'!$H:$H, 'Data Combined - all-runs'!$A:$A, B38, 'Data Combined - all-runs'!$C:$C, "Natural",'Data Combined - all-runs'!$B:$B, "Shared", 'Data Combined - all-runs'!$D:$D, $A$35)</f>
        <v>1298.916667</v>
      </c>
      <c r="E38" s="5">
        <f>AVERAGEIFS('Data Combined - all-runs'!$N:$N,'Data Combined - all-runs'!$A:$A, B38, 'Data Combined - all-runs'!$C:$C, "Natural",'Data Combined - all-runs'!$B:$B, "Shared", 'Data Combined - all-runs'!$D:$D, $A$35)</f>
        <v>8.583333333</v>
      </c>
      <c r="F38" s="5">
        <f t="shared" si="5"/>
        <v>6.608070828</v>
      </c>
    </row>
    <row r="39">
      <c r="B39" s="3" t="s">
        <v>32</v>
      </c>
      <c r="C39" s="5">
        <f>COUNTIFS('Data Combined - all-runs'!$A:$A, B39, 'Data Combined - all-runs'!$C:$C, "Natural",'Data Combined - all-runs'!$B:$B, "Shared", 'Data Combined - all-runs'!$D:$D, $A$35)</f>
        <v>10</v>
      </c>
      <c r="D39" s="5">
        <f>AVERAGEIFS('Data Combined - all-runs'!$H:$H, 'Data Combined - all-runs'!$A:$A, B39, 'Data Combined - all-runs'!$C:$C, "Natural",'Data Combined - all-runs'!$B:$B, "Shared", 'Data Combined - all-runs'!$D:$D, $A$35)</f>
        <v>1276.1</v>
      </c>
      <c r="E39" s="5">
        <f>AVERAGEIFS('Data Combined - all-runs'!$N:$N,'Data Combined - all-runs'!$A:$A, B39, 'Data Combined - all-runs'!$C:$C, "Natural",'Data Combined - all-runs'!$B:$B, "Shared", 'Data Combined - all-runs'!$D:$D, $A$35)</f>
        <v>4.1</v>
      </c>
      <c r="F39" s="5">
        <f t="shared" si="5"/>
        <v>3.212914348</v>
      </c>
    </row>
    <row r="41">
      <c r="B41" s="3" t="s">
        <v>21</v>
      </c>
      <c r="C41" s="5">
        <f>COUNTIFS('Data Combined - all-runs'!$A:$A, B41, 'Data Combined - all-runs'!$C:$C, "Natural",'Data Combined - all-runs'!$B:$B, "Shared", 'Data Combined - all-runs'!$D:$D, $A$35)</f>
        <v>0</v>
      </c>
      <c r="D41" s="5" t="str">
        <f>AVERAGEIFS('Data Combined - all-runs'!$H:$H, 'Data Combined - all-runs'!$A:$A, B41, 'Data Combined - all-runs'!$C:$C, "Natural",'Data Combined - all-runs'!$B:$B, "Shared", 'Data Combined - all-runs'!$D:$D, $A$35)</f>
        <v>#DIV/0!</v>
      </c>
      <c r="E41" s="5" t="str">
        <f>AVERAGEIFS('Data Combined - all-runs'!$N:$N,'Data Combined - all-runs'!$A:$A, B41, 'Data Combined - all-runs'!$C:$C, "Natural",'Data Combined - all-runs'!$B:$B, "Shared", 'Data Combined - all-runs'!$D:$D, $A$35)</f>
        <v>#DIV/0!</v>
      </c>
      <c r="F41" s="5" t="str">
        <f> (E41/D41)*1000</f>
        <v>#DIV/0!</v>
      </c>
    </row>
    <row r="43">
      <c r="A43" s="3" t="s">
        <v>102</v>
      </c>
    </row>
    <row r="44">
      <c r="C44" s="6" t="s">
        <v>155</v>
      </c>
      <c r="D44" s="6" t="s">
        <v>156</v>
      </c>
      <c r="E44" s="6" t="s">
        <v>157</v>
      </c>
      <c r="F44" s="1" t="s">
        <v>550</v>
      </c>
    </row>
    <row r="45">
      <c r="B45" s="3" t="s">
        <v>33</v>
      </c>
      <c r="C45" s="5">
        <f>COUNTIFS('Data Combined - all-runs'!$A:$A, B45, 'Data Combined - all-runs'!$C:$C, "Natural",'Data Combined - all-runs'!$B:$B, "Shared", 'Data Combined - all-runs'!$D:$D, $A$43)</f>
        <v>6</v>
      </c>
      <c r="D45" s="5">
        <f>AVERAGEIFS('Data Combined - all-runs'!$H:$H, 'Data Combined - all-runs'!$A:$A, B45, 'Data Combined - all-runs'!$C:$C, "Natural",'Data Combined - all-runs'!$B:$B, "Shared", 'Data Combined - all-runs'!$D:$D, $A$43)</f>
        <v>633.5</v>
      </c>
      <c r="E45" s="5">
        <f>AVERAGEIFS('Data Combined - all-runs'!$N:$N,'Data Combined - all-runs'!$A:$A, B45, 'Data Combined - all-runs'!$C:$C, "Natural",'Data Combined - all-runs'!$B:$B, "Shared", 'Data Combined - all-runs'!$D:$D, $A$43)</f>
        <v>4.333333333</v>
      </c>
      <c r="F45" s="5">
        <f t="shared" ref="F45:F47" si="6"> (E45/D45)*1000</f>
        <v>6.840305183</v>
      </c>
    </row>
    <row r="46">
      <c r="B46" s="3" t="s">
        <v>460</v>
      </c>
      <c r="C46" s="5">
        <f>COUNTIFS('Data Combined - all-runs'!$A:$A, B46, 'Data Combined - all-runs'!$C:$C, "Natural",'Data Combined - all-runs'!$B:$B, "Shared", 'Data Combined - all-runs'!$D:$D, $A$43)</f>
        <v>6</v>
      </c>
      <c r="D46" s="5">
        <f>AVERAGEIFS('Data Combined - all-runs'!$H:$H, 'Data Combined - all-runs'!$A:$A, B46, 'Data Combined - all-runs'!$C:$C, "Natural",'Data Combined - all-runs'!$B:$B, "Shared", 'Data Combined - all-runs'!$D:$D, $A$43)</f>
        <v>917.3333333</v>
      </c>
      <c r="E46" s="5">
        <f>AVERAGEIFS('Data Combined - all-runs'!$N:$N,'Data Combined - all-runs'!$A:$A, B46, 'Data Combined - all-runs'!$C:$C, "Natural",'Data Combined - all-runs'!$B:$B, "Shared", 'Data Combined - all-runs'!$D:$D, $A$43)</f>
        <v>4.666666667</v>
      </c>
      <c r="F46" s="5">
        <f t="shared" si="6"/>
        <v>5.087209302</v>
      </c>
    </row>
    <row r="47">
      <c r="B47" s="3" t="s">
        <v>32</v>
      </c>
      <c r="C47" s="5">
        <f>COUNTIFS('Data Combined - all-runs'!$A:$A, B47, 'Data Combined - all-runs'!$C:$C, "Natural",'Data Combined - all-runs'!$B:$B, "Shared", 'Data Combined - all-runs'!$D:$D, $A$43)</f>
        <v>6</v>
      </c>
      <c r="D47" s="5">
        <f>AVERAGEIFS('Data Combined - all-runs'!$H:$H, 'Data Combined - all-runs'!$A:$A, B47, 'Data Combined - all-runs'!$C:$C, "Natural",'Data Combined - all-runs'!$B:$B, "Shared", 'Data Combined - all-runs'!$D:$D, $A$43)</f>
        <v>850.3333333</v>
      </c>
      <c r="E47" s="5">
        <f>AVERAGEIFS('Data Combined - all-runs'!$N:$N,'Data Combined - all-runs'!$A:$A, B47, 'Data Combined - all-runs'!$C:$C, "Natural",'Data Combined - all-runs'!$B:$B, "Shared", 'Data Combined - all-runs'!$D:$D, $A$43)</f>
        <v>5.333333333</v>
      </c>
      <c r="F47" s="5">
        <f t="shared" si="6"/>
        <v>6.272050176</v>
      </c>
    </row>
    <row r="49">
      <c r="B49" s="3" t="s">
        <v>21</v>
      </c>
      <c r="C49" s="5">
        <f>COUNTIFS('Data Combined - all-runs'!$A:$A, B49, 'Data Combined - all-runs'!$C:$C, "Natural",'Data Combined - all-runs'!$B:$B, "Shared", 'Data Combined - all-runs'!$D:$D, $A$43)</f>
        <v>0</v>
      </c>
      <c r="D49" s="5" t="str">
        <f>AVERAGEIFS('Data Combined - all-runs'!$H:$H, 'Data Combined - all-runs'!$A:$A, B49, 'Data Combined - all-runs'!$C:$C, "Natural",'Data Combined - all-runs'!$B:$B, "Shared", 'Data Combined - all-runs'!$D:$D, $A$43)</f>
        <v>#DIV/0!</v>
      </c>
      <c r="E49" s="5" t="str">
        <f>AVERAGEIFS('Data Combined - all-runs'!$N:$N,'Data Combined - all-runs'!$A:$A, B49, 'Data Combined - all-runs'!$C:$C, "Natural",'Data Combined - all-runs'!$B:$B, "Shared", 'Data Combined - all-runs'!$D:$D, $A$43)</f>
        <v>#DIV/0!</v>
      </c>
      <c r="F49" s="5" t="str">
        <f> (E49/D49)*1000</f>
        <v>#DIV/0!</v>
      </c>
    </row>
    <row r="51">
      <c r="A51" s="3" t="s">
        <v>118</v>
      </c>
    </row>
    <row r="52">
      <c r="C52" s="6" t="s">
        <v>155</v>
      </c>
      <c r="D52" s="6" t="s">
        <v>156</v>
      </c>
      <c r="E52" s="6" t="s">
        <v>157</v>
      </c>
      <c r="F52" s="1" t="s">
        <v>550</v>
      </c>
    </row>
    <row r="53">
      <c r="B53" s="3" t="s">
        <v>33</v>
      </c>
      <c r="C53" s="5">
        <f>COUNTIFS('Data Combined - all-runs'!$A:$A, B53, 'Data Combined - all-runs'!$C:$C, "Natural",'Data Combined - all-runs'!$B:$B, "Shared", 'Data Combined - all-runs'!$D:$D, $A$51)</f>
        <v>6</v>
      </c>
      <c r="D53" s="5">
        <f>AVERAGEIFS('Data Combined - all-runs'!$H:$H, 'Data Combined - all-runs'!$A:$A, B53, 'Data Combined - all-runs'!$C:$C, "Natural",'Data Combined - all-runs'!$B:$B, "Shared", 'Data Combined - all-runs'!$D:$D, $A$51)</f>
        <v>1280</v>
      </c>
      <c r="E53" s="5">
        <f>AVERAGEIFS('Data Combined - all-runs'!$N:$N,'Data Combined - all-runs'!$A:$A, B53, 'Data Combined - all-runs'!$C:$C, "Natural",'Data Combined - all-runs'!$B:$B, "Shared", 'Data Combined - all-runs'!$D:$D, $A$51)</f>
        <v>7.666666667</v>
      </c>
      <c r="F53" s="5">
        <f t="shared" ref="F53:F55" si="7"> (E53/D53)*1000</f>
        <v>5.989583333</v>
      </c>
    </row>
    <row r="54">
      <c r="B54" s="3" t="s">
        <v>460</v>
      </c>
      <c r="C54" s="5">
        <f>COUNTIFS('Data Combined - all-runs'!$A:$A, B54, 'Data Combined - all-runs'!$C:$C, "Natural",'Data Combined - all-runs'!$B:$B, "Shared", 'Data Combined - all-runs'!$D:$D, $A$51)</f>
        <v>6</v>
      </c>
      <c r="D54" s="5">
        <f>AVERAGEIFS('Data Combined - all-runs'!$H:$H, 'Data Combined - all-runs'!$A:$A, B54, 'Data Combined - all-runs'!$C:$C, "Natural",'Data Combined - all-runs'!$B:$B, "Shared", 'Data Combined - all-runs'!$D:$D, $A$51)</f>
        <v>1449.166667</v>
      </c>
      <c r="E54" s="5">
        <f>AVERAGEIFS('Data Combined - all-runs'!$N:$N,'Data Combined - all-runs'!$A:$A, B54, 'Data Combined - all-runs'!$C:$C, "Natural",'Data Combined - all-runs'!$B:$B, "Shared", 'Data Combined - all-runs'!$D:$D, $A$51)</f>
        <v>6.166666667</v>
      </c>
      <c r="F54" s="5">
        <f t="shared" si="7"/>
        <v>4.255319149</v>
      </c>
    </row>
    <row r="55">
      <c r="B55" s="3" t="s">
        <v>32</v>
      </c>
      <c r="C55" s="5">
        <f>COUNTIFS('Data Combined - all-runs'!$A:$A, B55, 'Data Combined - all-runs'!$C:$C, "Natural",'Data Combined - all-runs'!$B:$B, "Shared", 'Data Combined - all-runs'!$D:$D, $A$51)</f>
        <v>6</v>
      </c>
      <c r="D55" s="5">
        <f>AVERAGEIFS('Data Combined - all-runs'!$H:$H, 'Data Combined - all-runs'!$A:$A, B55, 'Data Combined - all-runs'!$C:$C, "Natural",'Data Combined - all-runs'!$B:$B, "Shared", 'Data Combined - all-runs'!$D:$D, $A$51)</f>
        <v>1078.666667</v>
      </c>
      <c r="E55" s="5">
        <f>AVERAGEIFS('Data Combined - all-runs'!$N:$N,'Data Combined - all-runs'!$A:$A, B55, 'Data Combined - all-runs'!$C:$C, "Natural",'Data Combined - all-runs'!$B:$B, "Shared", 'Data Combined - all-runs'!$D:$D, $A$51)</f>
        <v>5.166666667</v>
      </c>
      <c r="F55" s="5">
        <f t="shared" si="7"/>
        <v>4.78986403</v>
      </c>
    </row>
    <row r="57">
      <c r="B57" s="3" t="s">
        <v>21</v>
      </c>
      <c r="C57" s="5">
        <f>COUNTIFS('Data Combined - all-runs'!$A:$A, B57, 'Data Combined - all-runs'!$C:$C, "Natural",'Data Combined - all-runs'!$B:$B, "Shared", 'Data Combined - all-runs'!$D:$D, $A$51)</f>
        <v>0</v>
      </c>
      <c r="D57" s="5" t="str">
        <f>AVERAGEIFS('Data Combined - all-runs'!$H:$H, 'Data Combined - all-runs'!$A:$A, B57, 'Data Combined - all-runs'!$C:$C, "Natural",'Data Combined - all-runs'!$B:$B, "Shared", 'Data Combined - all-runs'!$D:$D, $A$51)</f>
        <v>#DIV/0!</v>
      </c>
      <c r="E57" s="5" t="str">
        <f>AVERAGEIFS('Data Combined - all-runs'!$N:$N,'Data Combined - all-runs'!$A:$A, B57, 'Data Combined - all-runs'!$C:$C, "Natural",'Data Combined - all-runs'!$B:$B, "Shared", 'Data Combined - all-runs'!$D:$D, $A$51)</f>
        <v>#DIV/0!</v>
      </c>
      <c r="F57" s="5" t="str">
        <f> (E57/D57)*1000</f>
        <v>#DIV/0!</v>
      </c>
    </row>
    <row r="61">
      <c r="A61" s="1" t="s">
        <v>3</v>
      </c>
      <c r="C61" s="6" t="s">
        <v>155</v>
      </c>
      <c r="D61" s="6" t="s">
        <v>156</v>
      </c>
      <c r="E61" s="6" t="s">
        <v>157</v>
      </c>
      <c r="F61" s="1" t="s">
        <v>550</v>
      </c>
    </row>
    <row r="62">
      <c r="A62" s="3" t="s">
        <v>24</v>
      </c>
      <c r="B62" s="3" t="s">
        <v>33</v>
      </c>
      <c r="C62" s="5">
        <f>COUNTIFS('Data Combined - all-runs'!$A:$A, B62, 'Data Combined - all-runs'!$C:$C, "Natural",'Data Combined - all-runs'!$B:$B, "Shared", 'Data Combined - all-runs'!$D:$D, $A$18)</f>
        <v>6</v>
      </c>
      <c r="D62" s="5">
        <f>AVERAGEIFS('Data Combined - all-runs'!$H:$H, 'Data Combined - all-runs'!$A:$A, B62, 'Data Combined - all-runs'!$C:$C, "Natural",'Data Combined - all-runs'!$B:$B, "Shared", 'Data Combined - all-runs'!$D:$D, A62)</f>
        <v>1659.5</v>
      </c>
      <c r="E62" s="5">
        <f>AVERAGEIFS('Data Combined - all-runs'!$N:$N,'Data Combined - all-runs'!$A:$A, B62, 'Data Combined - all-runs'!$C:$C, "Natural",'Data Combined - all-runs'!$B:$B, "Shared", 'Data Combined - all-runs'!$D:$D, A62)</f>
        <v>5.5</v>
      </c>
      <c r="F62" s="5">
        <f t="shared" ref="F62:F63" si="8"> (E62/D62)*1000</f>
        <v>3.314251281</v>
      </c>
    </row>
    <row r="63">
      <c r="A63" s="3" t="s">
        <v>54</v>
      </c>
      <c r="B63" s="3" t="s">
        <v>33</v>
      </c>
      <c r="C63" s="5">
        <f>COUNTIFS('Data Combined - all-runs'!$A:$A, B63, 'Data Combined - all-runs'!$C:$C, "Natural",'Data Combined - all-runs'!$B:$B, "Shared", 'Data Combined - all-runs'!$D:$D, A63)</f>
        <v>6</v>
      </c>
      <c r="D63" s="5">
        <f>AVERAGEIFS('Data Combined - all-runs'!$H:$H, 'Data Combined - all-runs'!$A:$A, B63, 'Data Combined - all-runs'!$C:$C, "Natural",'Data Combined - all-runs'!$B:$B, "Shared", 'Data Combined - all-runs'!$D:$D, A63)</f>
        <v>2039.833333</v>
      </c>
      <c r="E63" s="5">
        <f>AVERAGEIFS('Data Combined - all-runs'!$N:$N,'Data Combined - all-runs'!$A:$A, B63, 'Data Combined - all-runs'!$C:$C, "Natural",'Data Combined - all-runs'!$B:$B, "Shared", 'Data Combined - all-runs'!$D:$D, A63)</f>
        <v>12.16666667</v>
      </c>
      <c r="F63" s="5">
        <f t="shared" si="8"/>
        <v>5.964539587</v>
      </c>
    </row>
    <row r="64">
      <c r="A64" s="3" t="s">
        <v>72</v>
      </c>
      <c r="B64" s="3" t="s">
        <v>33</v>
      </c>
      <c r="C64" s="5">
        <f>COUNTIFS('Data Combined - all-runs'!$A:$A, B64, 'Data Combined - all-runs'!$C:$C, "Natural",'Data Combined - all-runs'!$B:$B, "Shared", 'Data Combined - all-runs'!$D:$D, $A$26)</f>
        <v>6</v>
      </c>
      <c r="D64" s="5">
        <f>AVERAGEIFS('Data Combined - all-runs'!$H:$H, 'Data Combined - all-runs'!$A:$A, B64, 'Data Combined - all-runs'!$C:$C, "Natural",'Data Combined - all-runs'!$B:$B, "Shared", 'Data Combined - all-runs'!$D:$D, $A$26)</f>
        <v>2822.5</v>
      </c>
      <c r="F64" s="5">
        <f> (E63/D64)*1000</f>
        <v>4.31059935</v>
      </c>
    </row>
    <row r="65">
      <c r="A65" s="3" t="s">
        <v>64</v>
      </c>
      <c r="B65" s="3" t="s">
        <v>33</v>
      </c>
      <c r="C65" s="5">
        <f>COUNTIFS('Data Combined - all-runs'!$A:$A, B65, 'Data Combined - all-runs'!$C:$C, "Natural",'Data Combined - all-runs'!$B:$B, "Shared", 'Data Combined - all-runs'!$D:$D, $A$35)</f>
        <v>12</v>
      </c>
      <c r="D65" s="5">
        <f>AVERAGEIFS('Data Combined - all-runs'!$H:$H, 'Data Combined - all-runs'!$A:$A, B65, 'Data Combined - all-runs'!$C:$C, "Natural",'Data Combined - all-runs'!$B:$B, "Shared", 'Data Combined - all-runs'!$D:$D, $A$35)</f>
        <v>1697.666667</v>
      </c>
      <c r="E65" s="5">
        <f>AVERAGEIFS('Data Combined - all-runs'!$N:$N,'Data Combined - all-runs'!$A:$A, B65, 'Data Combined - all-runs'!$C:$C, "Natural",'Data Combined - all-runs'!$B:$B, "Shared", 'Data Combined - all-runs'!$D:$D, $A$35)</f>
        <v>10.33333333</v>
      </c>
      <c r="F65" s="5">
        <f t="shared" ref="F65:F67" si="9"> (E65/D65)*1000</f>
        <v>6.086785784</v>
      </c>
    </row>
    <row r="66">
      <c r="A66" s="3" t="s">
        <v>102</v>
      </c>
      <c r="B66" s="3" t="s">
        <v>33</v>
      </c>
      <c r="C66" s="5">
        <f>COUNTIFS('Data Combined - all-runs'!$A:$A, B66, 'Data Combined - all-runs'!$C:$C, "Natural",'Data Combined - all-runs'!$B:$B, "Shared", 'Data Combined - all-runs'!$D:$D, $A$43)</f>
        <v>6</v>
      </c>
      <c r="D66" s="5">
        <f>AVERAGEIFS('Data Combined - all-runs'!$H:$H, 'Data Combined - all-runs'!$A:$A, B66, 'Data Combined - all-runs'!$C:$C, "Natural",'Data Combined - all-runs'!$B:$B, "Shared", 'Data Combined - all-runs'!$D:$D, $A$43)</f>
        <v>633.5</v>
      </c>
      <c r="E66" s="5">
        <f>AVERAGEIFS('Data Combined - all-runs'!$N:$N,'Data Combined - all-runs'!$A:$A, B66, 'Data Combined - all-runs'!$C:$C, "Natural",'Data Combined - all-runs'!$B:$B, "Shared", 'Data Combined - all-runs'!$D:$D, $A$43)</f>
        <v>4.333333333</v>
      </c>
      <c r="F66" s="5">
        <f t="shared" si="9"/>
        <v>6.840305183</v>
      </c>
    </row>
    <row r="67">
      <c r="A67" s="3" t="s">
        <v>118</v>
      </c>
      <c r="B67" s="3" t="s">
        <v>33</v>
      </c>
      <c r="C67" s="5">
        <f>COUNTIFS('Data Combined - all-runs'!$A:$A, B67, 'Data Combined - all-runs'!$C:$C, "Natural",'Data Combined - all-runs'!$B:$B, "Shared", 'Data Combined - all-runs'!$D:$D, $A$51)</f>
        <v>6</v>
      </c>
      <c r="D67" s="5">
        <f>AVERAGEIFS('Data Combined - all-runs'!$H:$H, 'Data Combined - all-runs'!$A:$A, B67, 'Data Combined - all-runs'!$C:$C, "Natural",'Data Combined - all-runs'!$B:$B, "Shared", 'Data Combined - all-runs'!$D:$D, $A$51)</f>
        <v>1280</v>
      </c>
      <c r="E67" s="5">
        <f>AVERAGEIFS('Data Combined - all-runs'!$N:$N,'Data Combined - all-runs'!$A:$A, B67, 'Data Combined - all-runs'!$C:$C, "Natural",'Data Combined - all-runs'!$B:$B, "Shared", 'Data Combined - all-runs'!$D:$D, $A$51)</f>
        <v>7.666666667</v>
      </c>
      <c r="F67" s="5">
        <f t="shared" si="9"/>
        <v>5.989583333</v>
      </c>
    </row>
    <row r="68">
      <c r="A68" s="1" t="s">
        <v>3</v>
      </c>
    </row>
    <row r="69">
      <c r="A69" s="3" t="s">
        <v>24</v>
      </c>
      <c r="B69" s="3" t="s">
        <v>460</v>
      </c>
      <c r="C69" s="5">
        <f>COUNTIFS('Data Combined - all-runs'!$A:$A, B69, 'Data Combined - all-runs'!$C:$C, "Natural",'Data Combined - all-runs'!$B:$B, "Shared", 'Data Combined - all-runs'!$D:$D, $A$10)</f>
        <v>6</v>
      </c>
      <c r="D69" s="5">
        <f>AVERAGEIFS('Data Combined - all-runs'!$H:$H, 'Data Combined - all-runs'!$A:$A, B69, 'Data Combined - all-runs'!$C:$C, "Natural",'Data Combined - all-runs'!$B:$B, "Shared", 'Data Combined - all-runs'!$D:$D, $A$10)</f>
        <v>1403.666667</v>
      </c>
      <c r="E69" s="5">
        <f>AVERAGEIFS('Data Combined - all-runs'!$N:$N,'Data Combined - all-runs'!$A:$A, B69, 'Data Combined - all-runs'!$C:$C, "Natural",'Data Combined - all-runs'!$B:$B, "Shared", 'Data Combined - all-runs'!$D:$D, $A$10)</f>
        <v>5</v>
      </c>
      <c r="F69" s="5">
        <f t="shared" ref="F69:F74" si="10"> (E69/D69)*1000</f>
        <v>3.562099264</v>
      </c>
    </row>
    <row r="70">
      <c r="A70" s="3" t="s">
        <v>54</v>
      </c>
      <c r="B70" s="3" t="s">
        <v>460</v>
      </c>
      <c r="C70" s="5">
        <f>COUNTIFS('Data Combined - all-runs'!$A:$A, B70, 'Data Combined - all-runs'!$C:$C, "Natural",'Data Combined - all-runs'!$B:$B, "Shared", 'Data Combined - all-runs'!$D:$D, A70)</f>
        <v>6</v>
      </c>
      <c r="D70" s="5">
        <f>AVERAGEIFS('Data Combined - all-runs'!$H:$H, 'Data Combined - all-runs'!$A:$A, B70, 'Data Combined - all-runs'!$C:$C, "Natural",'Data Combined - all-runs'!$B:$B, "Shared", 'Data Combined - all-runs'!$D:$D, A70)</f>
        <v>3054.333333</v>
      </c>
      <c r="E70" s="5">
        <f>AVERAGEIFS('Data Combined - all-runs'!$N:$N,'Data Combined - all-runs'!$A:$A, B70, 'Data Combined - all-runs'!$C:$C, "Natural",'Data Combined - all-runs'!$B:$B, "Shared", 'Data Combined - all-runs'!$D:$D, A70)</f>
        <v>16.33333333</v>
      </c>
      <c r="F70" s="5">
        <f t="shared" si="10"/>
        <v>5.347593583</v>
      </c>
    </row>
    <row r="71">
      <c r="A71" s="3" t="s">
        <v>72</v>
      </c>
      <c r="B71" s="3" t="s">
        <v>460</v>
      </c>
      <c r="C71" s="5">
        <f>COUNTIFS('Data Combined - all-runs'!$A:$A, B71, 'Data Combined - all-runs'!$C:$C, "Natural",'Data Combined - all-runs'!$B:$B, "Shared", 'Data Combined - all-runs'!$D:$D, $A$18)</f>
        <v>6</v>
      </c>
      <c r="D71" s="5">
        <f>AVERAGEIFS('Data Combined - all-runs'!$H:$H, 'Data Combined - all-runs'!$A:$A, B71, 'Data Combined - all-runs'!$C:$C, "Natural",'Data Combined - all-runs'!$B:$B, "Shared", 'Data Combined - all-runs'!$D:$D, $A$18)</f>
        <v>3054.333333</v>
      </c>
      <c r="E71" s="5">
        <f>AVERAGEIFS('Data Combined - all-runs'!$N:$N,'Data Combined - all-runs'!$A:$A, B71, 'Data Combined - all-runs'!$C:$C, "Natural",'Data Combined - all-runs'!$B:$B, "Shared", 'Data Combined - all-runs'!$D:$D, $A$18)</f>
        <v>16.33333333</v>
      </c>
      <c r="F71" s="5">
        <f t="shared" si="10"/>
        <v>5.347593583</v>
      </c>
    </row>
    <row r="72">
      <c r="A72" s="3" t="s">
        <v>64</v>
      </c>
      <c r="B72" s="3" t="s">
        <v>460</v>
      </c>
      <c r="C72" s="5">
        <f>COUNTIFS('Data Combined - all-runs'!$A:$A, B72, 'Data Combined - all-runs'!$C:$C, "Natural",'Data Combined - all-runs'!$B:$B, "Shared", 'Data Combined - all-runs'!$D:$D, $A$26)</f>
        <v>6</v>
      </c>
      <c r="D72" s="5">
        <f>AVERAGEIFS('Data Combined - all-runs'!$H:$H, 'Data Combined - all-runs'!$A:$A, B72, 'Data Combined - all-runs'!$C:$C, "Natural",'Data Combined - all-runs'!$B:$B, "Shared", 'Data Combined - all-runs'!$D:$D, $A$26)</f>
        <v>2072.5</v>
      </c>
      <c r="E72" s="5">
        <f>AVERAGEIFS('Data Combined - all-runs'!$N:$N,'Data Combined - all-runs'!$A:$A, B72, 'Data Combined - all-runs'!$C:$C, "Natural",'Data Combined - all-runs'!$B:$B, "Shared", 'Data Combined - all-runs'!$D:$D, $A$26)</f>
        <v>9.333333333</v>
      </c>
      <c r="F72" s="5">
        <f t="shared" si="10"/>
        <v>4.503417772</v>
      </c>
    </row>
    <row r="73">
      <c r="A73" s="3" t="s">
        <v>102</v>
      </c>
      <c r="B73" s="3" t="s">
        <v>460</v>
      </c>
      <c r="C73" s="5">
        <f>COUNTIFS('Data Combined - all-runs'!$A:$A, B73, 'Data Combined - all-runs'!$C:$C, "Natural",'Data Combined - all-runs'!$B:$B, "Shared", 'Data Combined - all-runs'!$D:$D, $A$35)</f>
        <v>12</v>
      </c>
      <c r="D73" s="5">
        <f>AVERAGEIFS('Data Combined - all-runs'!$H:$H, 'Data Combined - all-runs'!$A:$A, B73, 'Data Combined - all-runs'!$C:$C, "Natural",'Data Combined - all-runs'!$B:$B, "Shared", 'Data Combined - all-runs'!$D:$D, $A$35)</f>
        <v>1298.916667</v>
      </c>
      <c r="E73" s="5">
        <f>AVERAGEIFS('Data Combined - all-runs'!$N:$N,'Data Combined - all-runs'!$A:$A, B73, 'Data Combined - all-runs'!$C:$C, "Natural",'Data Combined - all-runs'!$B:$B, "Shared", 'Data Combined - all-runs'!$D:$D, $A$35)</f>
        <v>8.583333333</v>
      </c>
      <c r="F73" s="5">
        <f t="shared" si="10"/>
        <v>6.608070828</v>
      </c>
    </row>
    <row r="74">
      <c r="A74" s="3" t="s">
        <v>118</v>
      </c>
      <c r="B74" s="3" t="s">
        <v>460</v>
      </c>
      <c r="C74" s="5">
        <f>COUNTIFS('Data Combined - all-runs'!$A:$A, B74, 'Data Combined - all-runs'!$C:$C, "Natural",'Data Combined - all-runs'!$B:$B, "Shared", 'Data Combined - all-runs'!$D:$D, $A$43)</f>
        <v>6</v>
      </c>
      <c r="D74" s="5">
        <f>AVERAGEIFS('Data Combined - all-runs'!$H:$H, 'Data Combined - all-runs'!$A:$A, B74, 'Data Combined - all-runs'!$C:$C, "Natural",'Data Combined - all-runs'!$B:$B, "Shared", 'Data Combined - all-runs'!$D:$D, $A$43)</f>
        <v>917.3333333</v>
      </c>
      <c r="E74" s="5">
        <f>AVERAGEIFS('Data Combined - all-runs'!$N:$N,'Data Combined - all-runs'!$A:$A, B74, 'Data Combined - all-runs'!$C:$C, "Natural",'Data Combined - all-runs'!$B:$B, "Shared", 'Data Combined - all-runs'!$D:$D, $A$43)</f>
        <v>4.666666667</v>
      </c>
      <c r="F74" s="5">
        <f t="shared" si="10"/>
        <v>5.087209302</v>
      </c>
    </row>
    <row r="77">
      <c r="B77" s="3" t="s">
        <v>745</v>
      </c>
    </row>
    <row r="78">
      <c r="A78" s="3" t="s">
        <v>24</v>
      </c>
      <c r="D78" s="5">
        <f t="shared" ref="D78:D83" si="12">D62-D69</f>
        <v>255.8333333</v>
      </c>
      <c r="E78" s="5">
        <f t="shared" ref="E78:F78" si="11">E69-E62</f>
        <v>-0.5</v>
      </c>
      <c r="F78" s="5">
        <f t="shared" si="11"/>
        <v>0.2478479833</v>
      </c>
    </row>
    <row r="79">
      <c r="A79" s="3" t="s">
        <v>54</v>
      </c>
      <c r="D79" s="5">
        <f t="shared" si="12"/>
        <v>-1014.5</v>
      </c>
      <c r="E79" s="5">
        <f t="shared" ref="E79:F79" si="13">E70-E63</f>
        <v>4.166666667</v>
      </c>
      <c r="F79" s="5">
        <f t="shared" si="13"/>
        <v>-0.6169460037</v>
      </c>
    </row>
    <row r="80">
      <c r="A80" s="3" t="s">
        <v>72</v>
      </c>
      <c r="D80" s="5">
        <f t="shared" si="12"/>
        <v>-231.8333333</v>
      </c>
      <c r="E80" s="5">
        <f t="shared" ref="E80:F80" si="14">E71-E64</f>
        <v>16.33333333</v>
      </c>
      <c r="F80" s="5">
        <f t="shared" si="14"/>
        <v>1.036994232</v>
      </c>
    </row>
    <row r="81">
      <c r="A81" s="3" t="s">
        <v>64</v>
      </c>
      <c r="D81" s="5">
        <f t="shared" si="12"/>
        <v>-374.8333333</v>
      </c>
      <c r="E81" s="5">
        <f t="shared" ref="E81:F81" si="15">E72-E65</f>
        <v>-1</v>
      </c>
      <c r="F81" s="5">
        <f t="shared" si="15"/>
        <v>-1.583368012</v>
      </c>
    </row>
    <row r="82">
      <c r="A82" s="3" t="s">
        <v>102</v>
      </c>
      <c r="D82" s="5">
        <f t="shared" si="12"/>
        <v>-665.4166667</v>
      </c>
      <c r="E82" s="5">
        <f t="shared" ref="E82:F82" si="16">E73-E66</f>
        <v>4.25</v>
      </c>
      <c r="F82" s="5">
        <f t="shared" si="16"/>
        <v>-0.2322343546</v>
      </c>
    </row>
    <row r="83">
      <c r="A83" s="3" t="s">
        <v>118</v>
      </c>
      <c r="D83" s="5">
        <f t="shared" si="12"/>
        <v>362.6666667</v>
      </c>
      <c r="E83" s="5">
        <f t="shared" ref="E83:F83" si="17">E74-E67</f>
        <v>-3</v>
      </c>
      <c r="F83" s="5">
        <f t="shared" si="17"/>
        <v>-0.902374031</v>
      </c>
    </row>
    <row r="87">
      <c r="A87" s="3"/>
    </row>
    <row r="91">
      <c r="A91" s="1" t="s">
        <v>3</v>
      </c>
      <c r="C91" s="6" t="s">
        <v>751</v>
      </c>
      <c r="D91" s="6" t="s">
        <v>752</v>
      </c>
      <c r="E91" s="6" t="s">
        <v>753</v>
      </c>
      <c r="F91" s="1" t="s">
        <v>754</v>
      </c>
    </row>
    <row r="92">
      <c r="A92" s="3" t="s">
        <v>24</v>
      </c>
      <c r="B92" s="3" t="s">
        <v>33</v>
      </c>
      <c r="C92" s="5">
        <f>COUNTIFS(
  'Data averaged'!$A:$A,$B92,
  'Data averaged'!$D:$D,$A92,
  'Data averaged'!$V:$V,TRUE
)</f>
        <v>24</v>
      </c>
      <c r="D92" s="5">
        <f>AVERAGEIFS(
  'Data averaged'!$H:$H,
  'Data averaged'!$A:$A,$B92,
  'Data averaged'!$D:$D,$A92,
  'Data averaged'!$V:$V,TRUE
)</f>
        <v>1002.186806</v>
      </c>
      <c r="E92" s="5">
        <f>AVERAGEIFS(
  'Data averaged'!$N:$N,
  'Data averaged'!$A:$A,$B92,
  'Data averaged'!$D:$D,$A92,
  'Data averaged'!$V:$V,TRUE
)</f>
        <v>1.513888889</v>
      </c>
      <c r="F92" s="5">
        <f t="shared" ref="F92:F97" si="18"> (E92/D92)*1000</f>
        <v>1.510585532</v>
      </c>
    </row>
    <row r="93">
      <c r="A93" s="3" t="s">
        <v>54</v>
      </c>
      <c r="B93" s="3" t="s">
        <v>33</v>
      </c>
      <c r="C93" s="5">
        <f>COUNTIFS(
  'Data averaged'!$A:$A,$B93,
  'Data averaged'!$D:$D,$A93,
  'Data averaged'!$V:$V,TRUE
)</f>
        <v>24</v>
      </c>
      <c r="D93" s="5">
        <f>AVERAGEIFS(
  'Data averaged'!$H:$H,
  'Data averaged'!$A:$A,$B93,
  'Data averaged'!$D:$D,$A93,
  'Data averaged'!$V:$V,TRUE
)</f>
        <v>1448.354167</v>
      </c>
      <c r="E93" s="5">
        <f>AVERAGEIFS(
  'Data averaged'!$N:$N,
  'Data averaged'!$A:$A,$B93,
  'Data averaged'!$D:$D,$A93,
  'Data averaged'!$V:$V,TRUE
)</f>
        <v>5.708333333</v>
      </c>
      <c r="F93" s="5">
        <f t="shared" si="18"/>
        <v>3.94125516</v>
      </c>
    </row>
    <row r="94">
      <c r="A94" s="3" t="s">
        <v>72</v>
      </c>
      <c r="B94" s="3" t="s">
        <v>33</v>
      </c>
      <c r="C94" s="5">
        <f>COUNTIFS(
  'Data averaged'!$A:$A,$B94,
  'Data averaged'!$D:$D,$A94,
  'Data averaged'!$V:$V,TRUE
)</f>
        <v>24</v>
      </c>
      <c r="D94" s="5">
        <f>AVERAGEIFS(
  'Data averaged'!$H:$H,
  'Data averaged'!$A:$A,$B94,
  'Data averaged'!$D:$D,$A94,
  'Data averaged'!$V:$V,TRUE
)</f>
        <v>1524.791667</v>
      </c>
      <c r="E94" s="5">
        <f>AVERAGEIFS(
  'Data averaged'!$N:$N,
  'Data averaged'!$A:$A,$B94,
  'Data averaged'!$D:$D,$A94,
  'Data averaged'!$V:$V,TRUE
)</f>
        <v>4.041666667</v>
      </c>
      <c r="F94" s="5">
        <f t="shared" si="18"/>
        <v>2.650635333</v>
      </c>
    </row>
    <row r="95">
      <c r="A95" s="3" t="s">
        <v>64</v>
      </c>
      <c r="B95" s="3" t="s">
        <v>33</v>
      </c>
      <c r="C95" s="5">
        <f>COUNTIFS(
  'Data averaged'!$A:$A,$B95,
  'Data averaged'!$D:$D,$A95,
  'Data averaged'!$V:$V,TRUE
)</f>
        <v>24</v>
      </c>
      <c r="D95" s="5">
        <f>AVERAGEIFS(
  'Data averaged'!$H:$H,
  'Data averaged'!$A:$A,$B95,
  'Data averaged'!$D:$D,$A95,
  'Data averaged'!$V:$V,TRUE
)</f>
        <v>1552.625</v>
      </c>
      <c r="E95" s="5">
        <f>AVERAGEIFS(
  'Data averaged'!$N:$N,
  'Data averaged'!$A:$A,$B95,
  'Data averaged'!$D:$D,$A95,
  'Data averaged'!$V:$V,TRUE
)</f>
        <v>6.833333333</v>
      </c>
      <c r="F95" s="5">
        <f t="shared" si="18"/>
        <v>4.401148592</v>
      </c>
    </row>
    <row r="96">
      <c r="A96" s="3" t="s">
        <v>102</v>
      </c>
      <c r="B96" s="3" t="s">
        <v>33</v>
      </c>
      <c r="C96" s="5">
        <f>COUNTIFS(
  'Data averaged'!$A:$A,$B96,
  'Data averaged'!$D:$D,$A96,
  'Data averaged'!$V:$V,TRUE
)</f>
        <v>24</v>
      </c>
      <c r="D96" s="5">
        <f>AVERAGEIFS(
  'Data averaged'!$H:$H,
  'Data averaged'!$A:$A,$B96,
  'Data averaged'!$D:$D,$A96,
  'Data averaged'!$V:$V,TRUE
)</f>
        <v>603.9583333</v>
      </c>
      <c r="E96" s="5">
        <f>AVERAGEIFS(
  'Data averaged'!$N:$N,
  'Data averaged'!$A:$A,$B96,
  'Data averaged'!$D:$D,$A96,
  'Data averaged'!$V:$V,TRUE
)</f>
        <v>4.791666667</v>
      </c>
      <c r="F96" s="5">
        <f t="shared" si="18"/>
        <v>7.933770266</v>
      </c>
    </row>
    <row r="97">
      <c r="A97" s="3" t="s">
        <v>118</v>
      </c>
      <c r="B97" s="3" t="s">
        <v>33</v>
      </c>
      <c r="C97" s="5">
        <f>COUNTIFS(
  'Data averaged'!$A:$A,$B97,
  'Data averaged'!$D:$D,$A97,
  'Data averaged'!$V:$V,TRUE
)</f>
        <v>24</v>
      </c>
      <c r="D97" s="5">
        <f>AVERAGEIFS(
  'Data averaged'!$H:$H,
  'Data averaged'!$A:$A,$B97,
  'Data averaged'!$D:$D,$A97,
  'Data averaged'!$V:$V,TRUE
)</f>
        <v>1102.833333</v>
      </c>
      <c r="E97" s="5">
        <f>AVERAGEIFS(
  'Data averaged'!$N:$N,
  'Data averaged'!$A:$A,$B97,
  'Data averaged'!$D:$D,$A97,
  'Data averaged'!$V:$V,TRUE
)</f>
        <v>5.291666667</v>
      </c>
      <c r="F97" s="5">
        <f t="shared" si="18"/>
        <v>4.79824694</v>
      </c>
    </row>
    <row r="98">
      <c r="A98" s="1" t="s">
        <v>3</v>
      </c>
    </row>
    <row r="99">
      <c r="A99" s="3" t="s">
        <v>24</v>
      </c>
      <c r="B99" s="3" t="s">
        <v>460</v>
      </c>
      <c r="C99" s="5">
        <f>COUNTIFS(
  'Data averaged'!$A:$A,$B99,
  'Data averaged'!$D:$D,$A99,
  'Data averaged'!$V:$V,TRUE
)</f>
        <v>24</v>
      </c>
      <c r="D99" s="5">
        <f>AVERAGEIFS(
  'Data averaged'!$H:$H,
  'Data averaged'!$A:$A,$B99,
  'Data averaged'!$D:$D,$A99,
  'Data averaged'!$V:$V,TRUE
)</f>
        <v>1018.375</v>
      </c>
      <c r="E99" s="5">
        <f>AVERAGEIFS(
  'Data averaged'!$N:$N,
  'Data averaged'!$A:$A,$B99,
  'Data averaged'!$D:$D,$A99,
  'Data averaged'!$V:$V,TRUE
)</f>
        <v>2.041666667</v>
      </c>
      <c r="F99" s="5">
        <f t="shared" ref="F99:F104" si="19"> (E99/D99)*1000</f>
        <v>2.004827953</v>
      </c>
    </row>
    <row r="100">
      <c r="A100" s="3" t="s">
        <v>54</v>
      </c>
      <c r="B100" s="3" t="s">
        <v>460</v>
      </c>
      <c r="C100" s="5">
        <f>COUNTIFS(
  'Data averaged'!$A:$A,$B100,
  'Data averaged'!$D:$D,$A100,
  'Data averaged'!$V:$V,TRUE
)</f>
        <v>24</v>
      </c>
      <c r="D100" s="5">
        <f>AVERAGEIFS(
  'Data averaged'!$H:$H,
  'Data averaged'!$A:$A,$B100,
  'Data averaged'!$D:$D,$A100,
  'Data averaged'!$V:$V,TRUE
)</f>
        <v>1741</v>
      </c>
      <c r="E100" s="5">
        <f>AVERAGEIFS(
  'Data averaged'!$N:$N,
  'Data averaged'!$A:$A,$B100,
  'Data averaged'!$D:$D,$A100,
  'Data averaged'!$V:$V,TRUE
)</f>
        <v>8.708333333</v>
      </c>
      <c r="F100" s="5">
        <f t="shared" si="19"/>
        <v>5.001914608</v>
      </c>
    </row>
    <row r="101">
      <c r="A101" s="3" t="s">
        <v>72</v>
      </c>
      <c r="B101" s="3" t="s">
        <v>460</v>
      </c>
      <c r="C101" s="5">
        <f>COUNTIFS(
  'Data averaged'!$A:$A,$B101,
  'Data averaged'!$D:$D,$A101,
  'Data averaged'!$V:$V,TRUE
)</f>
        <v>24</v>
      </c>
      <c r="D101" s="5">
        <f>AVERAGEIFS(
  'Data averaged'!$H:$H,
  'Data averaged'!$A:$A,$B101,
  'Data averaged'!$D:$D,$A101,
  'Data averaged'!$V:$V,TRUE
)</f>
        <v>1382.083333</v>
      </c>
      <c r="E101" s="5">
        <f>AVERAGEIFS(
  'Data averaged'!$N:$N,
  'Data averaged'!$A:$A,$B101,
  'Data averaged'!$D:$D,$A101,
  'Data averaged'!$V:$V,TRUE
)</f>
        <v>7.916666667</v>
      </c>
      <c r="F101" s="5">
        <f t="shared" si="19"/>
        <v>5.728067531</v>
      </c>
    </row>
    <row r="102">
      <c r="A102" s="3" t="s">
        <v>64</v>
      </c>
      <c r="B102" s="3" t="s">
        <v>460</v>
      </c>
      <c r="C102" s="5">
        <f>COUNTIFS(
  'Data averaged'!$A:$A,$B102,
  'Data averaged'!$D:$D,$A102,
  'Data averaged'!$V:$V,TRUE
)</f>
        <v>24</v>
      </c>
      <c r="D102" s="5">
        <f>AVERAGEIFS(
  'Data averaged'!$H:$H,
  'Data averaged'!$A:$A,$B102,
  'Data averaged'!$D:$D,$A102,
  'Data averaged'!$V:$V,TRUE
)</f>
        <v>1142.9375</v>
      </c>
      <c r="E102" s="5">
        <f>AVERAGEIFS(
  'Data averaged'!$N:$N,
  'Data averaged'!$A:$A,$B102,
  'Data averaged'!$D:$D,$A102,
  'Data averaged'!$V:$V,TRUE
)</f>
        <v>5.0625</v>
      </c>
      <c r="F102" s="5">
        <f t="shared" si="19"/>
        <v>4.429376059</v>
      </c>
    </row>
    <row r="103">
      <c r="A103" s="3" t="s">
        <v>102</v>
      </c>
      <c r="B103" s="3" t="s">
        <v>460</v>
      </c>
      <c r="C103" s="5">
        <f>COUNTIFS(
  'Data averaged'!$A:$A,$B103,
  'Data averaged'!$D:$D,$A103,
  'Data averaged'!$V:$V,TRUE
)</f>
        <v>24</v>
      </c>
      <c r="D103" s="5">
        <f>AVERAGEIFS(
  'Data averaged'!$H:$H,
  'Data averaged'!$A:$A,$B103,
  'Data averaged'!$D:$D,$A103,
  'Data averaged'!$V:$V,TRUE
)</f>
        <v>872.3541667</v>
      </c>
      <c r="E103" s="5">
        <f>AVERAGEIFS(
  'Data averaged'!$N:$N,
  'Data averaged'!$A:$A,$B103,
  'Data averaged'!$D:$D,$A103,
  'Data averaged'!$V:$V,TRUE
)</f>
        <v>6.8125</v>
      </c>
      <c r="F103" s="5">
        <f t="shared" si="19"/>
        <v>7.809328207</v>
      </c>
    </row>
    <row r="104">
      <c r="A104" s="3" t="s">
        <v>118</v>
      </c>
      <c r="B104" s="3" t="s">
        <v>460</v>
      </c>
      <c r="C104" s="5">
        <f>COUNTIFS(
  'Data averaged'!$A:$A,$B104,
  'Data averaged'!$D:$D,$A104,
  'Data averaged'!$V:$V,TRUE
)</f>
        <v>24</v>
      </c>
      <c r="D104" s="5">
        <f>AVERAGEIFS(
  'Data averaged'!$H:$H,
  'Data averaged'!$A:$A,$B104,
  'Data averaged'!$D:$D,$A104,
  'Data averaged'!$V:$V,TRUE
)</f>
        <v>1110.916667</v>
      </c>
      <c r="E104" s="5">
        <f>AVERAGEIFS(
  'Data averaged'!$N:$N,
  'Data averaged'!$A:$A,$B104,
  'Data averaged'!$D:$D,$A104,
  'Data averaged'!$V:$V,TRUE
)</f>
        <v>6.375</v>
      </c>
      <c r="F104" s="5">
        <f t="shared" si="19"/>
        <v>5.738504238</v>
      </c>
    </row>
    <row r="108">
      <c r="A108" s="3" t="s">
        <v>24</v>
      </c>
      <c r="D108" s="5">
        <f t="shared" ref="D108:D113" si="21">D92-D99</f>
        <v>-16.18819444</v>
      </c>
      <c r="E108" s="5">
        <f t="shared" ref="E108:F108" si="20">E99-E92</f>
        <v>0.5277777778</v>
      </c>
      <c r="F108" s="5">
        <f t="shared" si="20"/>
        <v>0.494242421</v>
      </c>
    </row>
    <row r="109">
      <c r="A109" s="3" t="s">
        <v>54</v>
      </c>
      <c r="D109" s="5">
        <f t="shared" si="21"/>
        <v>-292.6458333</v>
      </c>
      <c r="E109" s="5">
        <f t="shared" ref="E109:F109" si="22">E100-E93</f>
        <v>3</v>
      </c>
      <c r="F109" s="5">
        <f t="shared" si="22"/>
        <v>1.060659448</v>
      </c>
    </row>
    <row r="110">
      <c r="A110" s="3" t="s">
        <v>72</v>
      </c>
      <c r="D110" s="5">
        <f t="shared" si="21"/>
        <v>142.7083333</v>
      </c>
      <c r="E110" s="5">
        <f t="shared" ref="E110:F110" si="23">E101-E94</f>
        <v>3.875</v>
      </c>
      <c r="F110" s="5">
        <f t="shared" si="23"/>
        <v>3.077432198</v>
      </c>
    </row>
    <row r="111">
      <c r="A111" s="3" t="s">
        <v>64</v>
      </c>
      <c r="D111" s="5">
        <f t="shared" si="21"/>
        <v>409.6875</v>
      </c>
      <c r="E111" s="5">
        <f t="shared" ref="E111:F111" si="24">E102-E95</f>
        <v>-1.770833333</v>
      </c>
      <c r="F111" s="5">
        <f t="shared" si="24"/>
        <v>0.02822746706</v>
      </c>
    </row>
    <row r="112">
      <c r="A112" s="3" t="s">
        <v>102</v>
      </c>
      <c r="D112" s="5">
        <f t="shared" si="21"/>
        <v>-268.3958333</v>
      </c>
      <c r="E112" s="5">
        <f t="shared" ref="E112:F112" si="25">E103-E96</f>
        <v>2.020833333</v>
      </c>
      <c r="F112" s="5">
        <f t="shared" si="25"/>
        <v>-0.1244420589</v>
      </c>
    </row>
    <row r="113">
      <c r="A113" s="3" t="s">
        <v>118</v>
      </c>
      <c r="D113" s="5">
        <f t="shared" si="21"/>
        <v>-8.083333333</v>
      </c>
      <c r="E113" s="5">
        <f t="shared" ref="E113:F113" si="26">E104-E97</f>
        <v>1.083333333</v>
      </c>
      <c r="F113" s="5">
        <f t="shared" si="26"/>
        <v>0.9402572985</v>
      </c>
    </row>
    <row r="122">
      <c r="A122" s="3" t="s">
        <v>763</v>
      </c>
    </row>
    <row r="123">
      <c r="A123" s="1" t="s">
        <v>3</v>
      </c>
      <c r="C123" s="6" t="s">
        <v>751</v>
      </c>
      <c r="D123" s="6" t="s">
        <v>752</v>
      </c>
      <c r="E123" s="6" t="s">
        <v>753</v>
      </c>
      <c r="F123" s="1" t="s">
        <v>754</v>
      </c>
      <c r="G123" s="3" t="s">
        <v>764</v>
      </c>
      <c r="H123" s="3" t="s">
        <v>765</v>
      </c>
    </row>
    <row r="124">
      <c r="A124" s="3" t="s">
        <v>24</v>
      </c>
      <c r="B124" s="3" t="s">
        <v>33</v>
      </c>
      <c r="C124" s="5">
        <f>COUNTIFS(
  'Data averaged'!$A:$A,$B124,
  'Data averaged'!$D:$D,$A124,
  'Data averaged'!$W:$W,TRUE
)</f>
        <v>12</v>
      </c>
      <c r="D124" s="5">
        <f>AVERAGEIFS(
  'Data averaged'!$H:$H,
  'Data averaged'!$A:$A,$B124,
  'Data averaged'!$D:$D,$A124,
  'Data averaged'!$W:$W,TRUE
)</f>
        <v>1131.75</v>
      </c>
      <c r="E124" s="5">
        <f>AVERAGEIFS(
  'Data averaged'!$N:$N,
  'Data averaged'!$A:$A,$B124,
  'Data averaged'!$D:$D,$A124,
  'Data averaged'!$W:$W,TRUE
)</f>
        <v>3.027777778</v>
      </c>
      <c r="F124" s="5">
        <f t="shared" ref="F124:F129" si="27"> (E124/D124)*1000</f>
        <v>2.675306188</v>
      </c>
      <c r="G124" s="5">
        <f>AVERAGEIFS(
  'Data averaged'!$K:$K,
  'Data averaged'!$A:$A,$B124,
  'Data averaged'!$D:$D,$A124,
  'Data averaged'!$W:$W,TRUE
)*100</f>
        <v>13.68559956</v>
      </c>
      <c r="H124" s="5">
        <f t="shared" ref="H124:H129" si="28">G124*E124</f>
        <v>41.43695423</v>
      </c>
      <c r="I124" s="5">
        <f t="shared" ref="I124:I129" si="29">(G124/D124)*100000</f>
        <v>1209.242285</v>
      </c>
    </row>
    <row r="125">
      <c r="A125" s="3" t="s">
        <v>54</v>
      </c>
      <c r="B125" s="3" t="s">
        <v>33</v>
      </c>
      <c r="C125" s="5">
        <f>COUNTIFS(
  'Data averaged'!$A:$A,$B125,
  'Data averaged'!$D:$D,$A125,
  'Data averaged'!$W:$W,TRUE
)</f>
        <v>12</v>
      </c>
      <c r="D125" s="5">
        <f>AVERAGEIFS(
  'Data averaged'!$H:$H,
  'Data averaged'!$A:$A,$B125,
  'Data averaged'!$D:$D,$A125,
  'Data averaged'!$W:$W,TRUE
)</f>
        <v>1886</v>
      </c>
      <c r="E125" s="5">
        <f>AVERAGEIFS(
  'Data averaged'!$N:$N,
  'Data averaged'!$A:$A,$B125,
  'Data averaged'!$D:$D,$A125,
  'Data averaged'!$W:$W,TRUE
)</f>
        <v>11</v>
      </c>
      <c r="F125" s="5">
        <f t="shared" si="27"/>
        <v>5.832449629</v>
      </c>
      <c r="G125" s="5">
        <f>AVERAGEIFS(
  'Data averaged'!$K:$K,
  'Data averaged'!$A:$A,$B125,
  'Data averaged'!$D:$D,$A125,
  'Data averaged'!$W:$W,TRUE
)*100</f>
        <v>12.30546257</v>
      </c>
      <c r="H125" s="5">
        <f t="shared" si="28"/>
        <v>135.3600883</v>
      </c>
      <c r="I125" s="5">
        <f t="shared" si="29"/>
        <v>652.4635509</v>
      </c>
    </row>
    <row r="126">
      <c r="A126" s="3" t="s">
        <v>72</v>
      </c>
      <c r="B126" s="3" t="s">
        <v>33</v>
      </c>
      <c r="C126" s="5">
        <f>COUNTIFS(
  'Data averaged'!$A:$A,$B126,
  'Data averaged'!$D:$D,$A126,
  'Data averaged'!$W:$W,TRUE
)</f>
        <v>12</v>
      </c>
      <c r="D126" s="5">
        <f>AVERAGEIFS(
  'Data averaged'!$H:$H,
  'Data averaged'!$A:$A,$B126,
  'Data averaged'!$D:$D,$A126,
  'Data averaged'!$W:$W,TRUE
)</f>
        <v>1816.583333</v>
      </c>
      <c r="E126" s="5">
        <f>AVERAGEIFS(
  'Data averaged'!$N:$N,
  'Data averaged'!$A:$A,$B126,
  'Data averaged'!$D:$D,$A126,
  'Data averaged'!$W:$W,TRUE
)</f>
        <v>6.333333333</v>
      </c>
      <c r="F126" s="5">
        <f t="shared" si="27"/>
        <v>3.486398459</v>
      </c>
      <c r="G126" s="5">
        <f>AVERAGEIFS(
  'Data averaged'!$K:$K,
  'Data averaged'!$A:$A,$B126,
  'Data averaged'!$D:$D,$A126,
  'Data averaged'!$W:$W,TRUE
)*100</f>
        <v>15.576663</v>
      </c>
      <c r="H126" s="5">
        <f t="shared" si="28"/>
        <v>98.65219901</v>
      </c>
      <c r="I126" s="5">
        <f t="shared" si="29"/>
        <v>857.4703244</v>
      </c>
    </row>
    <row r="127">
      <c r="A127" s="3" t="s">
        <v>64</v>
      </c>
      <c r="B127" s="3" t="s">
        <v>33</v>
      </c>
      <c r="C127" s="5">
        <f>COUNTIFS(
  'Data averaged'!$A:$A,$B127,
  'Data averaged'!$D:$D,$A127,
  'Data averaged'!$W:$W,TRUE
)</f>
        <v>12</v>
      </c>
      <c r="D127" s="5">
        <f>AVERAGEIFS(
  'Data averaged'!$H:$H,
  'Data averaged'!$A:$A,$B127,
  'Data averaged'!$D:$D,$A127,
  'Data averaged'!$W:$W,TRUE
)</f>
        <v>1242.583333</v>
      </c>
      <c r="E127" s="5">
        <f>AVERAGEIFS(
  'Data averaged'!$N:$N,
  'Data averaged'!$A:$A,$B127,
  'Data averaged'!$D:$D,$A127,
  'Data averaged'!$W:$W,TRUE
)</f>
        <v>8.916666667</v>
      </c>
      <c r="F127" s="5">
        <f t="shared" si="27"/>
        <v>7.175910402</v>
      </c>
      <c r="G127" s="5">
        <f>AVERAGEIFS(
  'Data averaged'!$K:$K,
  'Data averaged'!$A:$A,$B127,
  'Data averaged'!$D:$D,$A127,
  'Data averaged'!$W:$W,TRUE
)*100</f>
        <v>11.99127645</v>
      </c>
      <c r="H127" s="5">
        <f t="shared" si="28"/>
        <v>106.9222151</v>
      </c>
      <c r="I127" s="5">
        <f t="shared" si="29"/>
        <v>965.0279489</v>
      </c>
    </row>
    <row r="128">
      <c r="A128" s="3" t="s">
        <v>102</v>
      </c>
      <c r="B128" s="3" t="s">
        <v>33</v>
      </c>
      <c r="C128" s="5">
        <f>COUNTIFS(
  'Data averaged'!$A:$A,$B128,
  'Data averaged'!$D:$D,$A128,
  'Data averaged'!$W:$W,TRUE
)</f>
        <v>12</v>
      </c>
      <c r="D128" s="5">
        <f>AVERAGEIFS(
  'Data averaged'!$H:$H,
  'Data averaged'!$A:$A,$B128,
  'Data averaged'!$D:$D,$A128,
  'Data averaged'!$W:$W,TRUE
)</f>
        <v>567.9166667</v>
      </c>
      <c r="E128" s="5">
        <f>AVERAGEIFS(
  'Data averaged'!$N:$N,
  'Data averaged'!$A:$A,$B128,
  'Data averaged'!$D:$D,$A128,
  'Data averaged'!$W:$W,TRUE
)</f>
        <v>4.75</v>
      </c>
      <c r="F128" s="5">
        <f t="shared" si="27"/>
        <v>8.363903155</v>
      </c>
      <c r="G128" s="5">
        <f>AVERAGEIFS(
  'Data averaged'!$K:$K,
  'Data averaged'!$A:$A,$B128,
  'Data averaged'!$D:$D,$A128,
  'Data averaged'!$W:$W,TRUE
)*100</f>
        <v>10.55500871</v>
      </c>
      <c r="H128" s="5">
        <f t="shared" si="28"/>
        <v>50.13629138</v>
      </c>
      <c r="I128" s="5">
        <f t="shared" si="29"/>
        <v>1858.548856</v>
      </c>
    </row>
    <row r="129">
      <c r="A129" s="3" t="s">
        <v>118</v>
      </c>
      <c r="B129" s="3" t="s">
        <v>33</v>
      </c>
      <c r="C129" s="5">
        <f>COUNTIFS(
  'Data averaged'!$A:$A,$B129,
  'Data averaged'!$D:$D,$A129,
  'Data averaged'!$W:$W,TRUE
)</f>
        <v>12</v>
      </c>
      <c r="D129" s="5">
        <f>AVERAGEIFS(
  'Data averaged'!$H:$H,
  'Data averaged'!$A:$A,$B129,
  'Data averaged'!$D:$D,$A129,
  'Data averaged'!$W:$W,TRUE
)</f>
        <v>960.4166667</v>
      </c>
      <c r="E129" s="5">
        <f>AVERAGEIFS(
  'Data averaged'!$N:$N,
  'Data averaged'!$A:$A,$B129,
  'Data averaged'!$D:$D,$A129,
  'Data averaged'!$W:$W,TRUE
)</f>
        <v>6.916666667</v>
      </c>
      <c r="F129" s="5">
        <f t="shared" si="27"/>
        <v>7.201735358</v>
      </c>
      <c r="G129" s="5">
        <f>AVERAGEIFS(
  'Data averaged'!$K:$K,
  'Data averaged'!$A:$A,$B129,
  'Data averaged'!$D:$D,$A129,
  'Data averaged'!$W:$W,TRUE
)*100</f>
        <v>13.76208535</v>
      </c>
      <c r="H129" s="5">
        <f t="shared" si="28"/>
        <v>95.18775703</v>
      </c>
      <c r="I129" s="5">
        <f t="shared" si="29"/>
        <v>1432.928627</v>
      </c>
    </row>
    <row r="130">
      <c r="A130" s="1" t="s">
        <v>3</v>
      </c>
    </row>
    <row r="131">
      <c r="A131" s="3" t="s">
        <v>24</v>
      </c>
      <c r="B131" s="3" t="s">
        <v>460</v>
      </c>
      <c r="C131" s="5">
        <f>COUNTIFS(
  'Data averaged'!$A:$A,$B131,
  'Data averaged'!$D:$D,$A131,
  'Data averaged'!$W:$W,TRUE
)</f>
        <v>12</v>
      </c>
      <c r="D131" s="5">
        <f>AVERAGEIFS(
  'Data averaged'!$H:$H,
  'Data averaged'!$A:$A,$B131,
  'Data averaged'!$D:$D,$A131,
  'Data averaged'!$W:$W,TRUE
)</f>
        <v>928.4166667</v>
      </c>
      <c r="E131" s="5">
        <f>AVERAGEIFS(
  'Data averaged'!$N:$N,
  'Data averaged'!$A:$A,$B131,
  'Data averaged'!$D:$D,$A131,
  'Data averaged'!$W:$W,TRUE
)</f>
        <v>2.583333333</v>
      </c>
      <c r="F131" s="5">
        <f t="shared" ref="F131:F136" si="30"> (E131/D131)*1000</f>
        <v>2.782515035</v>
      </c>
      <c r="G131" s="5">
        <f>AVERAGEIFS(
  'Data averaged'!$K:$K,
  'Data averaged'!$A:$A,$B131,
  'Data averaged'!$D:$D,$A131,
  'Data averaged'!$W:$W,TRUE
)*100</f>
        <v>18.87376615</v>
      </c>
      <c r="H131" s="5">
        <f t="shared" ref="H131:H136" si="31">G131*E131</f>
        <v>48.75722923</v>
      </c>
      <c r="I131" s="5">
        <f t="shared" ref="I131:I136" si="32">(G131/D131)*100000</f>
        <v>2032.898248</v>
      </c>
    </row>
    <row r="132">
      <c r="A132" s="3" t="s">
        <v>54</v>
      </c>
      <c r="B132" s="3" t="s">
        <v>460</v>
      </c>
      <c r="C132" s="5">
        <f>COUNTIFS(
  'Data averaged'!$A:$A,$B132,
  'Data averaged'!$D:$D,$A132,
  'Data averaged'!$W:$W,TRUE
)</f>
        <v>12</v>
      </c>
      <c r="D132" s="5">
        <f>AVERAGEIFS(
  'Data averaged'!$H:$H,
  'Data averaged'!$A:$A,$B132,
  'Data averaged'!$D:$D,$A132,
  'Data averaged'!$W:$W,TRUE
)</f>
        <v>2031.916667</v>
      </c>
      <c r="E132" s="5">
        <f>AVERAGEIFS(
  'Data averaged'!$N:$N,
  'Data averaged'!$A:$A,$B132,
  'Data averaged'!$D:$D,$A132,
  'Data averaged'!$W:$W,TRUE
)</f>
        <v>13.16666667</v>
      </c>
      <c r="F132" s="5">
        <f t="shared" si="30"/>
        <v>6.479924538</v>
      </c>
      <c r="G132" s="5">
        <f>AVERAGEIFS(
  'Data averaged'!$K:$K,
  'Data averaged'!$A:$A,$B132,
  'Data averaged'!$D:$D,$A132,
  'Data averaged'!$W:$W,TRUE
)*100</f>
        <v>16.27958411</v>
      </c>
      <c r="H132" s="5">
        <f t="shared" si="31"/>
        <v>214.3478575</v>
      </c>
      <c r="I132" s="5">
        <f t="shared" si="32"/>
        <v>801.1934928</v>
      </c>
    </row>
    <row r="133">
      <c r="A133" s="3" t="s">
        <v>72</v>
      </c>
      <c r="B133" s="3" t="s">
        <v>460</v>
      </c>
      <c r="C133" s="5">
        <f>COUNTIFS(
  'Data averaged'!$A:$A,$B133,
  'Data averaged'!$D:$D,$A133,
  'Data averaged'!$W:$W,TRUE
)</f>
        <v>12</v>
      </c>
      <c r="D133" s="5">
        <f>AVERAGEIFS(
  'Data averaged'!$H:$H,
  'Data averaged'!$A:$A,$B133,
  'Data averaged'!$D:$D,$A133,
  'Data averaged'!$W:$W,TRUE
)</f>
        <v>1646</v>
      </c>
      <c r="E133" s="5">
        <f>AVERAGEIFS(
  'Data averaged'!$N:$N,
  'Data averaged'!$A:$A,$B133,
  'Data averaged'!$D:$D,$A133,
  'Data averaged'!$W:$W,TRUE
)</f>
        <v>8.75</v>
      </c>
      <c r="F133" s="5">
        <f t="shared" si="30"/>
        <v>5.315917375</v>
      </c>
      <c r="G133" s="5">
        <f>AVERAGEIFS(
  'Data averaged'!$K:$K,
  'Data averaged'!$A:$A,$B133,
  'Data averaged'!$D:$D,$A133,
  'Data averaged'!$W:$W,TRUE
)*100</f>
        <v>17.53520136</v>
      </c>
      <c r="H133" s="5">
        <f t="shared" si="31"/>
        <v>153.4330119</v>
      </c>
      <c r="I133" s="5">
        <f t="shared" si="32"/>
        <v>1065.322075</v>
      </c>
    </row>
    <row r="134">
      <c r="A134" s="3" t="s">
        <v>64</v>
      </c>
      <c r="B134" s="3" t="s">
        <v>460</v>
      </c>
      <c r="C134" s="5">
        <f>COUNTIFS(
  'Data averaged'!$A:$A,$B134,
  'Data averaged'!$D:$D,$A134,
  'Data averaged'!$W:$W,TRUE
)</f>
        <v>12</v>
      </c>
      <c r="D134" s="5">
        <f>AVERAGEIFS(
  'Data averaged'!$H:$H,
  'Data averaged'!$A:$A,$B134,
  'Data averaged'!$D:$D,$A134,
  'Data averaged'!$W:$W,TRUE
)</f>
        <v>906.125</v>
      </c>
      <c r="E134" s="5">
        <f>AVERAGEIFS(
  'Data averaged'!$N:$N,
  'Data averaged'!$A:$A,$B134,
  'Data averaged'!$D:$D,$A134,
  'Data averaged'!$W:$W,TRUE
)</f>
        <v>6.458333333</v>
      </c>
      <c r="F134" s="5">
        <f t="shared" si="30"/>
        <v>7.127419874</v>
      </c>
      <c r="G134" s="5">
        <f>AVERAGEIFS(
  'Data averaged'!$K:$K,
  'Data averaged'!$A:$A,$B134,
  'Data averaged'!$D:$D,$A134,
  'Data averaged'!$W:$W,TRUE
)*100</f>
        <v>13.15852597</v>
      </c>
      <c r="H134" s="5">
        <f t="shared" si="31"/>
        <v>84.98214688</v>
      </c>
      <c r="I134" s="5">
        <f t="shared" si="32"/>
        <v>1452.175579</v>
      </c>
    </row>
    <row r="135">
      <c r="A135" s="3" t="s">
        <v>102</v>
      </c>
      <c r="B135" s="3" t="s">
        <v>460</v>
      </c>
      <c r="C135" s="5">
        <f>COUNTIFS(
  'Data averaged'!$A:$A,$B135,
  'Data averaged'!$D:$D,$A135,
  'Data averaged'!$W:$W,TRUE
)</f>
        <v>12</v>
      </c>
      <c r="D135" s="5">
        <f>AVERAGEIFS(
  'Data averaged'!$H:$H,
  'Data averaged'!$A:$A,$B135,
  'Data averaged'!$D:$D,$A135,
  'Data averaged'!$W:$W,TRUE
)</f>
        <v>936.5833333</v>
      </c>
      <c r="E135" s="5">
        <f>AVERAGEIFS(
  'Data averaged'!$N:$N,
  'Data averaged'!$A:$A,$B135,
  'Data averaged'!$D:$D,$A135,
  'Data averaged'!$W:$W,TRUE
)</f>
        <v>6.833333333</v>
      </c>
      <c r="F135" s="5">
        <f t="shared" si="30"/>
        <v>7.296022778</v>
      </c>
      <c r="G135" s="5">
        <f>AVERAGEIFS(
  'Data averaged'!$K:$K,
  'Data averaged'!$A:$A,$B135,
  'Data averaged'!$D:$D,$A135,
  'Data averaged'!$W:$W,TRUE
)*100</f>
        <v>11.26691327</v>
      </c>
      <c r="H135" s="5">
        <f t="shared" si="31"/>
        <v>76.99057402</v>
      </c>
      <c r="I135" s="5">
        <f t="shared" si="32"/>
        <v>1202.98033</v>
      </c>
    </row>
    <row r="136">
      <c r="A136" s="3" t="s">
        <v>118</v>
      </c>
      <c r="B136" s="3" t="s">
        <v>460</v>
      </c>
      <c r="C136" s="5">
        <f>COUNTIFS(
  'Data averaged'!$A:$A,$B136,
  'Data averaged'!$D:$D,$A136,
  'Data averaged'!$W:$W,TRUE
)</f>
        <v>12</v>
      </c>
      <c r="D136" s="5">
        <f>AVERAGEIFS(
  'Data averaged'!$H:$H,
  'Data averaged'!$A:$A,$B136,
  'Data averaged'!$D:$D,$A136,
  'Data averaged'!$W:$W,TRUE
)</f>
        <v>1185.666667</v>
      </c>
      <c r="E136" s="5">
        <f>AVERAGEIFS(
  'Data averaged'!$N:$N,
  'Data averaged'!$A:$A,$B136,
  'Data averaged'!$D:$D,$A136,
  'Data averaged'!$W:$W,TRUE
)</f>
        <v>7.083333333</v>
      </c>
      <c r="F136" s="5">
        <f t="shared" si="30"/>
        <v>5.974135507</v>
      </c>
      <c r="G136" s="5">
        <f>AVERAGEIFS(
  'Data averaged'!$K:$K,
  'Data averaged'!$A:$A,$B136,
  'Data averaged'!$D:$D,$A136,
  'Data averaged'!$W:$W,TRUE
)*100</f>
        <v>14.79450569</v>
      </c>
      <c r="H136" s="5">
        <f t="shared" si="31"/>
        <v>104.7944153</v>
      </c>
      <c r="I136" s="5">
        <f t="shared" si="32"/>
        <v>1247.779508</v>
      </c>
    </row>
    <row r="138">
      <c r="A138" s="1" t="s">
        <v>3</v>
      </c>
    </row>
    <row r="139">
      <c r="A139" s="3" t="s">
        <v>24</v>
      </c>
      <c r="B139" s="3" t="s">
        <v>32</v>
      </c>
      <c r="C139" s="5">
        <f>COUNTIFS(
  'Data averaged'!$A:$A,$B139,
  'Data averaged'!$D:$D,$A139,
  'Data averaged'!$W:$W,TRUE
)</f>
        <v>12</v>
      </c>
      <c r="D139" s="5">
        <f>AVERAGEIFS(
  'Data averaged'!$H:$H,
  'Data averaged'!$A:$A,$B139,
  'Data averaged'!$D:$D,$A139,
  'Data averaged'!$W:$W,TRUE
)</f>
        <v>1195.354167</v>
      </c>
      <c r="E139" s="5">
        <f>AVERAGEIFS(
  'Data averaged'!$N:$N,
  'Data averaged'!$A:$A,$B139,
  'Data averaged'!$D:$D,$A139,
  'Data averaged'!$W:$W,TRUE
)</f>
        <v>4.041666667</v>
      </c>
      <c r="F139" s="5">
        <f t="shared" ref="F139:F144" si="33"> (E139/D139)*1000</f>
        <v>3.381145755</v>
      </c>
      <c r="G139" s="5">
        <f>AVERAGEIFS(
  'Data averaged'!$K:$K,
  'Data averaged'!$A:$A,$B139,
  'Data averaged'!$D:$D,$A139,
  'Data averaged'!$W:$W,TRUE
)*100</f>
        <v>12.75282597</v>
      </c>
      <c r="H139" s="5">
        <f t="shared" ref="H139:H144" si="34">G139*E139</f>
        <v>51.54267162</v>
      </c>
      <c r="I139" s="5">
        <f t="shared" ref="I139:I144" si="35">(G139/D139)*100000</f>
        <v>1066.865898</v>
      </c>
    </row>
    <row r="140">
      <c r="A140" s="3" t="s">
        <v>54</v>
      </c>
      <c r="B140" s="3" t="s">
        <v>32</v>
      </c>
      <c r="C140" s="5">
        <f>COUNTIFS(
  'Data averaged'!$A:$A,$B140,
  'Data averaged'!$D:$D,$A140,
  'Data averaged'!$W:$W,TRUE
)</f>
        <v>12</v>
      </c>
      <c r="D140" s="5">
        <f>AVERAGEIFS(
  'Data averaged'!$H:$H,
  'Data averaged'!$A:$A,$B140,
  'Data averaged'!$D:$D,$A140,
  'Data averaged'!$W:$W,TRUE
)</f>
        <v>1915.520833</v>
      </c>
      <c r="E140" s="5">
        <f>AVERAGEIFS(
  'Data averaged'!$N:$N,
  'Data averaged'!$A:$A,$B140,
  'Data averaged'!$D:$D,$A140,
  'Data averaged'!$W:$W,TRUE
)</f>
        <v>12.77083333</v>
      </c>
      <c r="F140" s="5">
        <f t="shared" si="33"/>
        <v>6.667029202</v>
      </c>
      <c r="G140" s="5">
        <f>AVERAGEIFS(
  'Data averaged'!$K:$K,
  'Data averaged'!$A:$A,$B140,
  'Data averaged'!$D:$D,$A140,
  'Data averaged'!$W:$W,TRUE
)*100</f>
        <v>16.28208912</v>
      </c>
      <c r="H140" s="5">
        <f t="shared" si="34"/>
        <v>207.9358465</v>
      </c>
      <c r="I140" s="5">
        <f t="shared" si="35"/>
        <v>850.0084593</v>
      </c>
    </row>
    <row r="141">
      <c r="A141" s="3" t="s">
        <v>72</v>
      </c>
      <c r="B141" s="3" t="s">
        <v>32</v>
      </c>
      <c r="C141" s="5">
        <f>COUNTIFS(
  'Data averaged'!$A:$A,$B141,
  'Data averaged'!$D:$D,$A141,
  'Data averaged'!$W:$W,TRUE
)</f>
        <v>12</v>
      </c>
      <c r="D141" s="5">
        <f>AVERAGEIFS(
  'Data averaged'!$H:$H,
  'Data averaged'!$A:$A,$B141,
  'Data averaged'!$D:$D,$A141,
  'Data averaged'!$W:$W,TRUE
)</f>
        <v>1699.305556</v>
      </c>
      <c r="E141" s="5">
        <f>AVERAGEIFS(
  'Data averaged'!$N:$N,
  'Data averaged'!$A:$A,$B141,
  'Data averaged'!$D:$D,$A141,
  'Data averaged'!$W:$W,TRUE
)</f>
        <v>8.881944444</v>
      </c>
      <c r="F141" s="5">
        <f t="shared" si="33"/>
        <v>5.226808337</v>
      </c>
      <c r="G141" s="5">
        <f>AVERAGEIFS(
  'Data averaged'!$K:$K,
  'Data averaged'!$A:$A,$B141,
  'Data averaged'!$D:$D,$A141,
  'Data averaged'!$W:$W,TRUE
)*100</f>
        <v>18.71750626</v>
      </c>
      <c r="H141" s="5">
        <f t="shared" si="34"/>
        <v>166.2478507</v>
      </c>
      <c r="I141" s="5">
        <f t="shared" si="35"/>
        <v>1101.479731</v>
      </c>
    </row>
    <row r="142">
      <c r="A142" s="3" t="s">
        <v>64</v>
      </c>
      <c r="B142" s="3" t="s">
        <v>32</v>
      </c>
      <c r="C142" s="5">
        <f>COUNTIFS(
  'Data averaged'!$A:$A,$B142,
  'Data averaged'!$D:$D,$A142,
  'Data averaged'!$W:$W,TRUE
)</f>
        <v>12</v>
      </c>
      <c r="D142" s="5">
        <f>AVERAGEIFS(
  'Data averaged'!$H:$H,
  'Data averaged'!$A:$A,$B142,
  'Data averaged'!$D:$D,$A142,
  'Data averaged'!$W:$W,TRUE
)</f>
        <v>986.1527778</v>
      </c>
      <c r="E142" s="5">
        <f>AVERAGEIFS(
  'Data averaged'!$N:$N,
  'Data averaged'!$A:$A,$B142,
  'Data averaged'!$D:$D,$A142,
  'Data averaged'!$W:$W,TRUE
)</f>
        <v>5.111111111</v>
      </c>
      <c r="F142" s="5">
        <f t="shared" si="33"/>
        <v>5.182879597</v>
      </c>
      <c r="G142" s="5">
        <f>AVERAGEIFS(
  'Data averaged'!$K:$K,
  'Data averaged'!$A:$A,$B142,
  'Data averaged'!$D:$D,$A142,
  'Data averaged'!$W:$W,TRUE
)*100</f>
        <v>11.3582295</v>
      </c>
      <c r="H142" s="5">
        <f t="shared" si="34"/>
        <v>58.05317299</v>
      </c>
      <c r="I142" s="5">
        <f t="shared" si="35"/>
        <v>1151.77179</v>
      </c>
    </row>
    <row r="143">
      <c r="A143" s="3" t="s">
        <v>102</v>
      </c>
      <c r="B143" s="3" t="s">
        <v>32</v>
      </c>
      <c r="C143" s="5">
        <f>COUNTIFS(
  'Data averaged'!$A:$A,$B143,
  'Data averaged'!$D:$D,$A143,
  'Data averaged'!$W:$W,TRUE
)</f>
        <v>12</v>
      </c>
      <c r="D143" s="5">
        <f>AVERAGEIFS(
  'Data averaged'!$H:$H,
  'Data averaged'!$A:$A,$B143,
  'Data averaged'!$D:$D,$A143,
  'Data averaged'!$W:$W,TRUE
)</f>
        <v>675.1666667</v>
      </c>
      <c r="E143" s="5">
        <f>AVERAGEIFS(
  'Data averaged'!$N:$N,
  'Data averaged'!$A:$A,$B143,
  'Data averaged'!$D:$D,$A143,
  'Data averaged'!$W:$W,TRUE
)</f>
        <v>2.666666667</v>
      </c>
      <c r="F143" s="5">
        <f t="shared" si="33"/>
        <v>3.949642064</v>
      </c>
      <c r="G143" s="5">
        <f>AVERAGEIFS(
  'Data averaged'!$K:$K,
  'Data averaged'!$A:$A,$B143,
  'Data averaged'!$D:$D,$A143,
  'Data averaged'!$W:$W,TRUE
)*100</f>
        <v>5.936222504</v>
      </c>
      <c r="H143" s="5">
        <f t="shared" si="34"/>
        <v>15.82992668</v>
      </c>
      <c r="I143" s="5">
        <f t="shared" si="35"/>
        <v>879.2232788</v>
      </c>
    </row>
    <row r="144">
      <c r="A144" s="3" t="s">
        <v>118</v>
      </c>
      <c r="B144" s="3" t="s">
        <v>32</v>
      </c>
      <c r="C144" s="5">
        <f>COUNTIFS(
  'Data averaged'!$A:$A,$B144,
  'Data averaged'!$D:$D,$A144,
  'Data averaged'!$W:$W,TRUE
)</f>
        <v>12</v>
      </c>
      <c r="D144" s="5">
        <f>AVERAGEIFS(
  'Data averaged'!$H:$H,
  'Data averaged'!$A:$A,$B144,
  'Data averaged'!$D:$D,$A144,
  'Data averaged'!$W:$W,TRUE
)</f>
        <v>979.6666667</v>
      </c>
      <c r="E144" s="5">
        <f>AVERAGEIFS(
  'Data averaged'!$N:$N,
  'Data averaged'!$A:$A,$B144,
  'Data averaged'!$D:$D,$A144,
  'Data averaged'!$W:$W,TRUE
)</f>
        <v>5.583333333</v>
      </c>
      <c r="F144" s="5">
        <f t="shared" si="33"/>
        <v>5.699217421</v>
      </c>
      <c r="G144" s="5">
        <f>AVERAGEIFS(
  'Data averaged'!$K:$K,
  'Data averaged'!$A:$A,$B144,
  'Data averaged'!$D:$D,$A144,
  'Data averaged'!$W:$W,TRUE
)*100</f>
        <v>17.9539143</v>
      </c>
      <c r="H144" s="5">
        <f t="shared" si="34"/>
        <v>100.2426882</v>
      </c>
      <c r="I144" s="5">
        <f t="shared" si="35"/>
        <v>1832.655424</v>
      </c>
    </row>
    <row r="180">
      <c r="A180" s="1"/>
      <c r="C180" s="6"/>
      <c r="D180" s="6"/>
      <c r="E180" s="6"/>
      <c r="F180" s="1"/>
    </row>
    <row r="187">
      <c r="A187"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75"/>
    <col customWidth="1" min="4" max="4" width="25.88"/>
    <col customWidth="1" min="5" max="5" width="23.75"/>
    <col customWidth="1" min="6" max="6" width="26.13"/>
    <col customWidth="1" min="7" max="7" width="22.88"/>
    <col customWidth="1" min="8" max="8" width="33.75"/>
  </cols>
  <sheetData>
    <row r="2">
      <c r="B2" s="3" t="s">
        <v>348</v>
      </c>
    </row>
    <row r="3">
      <c r="B3" s="6" t="s">
        <v>155</v>
      </c>
      <c r="C3" s="6" t="s">
        <v>156</v>
      </c>
      <c r="D3" s="6" t="s">
        <v>157</v>
      </c>
      <c r="E3" s="1" t="s">
        <v>550</v>
      </c>
      <c r="F3" s="3" t="s">
        <v>551</v>
      </c>
    </row>
    <row r="4">
      <c r="A4" s="3" t="s">
        <v>33</v>
      </c>
      <c r="B4" s="5">
        <f>COUNTIFS('Data Combined - all-runs'!$A:$A, A4, 'Data Combined - all-runs'!$C:$C, "Natural",'Data Combined - all-runs'!$B:$B, "Shared")</f>
        <v>48</v>
      </c>
      <c r="C4" s="5">
        <f>AVERAGEIFS('Data Combined - all-runs'!$H:$H, 'Data Combined - all-runs'!$A:$A, A4, 'Data Combined - all-runs'!$C:$C, "Natural",'Data Combined - all-runs'!$B:$B, "Shared")</f>
        <v>1686.270833</v>
      </c>
      <c r="D4" s="5">
        <f>AVERAGEIFS('Data Combined - all-runs'!$N:$N,'Data Combined - all-runs'!$A:$A, A4, 'Data Combined - all-runs'!$C:$C, "Natural",'Data Combined - all-runs'!$B:$B, "Shared")</f>
        <v>8.208333333</v>
      </c>
      <c r="E4" s="5">
        <f t="shared" ref="E4:E6" si="1"> (D4/C4)*1000</f>
        <v>4.867743171</v>
      </c>
      <c r="F4" s="3" t="s">
        <v>561</v>
      </c>
    </row>
    <row r="5">
      <c r="A5" s="3" t="s">
        <v>460</v>
      </c>
      <c r="B5" s="5">
        <f>COUNTIFS('Data Combined - all-runs'!$A:$A, A5, 'Data Combined - all-runs'!$C:$C, "Natural",'Data Combined - all-runs'!$B:$B, "Shared")</f>
        <v>42</v>
      </c>
      <c r="C5" s="5">
        <f>AVERAGEIFS('Data Combined - all-runs'!$H:$H, 'Data Combined - all-runs'!$A:$A, A5, 'Data Combined - all-runs'!$C:$C, "Natural",'Data Combined - all-runs'!$B:$B, "Shared")</f>
        <v>1642.119048</v>
      </c>
      <c r="D5" s="5">
        <f>AVERAGEIFS('Data Combined - all-runs'!$N:$N,'Data Combined - all-runs'!$A:$A, A5, 'Data Combined - all-runs'!$C:$C, "Natural",'Data Combined - all-runs'!$B:$B, "Shared")</f>
        <v>8.380952381</v>
      </c>
      <c r="E5" s="5">
        <f t="shared" si="1"/>
        <v>5.103742261</v>
      </c>
    </row>
    <row r="6">
      <c r="A6" s="3" t="s">
        <v>32</v>
      </c>
      <c r="B6" s="5">
        <f>COUNTIFS('Data Combined - all-runs'!$A:$A, A6, 'Data Combined - all-runs'!$C:$C, "Natural",'Data Combined - all-runs'!$B:$B, "Shared")</f>
        <v>90</v>
      </c>
      <c r="C6" s="5">
        <f>AVERAGEIFS('Data Combined - all-runs'!$H:$H, 'Data Combined - all-runs'!$A:$A, A6, 'Data Combined - all-runs'!$C:$C, "Natural",'Data Combined - all-runs'!$B:$B, "Shared")</f>
        <v>1979.233333</v>
      </c>
      <c r="D6" s="5">
        <f>AVERAGEIFS('Data Combined - all-runs'!$N:$N,'Data Combined - all-runs'!$A:$A, A6, 'Data Combined - all-runs'!$C:$C, "Natural",'Data Combined - all-runs'!$B:$B, "Shared")</f>
        <v>9.088888889</v>
      </c>
      <c r="E6" s="5">
        <f t="shared" si="1"/>
        <v>4.59212602</v>
      </c>
      <c r="F6" s="3" t="s">
        <v>568</v>
      </c>
    </row>
    <row r="8">
      <c r="A8" s="3" t="s">
        <v>21</v>
      </c>
      <c r="B8" s="5">
        <f>COUNTIFS('Data Combined - all-runs'!$A:$A, A8, 'Data Combined - all-runs'!$C:$C, "Natural",'Data Combined - all-runs'!$B:$B, "Shared")</f>
        <v>0</v>
      </c>
      <c r="C8" s="5" t="str">
        <f>AVERAGEIFS('Data Combined - all-runs'!$H:$H, 'Data Combined - all-runs'!$A:$A, A8, 'Data Combined - all-runs'!$C:$C, "Natural",'Data Combined - all-runs'!$B:$B, "Shared")</f>
        <v>#DIV/0!</v>
      </c>
      <c r="D8" s="5" t="str">
        <f>AVERAGEIFS('Data Combined - all-runs'!$N:$N,'Data Combined - all-runs'!$A:$A, A8, 'Data Combined - all-runs'!$C:$C, "Natural",'Data Combined - all-runs'!$B:$B, "Shared")</f>
        <v>#DIV/0!</v>
      </c>
      <c r="E8" s="5" t="str">
        <f> (D8/C8)*1000</f>
        <v>#DIV/0!</v>
      </c>
    </row>
    <row r="10">
      <c r="A10" s="3" t="s">
        <v>24</v>
      </c>
    </row>
    <row r="11">
      <c r="C11" s="6" t="s">
        <v>155</v>
      </c>
      <c r="D11" s="6" t="s">
        <v>156</v>
      </c>
      <c r="E11" s="6" t="s">
        <v>157</v>
      </c>
      <c r="F11" s="1" t="s">
        <v>550</v>
      </c>
    </row>
    <row r="12">
      <c r="B12" s="3" t="s">
        <v>33</v>
      </c>
      <c r="C12" s="5">
        <f>COUNTIFS('Data Combined - all-runs'!$A:$A, B12, 'Data Combined - all-runs'!$C:$C, "Natural",'Data Combined - all-runs'!$B:$B, "Shared", 'Data Combined - all-runs'!$D:$D, $A$10)</f>
        <v>12</v>
      </c>
      <c r="D12" s="5">
        <f>AVERAGEIFS('Data Combined - all-runs'!$H:$H, 'Data Combined - all-runs'!$A:$A, B12, 'Data Combined - all-runs'!$C:$C, "Natural",'Data Combined - all-runs'!$B:$B, "Shared", 'Data Combined - all-runs'!$D:$D, $A$10)</f>
        <v>1659.5</v>
      </c>
      <c r="E12" s="5">
        <f>AVERAGEIFS('Data Combined - all-runs'!$N:$N,'Data Combined - all-runs'!$A:$A, B12, 'Data Combined - all-runs'!$C:$C, "Natural",'Data Combined - all-runs'!$B:$B, "Shared", 'Data Combined - all-runs'!$D:$D, $A$10)</f>
        <v>5.5</v>
      </c>
      <c r="F12" s="5">
        <f t="shared" ref="F12:F14" si="2"> (E12/D12)*1000</f>
        <v>3.314251281</v>
      </c>
    </row>
    <row r="13">
      <c r="B13" s="3" t="s">
        <v>460</v>
      </c>
      <c r="C13" s="5">
        <f>COUNTIFS('Data Combined - all-runs'!$A:$A, B13, 'Data Combined - all-runs'!$C:$C, "Natural",'Data Combined - all-runs'!$B:$B, "Shared", 'Data Combined - all-runs'!$D:$D, $A$10)</f>
        <v>6</v>
      </c>
      <c r="D13" s="5">
        <f>AVERAGEIFS('Data Combined - all-runs'!$H:$H, 'Data Combined - all-runs'!$A:$A, B13, 'Data Combined - all-runs'!$C:$C, "Natural",'Data Combined - all-runs'!$B:$B, "Shared", 'Data Combined - all-runs'!$D:$D, $A$10)</f>
        <v>1403.666667</v>
      </c>
      <c r="E13" s="5">
        <f>AVERAGEIFS('Data Combined - all-runs'!$N:$N,'Data Combined - all-runs'!$A:$A, B13, 'Data Combined - all-runs'!$C:$C, "Natural",'Data Combined - all-runs'!$B:$B, "Shared", 'Data Combined - all-runs'!$D:$D, $A$10)</f>
        <v>5</v>
      </c>
      <c r="F13" s="5">
        <f t="shared" si="2"/>
        <v>3.562099264</v>
      </c>
    </row>
    <row r="14">
      <c r="B14" s="3" t="s">
        <v>32</v>
      </c>
      <c r="C14" s="5">
        <f>COUNTIFS('Data Combined - all-runs'!$A:$A, B14, 'Data Combined - all-runs'!$C:$C, "Natural",'Data Combined - all-runs'!$B:$B, "Shared", 'Data Combined - all-runs'!$D:$D, $A$10)</f>
        <v>24</v>
      </c>
      <c r="D14" s="5">
        <f>AVERAGEIFS('Data Combined - all-runs'!$H:$H, 'Data Combined - all-runs'!$A:$A, B14, 'Data Combined - all-runs'!$C:$C, "Natural",'Data Combined - all-runs'!$B:$B, "Shared", 'Data Combined - all-runs'!$D:$D, $A$10)</f>
        <v>1860.375</v>
      </c>
      <c r="E14" s="5">
        <f>AVERAGEIFS('Data Combined - all-runs'!$N:$N,'Data Combined - all-runs'!$A:$A, B14, 'Data Combined - all-runs'!$C:$C, "Natural",'Data Combined - all-runs'!$B:$B, "Shared", 'Data Combined - all-runs'!$D:$D, $A$10)</f>
        <v>7.416666667</v>
      </c>
      <c r="F14" s="5">
        <f t="shared" si="2"/>
        <v>3.986651437</v>
      </c>
    </row>
    <row r="16">
      <c r="B16" s="3" t="s">
        <v>21</v>
      </c>
      <c r="C16" s="5">
        <f>COUNTIFS('Data Combined - all-runs'!$A:$A, B16, 'Data Combined - all-runs'!$C:$C, "Natural",'Data Combined - all-runs'!$B:$B, "Shared", 'Data Combined - all-runs'!$D:$D, $A$10)</f>
        <v>0</v>
      </c>
      <c r="D16" s="5" t="str">
        <f>AVERAGEIFS('Data Combined - all-runs'!$H:$H, 'Data Combined - all-runs'!$A:$A, B16, 'Data Combined - all-runs'!$C:$C, "Natural",'Data Combined - all-runs'!$B:$B, "Shared", 'Data Combined - all-runs'!$D:$D, $A$10)</f>
        <v>#DIV/0!</v>
      </c>
      <c r="E16" s="5" t="str">
        <f>AVERAGEIFS('Data Combined - all-runs'!$N:$N,'Data Combined - all-runs'!$A:$A, B16, 'Data Combined - all-runs'!$C:$C, "Natural",'Data Combined - all-runs'!$B:$B, "Shared", 'Data Combined - all-runs'!$D:$D, $A$10)</f>
        <v>#DIV/0!</v>
      </c>
      <c r="F16" s="5" t="str">
        <f> (E16/D16)*1000</f>
        <v>#DIV/0!</v>
      </c>
    </row>
    <row r="18">
      <c r="A18" s="3" t="s">
        <v>54</v>
      </c>
    </row>
    <row r="19">
      <c r="C19" s="6" t="s">
        <v>155</v>
      </c>
      <c r="D19" s="6" t="s">
        <v>156</v>
      </c>
      <c r="E19" s="6" t="s">
        <v>157</v>
      </c>
      <c r="F19" s="1" t="s">
        <v>550</v>
      </c>
    </row>
    <row r="20">
      <c r="B20" s="3" t="s">
        <v>33</v>
      </c>
      <c r="C20" s="5">
        <f>COUNTIFS('Data Combined - all-runs'!$A:$A, B20, 'Data Combined - all-runs'!$C:$C, "Natural",'Data Combined - all-runs'!$B:$B, "Shared", 'Data Combined - all-runs'!$D:$D, $A$18)</f>
        <v>6</v>
      </c>
      <c r="D20" s="5">
        <f>AVERAGEIFS('Data Combined - all-runs'!$H:$H, 'Data Combined - all-runs'!$A:$A, B20, 'Data Combined - all-runs'!$C:$C, "Natural",'Data Combined - all-runs'!$B:$B, "Shared", 'Data Combined - all-runs'!$D:$D, $A$18)</f>
        <v>2039.833333</v>
      </c>
      <c r="E20" s="5">
        <f>AVERAGEIFS('Data Combined - all-runs'!$N:$N,'Data Combined - all-runs'!$A:$A, B20, 'Data Combined - all-runs'!$C:$C, "Natural",'Data Combined - all-runs'!$B:$B, "Shared", 'Data Combined - all-runs'!$D:$D, $A$18)</f>
        <v>12.16666667</v>
      </c>
      <c r="F20" s="5">
        <f t="shared" ref="F20:F22" si="3"> (E20/D20)*1000</f>
        <v>5.964539587</v>
      </c>
    </row>
    <row r="21">
      <c r="B21" s="3" t="s">
        <v>460</v>
      </c>
      <c r="C21" s="5">
        <f>COUNTIFS('Data Combined - all-runs'!$A:$A, B21, 'Data Combined - all-runs'!$C:$C, "Natural",'Data Combined - all-runs'!$B:$B, "Shared", 'Data Combined - all-runs'!$D:$D, $A$18)</f>
        <v>6</v>
      </c>
      <c r="D21" s="5">
        <f>AVERAGEIFS('Data Combined - all-runs'!$H:$H, 'Data Combined - all-runs'!$A:$A, B21, 'Data Combined - all-runs'!$C:$C, "Natural",'Data Combined - all-runs'!$B:$B, "Shared", 'Data Combined - all-runs'!$D:$D, $A$18)</f>
        <v>3054.333333</v>
      </c>
      <c r="E21" s="5">
        <f>AVERAGEIFS('Data Combined - all-runs'!$N:$N,'Data Combined - all-runs'!$A:$A, B21, 'Data Combined - all-runs'!$C:$C, "Natural",'Data Combined - all-runs'!$B:$B, "Shared", 'Data Combined - all-runs'!$D:$D, $A$18)</f>
        <v>16.33333333</v>
      </c>
      <c r="F21" s="5">
        <f t="shared" si="3"/>
        <v>5.347593583</v>
      </c>
    </row>
    <row r="22">
      <c r="B22" s="3" t="s">
        <v>32</v>
      </c>
      <c r="C22" s="5">
        <f>COUNTIFS('Data Combined - all-runs'!$A:$A, B22, 'Data Combined - all-runs'!$C:$C, "Natural",'Data Combined - all-runs'!$B:$B, "Shared", 'Data Combined - all-runs'!$D:$D, $A$18)</f>
        <v>24</v>
      </c>
      <c r="D22" s="5">
        <f>AVERAGEIFS('Data Combined - all-runs'!$H:$H, 'Data Combined - all-runs'!$A:$A, B22, 'Data Combined - all-runs'!$C:$C, "Natural",'Data Combined - all-runs'!$B:$B, "Shared", 'Data Combined - all-runs'!$D:$D, $A$18)</f>
        <v>2544.625</v>
      </c>
      <c r="E22" s="5">
        <f>AVERAGEIFS('Data Combined - all-runs'!$N:$N,'Data Combined - all-runs'!$A:$A, B22, 'Data Combined - all-runs'!$C:$C, "Natural",'Data Combined - all-runs'!$B:$B, "Shared", 'Data Combined - all-runs'!$D:$D, $A$18)</f>
        <v>13.79166667</v>
      </c>
      <c r="F22" s="5">
        <f t="shared" si="3"/>
        <v>5.419921075</v>
      </c>
    </row>
    <row r="24">
      <c r="B24" s="3" t="s">
        <v>21</v>
      </c>
      <c r="C24" s="5">
        <f>COUNTIFS('Data Combined - all-runs'!$A:$A, B24, 'Data Combined - all-runs'!$C:$C, "Natural",'Data Combined - all-runs'!$B:$B, "Shared", 'Data Combined - all-runs'!$D:$D, $A$18)</f>
        <v>0</v>
      </c>
      <c r="D24" s="5" t="str">
        <f>AVERAGEIFS('Data Combined - all-runs'!$H:$H, 'Data Combined - all-runs'!$A:$A, B24, 'Data Combined - all-runs'!$C:$C, "Natural",'Data Combined - all-runs'!$B:$B, "Shared", 'Data Combined - all-runs'!$D:$D, $A$18)</f>
        <v>#DIV/0!</v>
      </c>
      <c r="E24" s="5" t="str">
        <f>AVERAGEIFS('Data Combined - all-runs'!$N:$N,'Data Combined - all-runs'!$A:$A, B24, 'Data Combined - all-runs'!$C:$C, "Natural",'Data Combined - all-runs'!$B:$B, "Shared", 'Data Combined - all-runs'!$D:$D, $A$18)</f>
        <v>#DIV/0!</v>
      </c>
      <c r="F24" s="5" t="str">
        <f> (E24/D24)*1000</f>
        <v>#DIV/0!</v>
      </c>
    </row>
    <row r="26">
      <c r="A26" s="3" t="s">
        <v>72</v>
      </c>
    </row>
    <row r="27">
      <c r="C27" s="6" t="s">
        <v>155</v>
      </c>
      <c r="D27" s="6" t="s">
        <v>156</v>
      </c>
      <c r="E27" s="6" t="s">
        <v>157</v>
      </c>
      <c r="F27" s="1" t="s">
        <v>550</v>
      </c>
    </row>
    <row r="28">
      <c r="B28" s="3" t="s">
        <v>33</v>
      </c>
      <c r="C28" s="5">
        <f>COUNTIFS('Data Combined - all-runs'!$A:$A, B28, 'Data Combined - all-runs'!$C:$C, "Natural",'Data Combined - all-runs'!$B:$B, "Shared", 'Data Combined - all-runs'!$D:$D, $A$26)</f>
        <v>6</v>
      </c>
      <c r="D28" s="5">
        <f>AVERAGEIFS('Data Combined - all-runs'!$H:$H, 'Data Combined - all-runs'!$A:$A, B28, 'Data Combined - all-runs'!$C:$C, "Natural",'Data Combined - all-runs'!$B:$B, "Shared", 'Data Combined - all-runs'!$D:$D, $A$26)</f>
        <v>2822.5</v>
      </c>
      <c r="E28" s="5">
        <f>AVERAGEIFS('Data Combined - all-runs'!$N:$N,'Data Combined - all-runs'!$A:$A, B28, 'Data Combined - all-runs'!$C:$C, "Natural",'Data Combined - all-runs'!$B:$B, "Shared", 'Data Combined - all-runs'!$D:$D, $A$26)</f>
        <v>9.833333333</v>
      </c>
      <c r="F28" s="5">
        <f t="shared" ref="F28:F30" si="4"> (E28/D28)*1000</f>
        <v>3.483909064</v>
      </c>
    </row>
    <row r="29">
      <c r="B29" s="3" t="s">
        <v>460</v>
      </c>
      <c r="C29" s="5">
        <f>COUNTIFS('Data Combined - all-runs'!$A:$A, B29, 'Data Combined - all-runs'!$C:$C, "Natural",'Data Combined - all-runs'!$B:$B, "Shared", 'Data Combined - all-runs'!$D:$D, $A$26)</f>
        <v>6</v>
      </c>
      <c r="D29" s="5">
        <f>AVERAGEIFS('Data Combined - all-runs'!$H:$H, 'Data Combined - all-runs'!$A:$A, B29, 'Data Combined - all-runs'!$C:$C, "Natural",'Data Combined - all-runs'!$B:$B, "Shared", 'Data Combined - all-runs'!$D:$D, $A$26)</f>
        <v>2072.5</v>
      </c>
      <c r="E29" s="5">
        <f>AVERAGEIFS('Data Combined - all-runs'!$N:$N,'Data Combined - all-runs'!$A:$A, B29, 'Data Combined - all-runs'!$C:$C, "Natural",'Data Combined - all-runs'!$B:$B, "Shared", 'Data Combined - all-runs'!$D:$D, $A$26)</f>
        <v>9.333333333</v>
      </c>
      <c r="F29" s="5">
        <f t="shared" si="4"/>
        <v>4.503417772</v>
      </c>
    </row>
    <row r="30">
      <c r="B30" s="3" t="s">
        <v>32</v>
      </c>
      <c r="C30" s="5">
        <f>COUNTIFS('Data Combined - all-runs'!$A:$A, B30, 'Data Combined - all-runs'!$C:$C, "Natural",'Data Combined - all-runs'!$B:$B, "Shared", 'Data Combined - all-runs'!$D:$D, $A$26)</f>
        <v>20</v>
      </c>
      <c r="D30" s="5">
        <f>AVERAGEIFS('Data Combined - all-runs'!$H:$H, 'Data Combined - all-runs'!$A:$A, B30, 'Data Combined - all-runs'!$C:$C, "Natural",'Data Combined - all-runs'!$B:$B, "Shared", 'Data Combined - all-runs'!$D:$D, $A$26)</f>
        <v>2403.8</v>
      </c>
      <c r="E30" s="5">
        <f>AVERAGEIFS('Data Combined - all-runs'!$N:$N,'Data Combined - all-runs'!$A:$A, B30, 'Data Combined - all-runs'!$C:$C, "Natural",'Data Combined - all-runs'!$B:$B, "Shared", 'Data Combined - all-runs'!$D:$D, $A$26)</f>
        <v>10.25</v>
      </c>
      <c r="F30" s="5">
        <f t="shared" si="4"/>
        <v>4.26408187</v>
      </c>
    </row>
    <row r="32">
      <c r="B32" s="3" t="s">
        <v>21</v>
      </c>
      <c r="C32" s="5">
        <f>COUNTIFS('Data Combined - all-runs'!$A:$A, B32, 'Data Combined - all-runs'!$C:$C, "Natural",'Data Combined - all-runs'!$B:$B, "Shared", 'Data Combined - all-runs'!$D:$D, $A$26)</f>
        <v>0</v>
      </c>
      <c r="D32" s="5" t="str">
        <f>AVERAGEIFS('Data Combined - all-runs'!$H:$H, 'Data Combined - all-runs'!$A:$A, B32, 'Data Combined - all-runs'!$C:$C, "Natural",'Data Combined - all-runs'!$B:$B, "Shared", 'Data Combined - all-runs'!$D:$D, $A$26)</f>
        <v>#DIV/0!</v>
      </c>
      <c r="E32" s="5" t="str">
        <f>AVERAGEIFS('Data Combined - all-runs'!$N:$N,'Data Combined - all-runs'!$A:$A, B32, 'Data Combined - all-runs'!$C:$C, "Natural",'Data Combined - all-runs'!$B:$B, "Shared", 'Data Combined - all-runs'!$D:$D, $A$26)</f>
        <v>#DIV/0!</v>
      </c>
      <c r="F32" s="5" t="str">
        <f> (E32/D32)*1000</f>
        <v>#DIV/0!</v>
      </c>
    </row>
    <row r="35">
      <c r="A35" s="3" t="s">
        <v>64</v>
      </c>
    </row>
    <row r="36">
      <c r="C36" s="6" t="s">
        <v>155</v>
      </c>
      <c r="D36" s="6" t="s">
        <v>156</v>
      </c>
      <c r="E36" s="6" t="s">
        <v>157</v>
      </c>
      <c r="F36" s="1" t="s">
        <v>550</v>
      </c>
    </row>
    <row r="37">
      <c r="B37" s="3" t="s">
        <v>33</v>
      </c>
      <c r="C37" s="5">
        <f>COUNTIFS('Data Combined - all-runs'!$A:$A, B37, 'Data Combined - all-runs'!$C:$C, "Natural",'Data Combined - all-runs'!$B:$B, "Shared", 'Data Combined - all-runs'!$D:$D, $A$35)</f>
        <v>12</v>
      </c>
      <c r="D37" s="5">
        <f>AVERAGEIFS('Data Combined - all-runs'!$H:$H, 'Data Combined - all-runs'!$A:$A, B37, 'Data Combined - all-runs'!$C:$C, "Natural",'Data Combined - all-runs'!$B:$B, "Shared", 'Data Combined - all-runs'!$D:$D, $A$35)</f>
        <v>1697.666667</v>
      </c>
      <c r="E37" s="5">
        <f>AVERAGEIFS('Data Combined - all-runs'!$N:$N,'Data Combined - all-runs'!$A:$A, B37, 'Data Combined - all-runs'!$C:$C, "Natural",'Data Combined - all-runs'!$B:$B, "Shared", 'Data Combined - all-runs'!$D:$D, $A$35)</f>
        <v>10.33333333</v>
      </c>
      <c r="F37" s="5">
        <f t="shared" ref="F37:F39" si="5"> (E37/D37)*1000</f>
        <v>6.086785784</v>
      </c>
    </row>
    <row r="38">
      <c r="B38" s="3" t="s">
        <v>460</v>
      </c>
      <c r="C38" s="5">
        <f>COUNTIFS('Data Combined - all-runs'!$A:$A, B38, 'Data Combined - all-runs'!$C:$C, "Natural",'Data Combined - all-runs'!$B:$B, "Shared", 'Data Combined - all-runs'!$D:$D, $A$35)</f>
        <v>12</v>
      </c>
      <c r="D38" s="5">
        <f>AVERAGEIFS('Data Combined - all-runs'!$H:$H, 'Data Combined - all-runs'!$A:$A, B38, 'Data Combined - all-runs'!$C:$C, "Natural",'Data Combined - all-runs'!$B:$B, "Shared", 'Data Combined - all-runs'!$D:$D, $A$35)</f>
        <v>1298.916667</v>
      </c>
      <c r="E38" s="5">
        <f>AVERAGEIFS('Data Combined - all-runs'!$N:$N,'Data Combined - all-runs'!$A:$A, B38, 'Data Combined - all-runs'!$C:$C, "Natural",'Data Combined - all-runs'!$B:$B, "Shared", 'Data Combined - all-runs'!$D:$D, $A$35)</f>
        <v>8.583333333</v>
      </c>
      <c r="F38" s="5">
        <f t="shared" si="5"/>
        <v>6.608070828</v>
      </c>
    </row>
    <row r="39">
      <c r="B39" s="3" t="s">
        <v>32</v>
      </c>
      <c r="C39" s="5">
        <f>COUNTIFS('Data Combined - all-runs'!$A:$A, B39, 'Data Combined - all-runs'!$C:$C, "Natural",'Data Combined - all-runs'!$B:$B, "Shared", 'Data Combined - all-runs'!$D:$D, $A$35)</f>
        <v>10</v>
      </c>
      <c r="D39" s="5">
        <f>AVERAGEIFS('Data Combined - all-runs'!$H:$H, 'Data Combined - all-runs'!$A:$A, B39, 'Data Combined - all-runs'!$C:$C, "Natural",'Data Combined - all-runs'!$B:$B, "Shared", 'Data Combined - all-runs'!$D:$D, $A$35)</f>
        <v>1276.1</v>
      </c>
      <c r="E39" s="5">
        <f>AVERAGEIFS('Data Combined - all-runs'!$N:$N,'Data Combined - all-runs'!$A:$A, B39, 'Data Combined - all-runs'!$C:$C, "Natural",'Data Combined - all-runs'!$B:$B, "Shared", 'Data Combined - all-runs'!$D:$D, $A$35)</f>
        <v>4.1</v>
      </c>
      <c r="F39" s="5">
        <f t="shared" si="5"/>
        <v>3.212914348</v>
      </c>
    </row>
    <row r="41">
      <c r="B41" s="3" t="s">
        <v>21</v>
      </c>
      <c r="C41" s="5">
        <f>COUNTIFS('Data Combined - all-runs'!$A:$A, B41, 'Data Combined - all-runs'!$C:$C, "Natural",'Data Combined - all-runs'!$B:$B, "Shared", 'Data Combined - all-runs'!$D:$D, $A$35)</f>
        <v>0</v>
      </c>
      <c r="D41" s="5" t="str">
        <f>AVERAGEIFS('Data Combined - all-runs'!$H:$H, 'Data Combined - all-runs'!$A:$A, B41, 'Data Combined - all-runs'!$C:$C, "Natural",'Data Combined - all-runs'!$B:$B, "Shared", 'Data Combined - all-runs'!$D:$D, $A$35)</f>
        <v>#DIV/0!</v>
      </c>
      <c r="E41" s="5" t="str">
        <f>AVERAGEIFS('Data Combined - all-runs'!$N:$N,'Data Combined - all-runs'!$A:$A, B41, 'Data Combined - all-runs'!$C:$C, "Natural",'Data Combined - all-runs'!$B:$B, "Shared", 'Data Combined - all-runs'!$D:$D, $A$35)</f>
        <v>#DIV/0!</v>
      </c>
      <c r="F41" s="5" t="str">
        <f> (E41/D41)*1000</f>
        <v>#DIV/0!</v>
      </c>
    </row>
    <row r="43">
      <c r="A43" s="3" t="s">
        <v>102</v>
      </c>
    </row>
    <row r="44">
      <c r="C44" s="6" t="s">
        <v>155</v>
      </c>
      <c r="D44" s="6" t="s">
        <v>156</v>
      </c>
      <c r="E44" s="6" t="s">
        <v>157</v>
      </c>
      <c r="F44" s="1" t="s">
        <v>550</v>
      </c>
    </row>
    <row r="45">
      <c r="B45" s="3" t="s">
        <v>33</v>
      </c>
      <c r="C45" s="5">
        <f>COUNTIFS('Data Combined - all-runs'!$A:$A, B45, 'Data Combined - all-runs'!$C:$C, "Natural",'Data Combined - all-runs'!$B:$B, "Shared", 'Data Combined - all-runs'!$D:$D, $A$43)</f>
        <v>6</v>
      </c>
      <c r="D45" s="5">
        <f>AVERAGEIFS('Data Combined - all-runs'!$H:$H, 'Data Combined - all-runs'!$A:$A, B45, 'Data Combined - all-runs'!$C:$C, "Natural",'Data Combined - all-runs'!$B:$B, "Shared", 'Data Combined - all-runs'!$D:$D, $A$43)</f>
        <v>633.5</v>
      </c>
      <c r="E45" s="5">
        <f>AVERAGEIFS('Data Combined - all-runs'!$N:$N,'Data Combined - all-runs'!$A:$A, B45, 'Data Combined - all-runs'!$C:$C, "Natural",'Data Combined - all-runs'!$B:$B, "Shared", 'Data Combined - all-runs'!$D:$D, $A$43)</f>
        <v>4.333333333</v>
      </c>
      <c r="F45" s="5">
        <f t="shared" ref="F45:F47" si="6"> (E45/D45)*1000</f>
        <v>6.840305183</v>
      </c>
    </row>
    <row r="46">
      <c r="B46" s="3" t="s">
        <v>460</v>
      </c>
      <c r="C46" s="5">
        <f>COUNTIFS('Data Combined - all-runs'!$A:$A, B46, 'Data Combined - all-runs'!$C:$C, "Natural",'Data Combined - all-runs'!$B:$B, "Shared", 'Data Combined - all-runs'!$D:$D, $A$43)</f>
        <v>6</v>
      </c>
      <c r="D46" s="5">
        <f>AVERAGEIFS('Data Combined - all-runs'!$H:$H, 'Data Combined - all-runs'!$A:$A, B46, 'Data Combined - all-runs'!$C:$C, "Natural",'Data Combined - all-runs'!$B:$B, "Shared", 'Data Combined - all-runs'!$D:$D, $A$43)</f>
        <v>917.3333333</v>
      </c>
      <c r="E46" s="5">
        <f>AVERAGEIFS('Data Combined - all-runs'!$N:$N,'Data Combined - all-runs'!$A:$A, B46, 'Data Combined - all-runs'!$C:$C, "Natural",'Data Combined - all-runs'!$B:$B, "Shared", 'Data Combined - all-runs'!$D:$D, $A$43)</f>
        <v>4.666666667</v>
      </c>
      <c r="F46" s="5">
        <f t="shared" si="6"/>
        <v>5.087209302</v>
      </c>
    </row>
    <row r="47">
      <c r="B47" s="3" t="s">
        <v>32</v>
      </c>
      <c r="C47" s="5">
        <f>COUNTIFS('Data Combined - all-runs'!$A:$A, B47, 'Data Combined - all-runs'!$C:$C, "Natural",'Data Combined - all-runs'!$B:$B, "Shared", 'Data Combined - all-runs'!$D:$D, $A$43)</f>
        <v>6</v>
      </c>
      <c r="D47" s="5">
        <f>AVERAGEIFS('Data Combined - all-runs'!$H:$H, 'Data Combined - all-runs'!$A:$A, B47, 'Data Combined - all-runs'!$C:$C, "Natural",'Data Combined - all-runs'!$B:$B, "Shared", 'Data Combined - all-runs'!$D:$D, $A$43)</f>
        <v>850.3333333</v>
      </c>
      <c r="E47" s="5">
        <f>AVERAGEIFS('Data Combined - all-runs'!$N:$N,'Data Combined - all-runs'!$A:$A, B47, 'Data Combined - all-runs'!$C:$C, "Natural",'Data Combined - all-runs'!$B:$B, "Shared", 'Data Combined - all-runs'!$D:$D, $A$43)</f>
        <v>5.333333333</v>
      </c>
      <c r="F47" s="5">
        <f t="shared" si="6"/>
        <v>6.272050176</v>
      </c>
    </row>
    <row r="49">
      <c r="B49" s="3" t="s">
        <v>21</v>
      </c>
      <c r="C49" s="5">
        <f>COUNTIFS('Data Combined - all-runs'!$A:$A, B49, 'Data Combined - all-runs'!$C:$C, "Natural",'Data Combined - all-runs'!$B:$B, "Shared", 'Data Combined - all-runs'!$D:$D, $A$43)</f>
        <v>0</v>
      </c>
      <c r="D49" s="5" t="str">
        <f>AVERAGEIFS('Data Combined - all-runs'!$H:$H, 'Data Combined - all-runs'!$A:$A, B49, 'Data Combined - all-runs'!$C:$C, "Natural",'Data Combined - all-runs'!$B:$B, "Shared", 'Data Combined - all-runs'!$D:$D, $A$43)</f>
        <v>#DIV/0!</v>
      </c>
      <c r="E49" s="5" t="str">
        <f>AVERAGEIFS('Data Combined - all-runs'!$N:$N,'Data Combined - all-runs'!$A:$A, B49, 'Data Combined - all-runs'!$C:$C, "Natural",'Data Combined - all-runs'!$B:$B, "Shared", 'Data Combined - all-runs'!$D:$D, $A$43)</f>
        <v>#DIV/0!</v>
      </c>
      <c r="F49" s="5" t="str">
        <f> (E49/D49)*1000</f>
        <v>#DIV/0!</v>
      </c>
    </row>
    <row r="51">
      <c r="A51" s="3" t="s">
        <v>118</v>
      </c>
    </row>
    <row r="52">
      <c r="C52" s="6" t="s">
        <v>155</v>
      </c>
      <c r="D52" s="6" t="s">
        <v>156</v>
      </c>
      <c r="E52" s="6" t="s">
        <v>157</v>
      </c>
      <c r="F52" s="1" t="s">
        <v>550</v>
      </c>
    </row>
    <row r="53">
      <c r="B53" s="3" t="s">
        <v>33</v>
      </c>
      <c r="C53" s="5">
        <f>COUNTIFS('Data Combined - all-runs'!$A:$A, B53, 'Data Combined - all-runs'!$C:$C, "Natural",'Data Combined - all-runs'!$B:$B, "Shared", 'Data Combined - all-runs'!$D:$D, $A$51)</f>
        <v>6</v>
      </c>
      <c r="D53" s="5">
        <f>AVERAGEIFS('Data Combined - all-runs'!$H:$H, 'Data Combined - all-runs'!$A:$A, B53, 'Data Combined - all-runs'!$C:$C, "Natural",'Data Combined - all-runs'!$B:$B, "Shared", 'Data Combined - all-runs'!$D:$D, $A$51)</f>
        <v>1280</v>
      </c>
      <c r="E53" s="5">
        <f>AVERAGEIFS('Data Combined - all-runs'!$N:$N,'Data Combined - all-runs'!$A:$A, B53, 'Data Combined - all-runs'!$C:$C, "Natural",'Data Combined - all-runs'!$B:$B, "Shared", 'Data Combined - all-runs'!$D:$D, $A$51)</f>
        <v>7.666666667</v>
      </c>
      <c r="F53" s="5">
        <f t="shared" ref="F53:F55" si="7"> (E53/D53)*1000</f>
        <v>5.989583333</v>
      </c>
    </row>
    <row r="54">
      <c r="B54" s="3" t="s">
        <v>460</v>
      </c>
      <c r="C54" s="5">
        <f>COUNTIFS('Data Combined - all-runs'!$A:$A, B54, 'Data Combined - all-runs'!$C:$C, "Natural",'Data Combined - all-runs'!$B:$B, "Shared", 'Data Combined - all-runs'!$D:$D, $A$51)</f>
        <v>6</v>
      </c>
      <c r="D54" s="5">
        <f>AVERAGEIFS('Data Combined - all-runs'!$H:$H, 'Data Combined - all-runs'!$A:$A, B54, 'Data Combined - all-runs'!$C:$C, "Natural",'Data Combined - all-runs'!$B:$B, "Shared", 'Data Combined - all-runs'!$D:$D, $A$51)</f>
        <v>1449.166667</v>
      </c>
      <c r="E54" s="5">
        <f>AVERAGEIFS('Data Combined - all-runs'!$N:$N,'Data Combined - all-runs'!$A:$A, B54, 'Data Combined - all-runs'!$C:$C, "Natural",'Data Combined - all-runs'!$B:$B, "Shared", 'Data Combined - all-runs'!$D:$D, $A$51)</f>
        <v>6.166666667</v>
      </c>
      <c r="F54" s="5">
        <f t="shared" si="7"/>
        <v>4.255319149</v>
      </c>
    </row>
    <row r="55">
      <c r="B55" s="3" t="s">
        <v>32</v>
      </c>
      <c r="C55" s="5">
        <f>COUNTIFS('Data Combined - all-runs'!$A:$A, B55, 'Data Combined - all-runs'!$C:$C, "Natural",'Data Combined - all-runs'!$B:$B, "Shared", 'Data Combined - all-runs'!$D:$D, $A$51)</f>
        <v>6</v>
      </c>
      <c r="D55" s="5">
        <f>AVERAGEIFS('Data Combined - all-runs'!$H:$H, 'Data Combined - all-runs'!$A:$A, B55, 'Data Combined - all-runs'!$C:$C, "Natural",'Data Combined - all-runs'!$B:$B, "Shared", 'Data Combined - all-runs'!$D:$D, $A$51)</f>
        <v>1078.666667</v>
      </c>
      <c r="E55" s="5">
        <f>AVERAGEIFS('Data Combined - all-runs'!$N:$N,'Data Combined - all-runs'!$A:$A, B55, 'Data Combined - all-runs'!$C:$C, "Natural",'Data Combined - all-runs'!$B:$B, "Shared", 'Data Combined - all-runs'!$D:$D, $A$51)</f>
        <v>5.166666667</v>
      </c>
      <c r="F55" s="5">
        <f t="shared" si="7"/>
        <v>4.78986403</v>
      </c>
    </row>
    <row r="57">
      <c r="B57" s="3" t="s">
        <v>21</v>
      </c>
      <c r="C57" s="5">
        <f>COUNTIFS('Data Combined - all-runs'!$A:$A, B57, 'Data Combined - all-runs'!$C:$C, "Natural",'Data Combined - all-runs'!$B:$B, "Shared", 'Data Combined - all-runs'!$D:$D, $A$51)</f>
        <v>0</v>
      </c>
      <c r="D57" s="5" t="str">
        <f>AVERAGEIFS('Data Combined - all-runs'!$H:$H, 'Data Combined - all-runs'!$A:$A, B57, 'Data Combined - all-runs'!$C:$C, "Natural",'Data Combined - all-runs'!$B:$B, "Shared", 'Data Combined - all-runs'!$D:$D, $A$51)</f>
        <v>#DIV/0!</v>
      </c>
      <c r="E57" s="5" t="str">
        <f>AVERAGEIFS('Data Combined - all-runs'!$N:$N,'Data Combined - all-runs'!$A:$A, B57, 'Data Combined - all-runs'!$C:$C, "Natural",'Data Combined - all-runs'!$B:$B, "Shared", 'Data Combined - all-runs'!$D:$D, $A$51)</f>
        <v>#DIV/0!</v>
      </c>
      <c r="F57" s="5" t="str">
        <f> (E57/D57)*1000</f>
        <v>#DIV/0!</v>
      </c>
    </row>
    <row r="61">
      <c r="A61" s="1" t="s">
        <v>3</v>
      </c>
      <c r="C61" s="6" t="s">
        <v>155</v>
      </c>
      <c r="D61" s="6" t="s">
        <v>156</v>
      </c>
      <c r="E61" s="6" t="s">
        <v>157</v>
      </c>
      <c r="F61" s="1" t="s">
        <v>550</v>
      </c>
    </row>
    <row r="62">
      <c r="A62" s="3" t="s">
        <v>24</v>
      </c>
      <c r="B62" s="3" t="s">
        <v>33</v>
      </c>
      <c r="C62" s="5">
        <f>COUNTIFS('Data Combined - all-runs'!$A:$A, B62, 'Data Combined - all-runs'!$C:$C, "Natural",'Data Combined - all-runs'!$B:$B, "Shared", 'Data Combined - all-runs'!$D:$D, $A$18)</f>
        <v>6</v>
      </c>
      <c r="D62" s="5">
        <f>AVERAGEIFS('Data Combined - all-runs'!$H:$H, 'Data Combined - all-runs'!$A:$A, B62, 'Data Combined - all-runs'!$C:$C, "Natural",'Data Combined - all-runs'!$B:$B, "Shared", 'Data Combined - all-runs'!$D:$D, A62)</f>
        <v>1659.5</v>
      </c>
      <c r="E62" s="5">
        <f>AVERAGEIFS('Data Combined - all-runs'!$N:$N,'Data Combined - all-runs'!$A:$A, B62, 'Data Combined - all-runs'!$C:$C, "Natural",'Data Combined - all-runs'!$B:$B, "Shared", 'Data Combined - all-runs'!$D:$D, A62)</f>
        <v>5.5</v>
      </c>
      <c r="F62" s="5">
        <f t="shared" ref="F62:F63" si="8"> (E62/D62)*1000</f>
        <v>3.314251281</v>
      </c>
    </row>
    <row r="63">
      <c r="A63" s="3" t="s">
        <v>54</v>
      </c>
      <c r="B63" s="3" t="s">
        <v>33</v>
      </c>
      <c r="C63" s="5">
        <f>COUNTIFS('Data Combined - all-runs'!$A:$A, B63, 'Data Combined - all-runs'!$C:$C, "Natural",'Data Combined - all-runs'!$B:$B, "Shared", 'Data Combined - all-runs'!$D:$D, A63)</f>
        <v>6</v>
      </c>
      <c r="D63" s="5">
        <f>AVERAGEIFS('Data Combined - all-runs'!$H:$H, 'Data Combined - all-runs'!$A:$A, B63, 'Data Combined - all-runs'!$C:$C, "Natural",'Data Combined - all-runs'!$B:$B, "Shared", 'Data Combined - all-runs'!$D:$D, A63)</f>
        <v>2039.833333</v>
      </c>
      <c r="E63" s="5">
        <f>AVERAGEIFS('Data Combined - all-runs'!$N:$N,'Data Combined - all-runs'!$A:$A, B63, 'Data Combined - all-runs'!$C:$C, "Natural",'Data Combined - all-runs'!$B:$B, "Shared", 'Data Combined - all-runs'!$D:$D, A63)</f>
        <v>12.16666667</v>
      </c>
      <c r="F63" s="5">
        <f t="shared" si="8"/>
        <v>5.964539587</v>
      </c>
    </row>
    <row r="64">
      <c r="A64" s="3" t="s">
        <v>72</v>
      </c>
      <c r="B64" s="3" t="s">
        <v>33</v>
      </c>
      <c r="C64" s="5">
        <f>COUNTIFS('Data Combined - all-runs'!$A:$A, B64, 'Data Combined - all-runs'!$C:$C, "Natural",'Data Combined - all-runs'!$B:$B, "Shared", 'Data Combined - all-runs'!$D:$D, $A$26)</f>
        <v>6</v>
      </c>
      <c r="D64" s="5">
        <f>AVERAGEIFS('Data Combined - all-runs'!$H:$H, 'Data Combined - all-runs'!$A:$A, B64, 'Data Combined - all-runs'!$C:$C, "Natural",'Data Combined - all-runs'!$B:$B, "Shared", 'Data Combined - all-runs'!$D:$D, $A$26)</f>
        <v>2822.5</v>
      </c>
      <c r="F64" s="5">
        <f> (E63/D64)*1000</f>
        <v>4.31059935</v>
      </c>
    </row>
    <row r="65">
      <c r="A65" s="3" t="s">
        <v>64</v>
      </c>
      <c r="B65" s="3" t="s">
        <v>33</v>
      </c>
      <c r="C65" s="5">
        <f>COUNTIFS('Data Combined - all-runs'!$A:$A, B65, 'Data Combined - all-runs'!$C:$C, "Natural",'Data Combined - all-runs'!$B:$B, "Shared", 'Data Combined - all-runs'!$D:$D, $A$35)</f>
        <v>12</v>
      </c>
      <c r="D65" s="5">
        <f>AVERAGEIFS('Data Combined - all-runs'!$H:$H, 'Data Combined - all-runs'!$A:$A, B65, 'Data Combined - all-runs'!$C:$C, "Natural",'Data Combined - all-runs'!$B:$B, "Shared", 'Data Combined - all-runs'!$D:$D, $A$35)</f>
        <v>1697.666667</v>
      </c>
      <c r="E65" s="5">
        <f>AVERAGEIFS('Data Combined - all-runs'!$N:$N,'Data Combined - all-runs'!$A:$A, B65, 'Data Combined - all-runs'!$C:$C, "Natural",'Data Combined - all-runs'!$B:$B, "Shared", 'Data Combined - all-runs'!$D:$D, $A$35)</f>
        <v>10.33333333</v>
      </c>
      <c r="F65" s="5">
        <f t="shared" ref="F65:F67" si="9"> (E65/D65)*1000</f>
        <v>6.086785784</v>
      </c>
    </row>
    <row r="66">
      <c r="A66" s="3" t="s">
        <v>102</v>
      </c>
      <c r="B66" s="3" t="s">
        <v>33</v>
      </c>
      <c r="C66" s="5">
        <f>COUNTIFS('Data Combined - all-runs'!$A:$A, B66, 'Data Combined - all-runs'!$C:$C, "Natural",'Data Combined - all-runs'!$B:$B, "Shared", 'Data Combined - all-runs'!$D:$D, $A$43)</f>
        <v>6</v>
      </c>
      <c r="D66" s="5">
        <f>AVERAGEIFS('Data Combined - all-runs'!$H:$H, 'Data Combined - all-runs'!$A:$A, B66, 'Data Combined - all-runs'!$C:$C, "Natural",'Data Combined - all-runs'!$B:$B, "Shared", 'Data Combined - all-runs'!$D:$D, $A$43)</f>
        <v>633.5</v>
      </c>
      <c r="E66" s="5">
        <f>AVERAGEIFS('Data Combined - all-runs'!$N:$N,'Data Combined - all-runs'!$A:$A, B66, 'Data Combined - all-runs'!$C:$C, "Natural",'Data Combined - all-runs'!$B:$B, "Shared", 'Data Combined - all-runs'!$D:$D, $A$43)</f>
        <v>4.333333333</v>
      </c>
      <c r="F66" s="5">
        <f t="shared" si="9"/>
        <v>6.840305183</v>
      </c>
    </row>
    <row r="67">
      <c r="A67" s="3" t="s">
        <v>118</v>
      </c>
      <c r="B67" s="3" t="s">
        <v>33</v>
      </c>
      <c r="C67" s="5">
        <f>COUNTIFS('Data Combined - all-runs'!$A:$A, B67, 'Data Combined - all-runs'!$C:$C, "Natural",'Data Combined - all-runs'!$B:$B, "Shared", 'Data Combined - all-runs'!$D:$D, $A$51)</f>
        <v>6</v>
      </c>
      <c r="D67" s="5">
        <f>AVERAGEIFS('Data Combined - all-runs'!$H:$H, 'Data Combined - all-runs'!$A:$A, B67, 'Data Combined - all-runs'!$C:$C, "Natural",'Data Combined - all-runs'!$B:$B, "Shared", 'Data Combined - all-runs'!$D:$D, $A$51)</f>
        <v>1280</v>
      </c>
      <c r="E67" s="5">
        <f>AVERAGEIFS('Data Combined - all-runs'!$N:$N,'Data Combined - all-runs'!$A:$A, B67, 'Data Combined - all-runs'!$C:$C, "Natural",'Data Combined - all-runs'!$B:$B, "Shared", 'Data Combined - all-runs'!$D:$D, $A$51)</f>
        <v>7.666666667</v>
      </c>
      <c r="F67" s="5">
        <f t="shared" si="9"/>
        <v>5.989583333</v>
      </c>
    </row>
    <row r="68">
      <c r="A68" s="1" t="s">
        <v>3</v>
      </c>
    </row>
    <row r="69">
      <c r="A69" s="3" t="s">
        <v>24</v>
      </c>
      <c r="B69" s="3" t="s">
        <v>460</v>
      </c>
      <c r="C69" s="5">
        <f>COUNTIFS('Data Combined - all-runs'!$A:$A, B69, 'Data Combined - all-runs'!$C:$C, "Natural",'Data Combined - all-runs'!$B:$B, "Shared", 'Data Combined - all-runs'!$D:$D, $A$10)</f>
        <v>6</v>
      </c>
      <c r="D69" s="5">
        <f>AVERAGEIFS('Data Combined - all-runs'!$H:$H, 'Data Combined - all-runs'!$A:$A, B69, 'Data Combined - all-runs'!$C:$C, "Natural",'Data Combined - all-runs'!$B:$B, "Shared", 'Data Combined - all-runs'!$D:$D, $A$10)</f>
        <v>1403.666667</v>
      </c>
      <c r="E69" s="5">
        <f>AVERAGEIFS('Data Combined - all-runs'!$N:$N,'Data Combined - all-runs'!$A:$A, B69, 'Data Combined - all-runs'!$C:$C, "Natural",'Data Combined - all-runs'!$B:$B, "Shared", 'Data Combined - all-runs'!$D:$D, $A$10)</f>
        <v>5</v>
      </c>
      <c r="F69" s="5">
        <f t="shared" ref="F69:F74" si="10"> (E69/D69)*1000</f>
        <v>3.562099264</v>
      </c>
    </row>
    <row r="70">
      <c r="A70" s="3" t="s">
        <v>54</v>
      </c>
      <c r="B70" s="3" t="s">
        <v>460</v>
      </c>
      <c r="C70" s="5">
        <f>COUNTIFS('Data Combined - all-runs'!$A:$A, B70, 'Data Combined - all-runs'!$C:$C, "Natural",'Data Combined - all-runs'!$B:$B, "Shared", 'Data Combined - all-runs'!$D:$D, A70)</f>
        <v>6</v>
      </c>
      <c r="D70" s="5">
        <f>AVERAGEIFS('Data Combined - all-runs'!$H:$H, 'Data Combined - all-runs'!$A:$A, B70, 'Data Combined - all-runs'!$C:$C, "Natural",'Data Combined - all-runs'!$B:$B, "Shared", 'Data Combined - all-runs'!$D:$D, A70)</f>
        <v>3054.333333</v>
      </c>
      <c r="E70" s="5">
        <f>AVERAGEIFS('Data Combined - all-runs'!$N:$N,'Data Combined - all-runs'!$A:$A, B70, 'Data Combined - all-runs'!$C:$C, "Natural",'Data Combined - all-runs'!$B:$B, "Shared", 'Data Combined - all-runs'!$D:$D, A70)</f>
        <v>16.33333333</v>
      </c>
      <c r="F70" s="5">
        <f t="shared" si="10"/>
        <v>5.347593583</v>
      </c>
    </row>
    <row r="71">
      <c r="A71" s="3" t="s">
        <v>72</v>
      </c>
      <c r="B71" s="3" t="s">
        <v>460</v>
      </c>
      <c r="C71" s="5">
        <f>COUNTIFS('Data Combined - all-runs'!$A:$A, B71, 'Data Combined - all-runs'!$C:$C, "Natural",'Data Combined - all-runs'!$B:$B, "Shared", 'Data Combined - all-runs'!$D:$D, $A$18)</f>
        <v>6</v>
      </c>
      <c r="D71" s="5">
        <f>AVERAGEIFS('Data Combined - all-runs'!$H:$H, 'Data Combined - all-runs'!$A:$A, B71, 'Data Combined - all-runs'!$C:$C, "Natural",'Data Combined - all-runs'!$B:$B, "Shared", 'Data Combined - all-runs'!$D:$D, $A$18)</f>
        <v>3054.333333</v>
      </c>
      <c r="E71" s="5">
        <f>AVERAGEIFS('Data Combined - all-runs'!$N:$N,'Data Combined - all-runs'!$A:$A, B71, 'Data Combined - all-runs'!$C:$C, "Natural",'Data Combined - all-runs'!$B:$B, "Shared", 'Data Combined - all-runs'!$D:$D, $A$18)</f>
        <v>16.33333333</v>
      </c>
      <c r="F71" s="5">
        <f t="shared" si="10"/>
        <v>5.347593583</v>
      </c>
    </row>
    <row r="72">
      <c r="A72" s="3" t="s">
        <v>64</v>
      </c>
      <c r="B72" s="3" t="s">
        <v>460</v>
      </c>
      <c r="C72" s="5">
        <f>COUNTIFS('Data Combined - all-runs'!$A:$A, B72, 'Data Combined - all-runs'!$C:$C, "Natural",'Data Combined - all-runs'!$B:$B, "Shared", 'Data Combined - all-runs'!$D:$D, $A$26)</f>
        <v>6</v>
      </c>
      <c r="D72" s="5">
        <f>AVERAGEIFS('Data Combined - all-runs'!$H:$H, 'Data Combined - all-runs'!$A:$A, B72, 'Data Combined - all-runs'!$C:$C, "Natural",'Data Combined - all-runs'!$B:$B, "Shared", 'Data Combined - all-runs'!$D:$D, $A$26)</f>
        <v>2072.5</v>
      </c>
      <c r="E72" s="5">
        <f>AVERAGEIFS('Data Combined - all-runs'!$N:$N,'Data Combined - all-runs'!$A:$A, B72, 'Data Combined - all-runs'!$C:$C, "Natural",'Data Combined - all-runs'!$B:$B, "Shared", 'Data Combined - all-runs'!$D:$D, $A$26)</f>
        <v>9.333333333</v>
      </c>
      <c r="F72" s="5">
        <f t="shared" si="10"/>
        <v>4.503417772</v>
      </c>
    </row>
    <row r="73">
      <c r="A73" s="3" t="s">
        <v>102</v>
      </c>
      <c r="B73" s="3" t="s">
        <v>460</v>
      </c>
      <c r="C73" s="5">
        <f>COUNTIFS('Data Combined - all-runs'!$A:$A, B73, 'Data Combined - all-runs'!$C:$C, "Natural",'Data Combined - all-runs'!$B:$B, "Shared", 'Data Combined - all-runs'!$D:$D, $A$35)</f>
        <v>12</v>
      </c>
      <c r="D73" s="5">
        <f>AVERAGEIFS('Data Combined - all-runs'!$H:$H, 'Data Combined - all-runs'!$A:$A, B73, 'Data Combined - all-runs'!$C:$C, "Natural",'Data Combined - all-runs'!$B:$B, "Shared", 'Data Combined - all-runs'!$D:$D, $A$35)</f>
        <v>1298.916667</v>
      </c>
      <c r="E73" s="5">
        <f>AVERAGEIFS('Data Combined - all-runs'!$N:$N,'Data Combined - all-runs'!$A:$A, B73, 'Data Combined - all-runs'!$C:$C, "Natural",'Data Combined - all-runs'!$B:$B, "Shared", 'Data Combined - all-runs'!$D:$D, $A$35)</f>
        <v>8.583333333</v>
      </c>
      <c r="F73" s="5">
        <f t="shared" si="10"/>
        <v>6.608070828</v>
      </c>
    </row>
    <row r="74">
      <c r="A74" s="3" t="s">
        <v>118</v>
      </c>
      <c r="B74" s="3" t="s">
        <v>460</v>
      </c>
      <c r="C74" s="5">
        <f>COUNTIFS('Data Combined - all-runs'!$A:$A, B74, 'Data Combined - all-runs'!$C:$C, "Natural",'Data Combined - all-runs'!$B:$B, "Shared", 'Data Combined - all-runs'!$D:$D, $A$43)</f>
        <v>6</v>
      </c>
      <c r="D74" s="5">
        <f>AVERAGEIFS('Data Combined - all-runs'!$H:$H, 'Data Combined - all-runs'!$A:$A, B74, 'Data Combined - all-runs'!$C:$C, "Natural",'Data Combined - all-runs'!$B:$B, "Shared", 'Data Combined - all-runs'!$D:$D, $A$43)</f>
        <v>917.3333333</v>
      </c>
      <c r="E74" s="5">
        <f>AVERAGEIFS('Data Combined - all-runs'!$N:$N,'Data Combined - all-runs'!$A:$A, B74, 'Data Combined - all-runs'!$C:$C, "Natural",'Data Combined - all-runs'!$B:$B, "Shared", 'Data Combined - all-runs'!$D:$D, $A$43)</f>
        <v>4.666666667</v>
      </c>
      <c r="F74" s="5">
        <f t="shared" si="10"/>
        <v>5.087209302</v>
      </c>
    </row>
    <row r="77">
      <c r="B77" s="3" t="s">
        <v>745</v>
      </c>
    </row>
    <row r="78">
      <c r="A78" s="3" t="s">
        <v>24</v>
      </c>
      <c r="D78" s="5">
        <f t="shared" ref="D78:D83" si="12">D62-D69</f>
        <v>255.8333333</v>
      </c>
      <c r="E78" s="5">
        <f t="shared" ref="E78:F78" si="11">E69-E62</f>
        <v>-0.5</v>
      </c>
      <c r="F78" s="5">
        <f t="shared" si="11"/>
        <v>0.2478479833</v>
      </c>
    </row>
    <row r="79">
      <c r="A79" s="3" t="s">
        <v>54</v>
      </c>
      <c r="D79" s="5">
        <f t="shared" si="12"/>
        <v>-1014.5</v>
      </c>
      <c r="E79" s="5">
        <f t="shared" ref="E79:F79" si="13">E70-E63</f>
        <v>4.166666667</v>
      </c>
      <c r="F79" s="5">
        <f t="shared" si="13"/>
        <v>-0.6169460037</v>
      </c>
    </row>
    <row r="80">
      <c r="A80" s="3" t="s">
        <v>72</v>
      </c>
      <c r="D80" s="5">
        <f t="shared" si="12"/>
        <v>-231.8333333</v>
      </c>
      <c r="E80" s="5">
        <f t="shared" ref="E80:F80" si="14">E71-E64</f>
        <v>16.33333333</v>
      </c>
      <c r="F80" s="5">
        <f t="shared" si="14"/>
        <v>1.036994232</v>
      </c>
    </row>
    <row r="81">
      <c r="A81" s="3" t="s">
        <v>64</v>
      </c>
      <c r="D81" s="5">
        <f t="shared" si="12"/>
        <v>-374.8333333</v>
      </c>
      <c r="E81" s="5">
        <f t="shared" ref="E81:F81" si="15">E72-E65</f>
        <v>-1</v>
      </c>
      <c r="F81" s="5">
        <f t="shared" si="15"/>
        <v>-1.583368012</v>
      </c>
    </row>
    <row r="82">
      <c r="A82" s="3" t="s">
        <v>102</v>
      </c>
      <c r="D82" s="5">
        <f t="shared" si="12"/>
        <v>-665.4166667</v>
      </c>
      <c r="E82" s="5">
        <f t="shared" ref="E82:F82" si="16">E73-E66</f>
        <v>4.25</v>
      </c>
      <c r="F82" s="5">
        <f t="shared" si="16"/>
        <v>-0.2322343546</v>
      </c>
    </row>
    <row r="83">
      <c r="A83" s="3" t="s">
        <v>118</v>
      </c>
      <c r="D83" s="5">
        <f t="shared" si="12"/>
        <v>362.6666667</v>
      </c>
      <c r="E83" s="5">
        <f t="shared" ref="E83:F83" si="17">E74-E67</f>
        <v>-3</v>
      </c>
      <c r="F83" s="5">
        <f t="shared" si="17"/>
        <v>-0.902374031</v>
      </c>
    </row>
    <row r="87">
      <c r="A87" s="3"/>
    </row>
    <row r="91">
      <c r="A91" s="1" t="s">
        <v>3</v>
      </c>
      <c r="C91" s="6" t="s">
        <v>155</v>
      </c>
      <c r="D91" s="6" t="s">
        <v>156</v>
      </c>
      <c r="E91" s="6" t="s">
        <v>157</v>
      </c>
      <c r="F91" s="1" t="s">
        <v>550</v>
      </c>
    </row>
    <row r="92">
      <c r="A92" s="3" t="s">
        <v>24</v>
      </c>
      <c r="B92" s="3" t="s">
        <v>33</v>
      </c>
      <c r="C92" s="5">
        <f>COUNTIFS('Data Combined - all-runs'!$A:$A, B92, 'Data Combined - all-runs'!$D:$D, A92)</f>
        <v>62</v>
      </c>
      <c r="D92" s="5">
        <f>AVERAGEIFS('Data Combined - all-runs'!$H:$H, 'Data Combined - all-runs'!$A:$A, B92,  'Data Combined - all-runs'!$D:$D, A92)</f>
        <v>874.1612903</v>
      </c>
      <c r="E92" s="5">
        <f>AVERAGEIFS('Data Combined - all-runs'!$N:$N,'Data Combined - all-runs'!$A:$A, B92, 'Data Combined - all-runs'!$D:$D, A92)</f>
        <v>1.096774194</v>
      </c>
      <c r="F92" s="5">
        <f t="shared" ref="F92:F97" si="18"> (E92/D92)*1000</f>
        <v>1.254658843</v>
      </c>
    </row>
    <row r="93">
      <c r="A93" s="3" t="s">
        <v>54</v>
      </c>
      <c r="B93" s="3" t="s">
        <v>33</v>
      </c>
      <c r="C93" s="5">
        <f>COUNTIFS('Data Combined - all-runs'!$A:$A, B93, 'Data Combined - all-runs'!$D:$D, A93)</f>
        <v>30</v>
      </c>
      <c r="D93" s="5">
        <f>AVERAGEIFS('Data Combined - all-runs'!$H:$H, 'Data Combined - all-runs'!$A:$A, B93,  'Data Combined - all-runs'!$D:$D, A93)</f>
        <v>1439.9</v>
      </c>
      <c r="E93" s="5">
        <f>AVERAGEIFS('Data Combined - all-runs'!$N:$N,'Data Combined - all-runs'!$A:$A, B93, 'Data Combined - all-runs'!$D:$D, A93)</f>
        <v>4.566666667</v>
      </c>
      <c r="F93" s="5">
        <f t="shared" si="18"/>
        <v>3.171516541</v>
      </c>
    </row>
    <row r="94">
      <c r="A94" s="3" t="s">
        <v>72</v>
      </c>
      <c r="B94" s="3" t="s">
        <v>33</v>
      </c>
      <c r="C94" s="5">
        <f>COUNTIFS('Data Combined - all-runs'!$A:$A, B94, 'Data Combined - all-runs'!$D:$D, A94)</f>
        <v>25</v>
      </c>
      <c r="D94" s="5">
        <f>AVERAGEIFS('Data Combined - all-runs'!$H:$H, 'Data Combined - all-runs'!$A:$A, B94,  'Data Combined - all-runs'!$D:$D, A94)</f>
        <v>1475.28</v>
      </c>
      <c r="E94" s="5">
        <f>AVERAGEIFS('Data Combined - all-runs'!$N:$N,'Data Combined - all-runs'!$A:$A, B94, 'Data Combined - all-runs'!$D:$D, A94)</f>
        <v>3.88</v>
      </c>
      <c r="F94" s="5">
        <f t="shared" si="18"/>
        <v>2.630009219</v>
      </c>
    </row>
    <row r="95">
      <c r="A95" s="3" t="s">
        <v>64</v>
      </c>
      <c r="B95" s="3" t="s">
        <v>33</v>
      </c>
      <c r="C95" s="5">
        <f>COUNTIFS('Data Combined - all-runs'!$A:$A, B95, 'Data Combined - all-runs'!$D:$D, A95)</f>
        <v>30</v>
      </c>
      <c r="D95" s="5">
        <f>AVERAGEIFS('Data Combined - all-runs'!$H:$H, 'Data Combined - all-runs'!$A:$A, B95,  'Data Combined - all-runs'!$D:$D, A95)</f>
        <v>1581.633333</v>
      </c>
      <c r="E95" s="5">
        <f>AVERAGEIFS('Data Combined - all-runs'!$N:$N,'Data Combined - all-runs'!$A:$A, B95, 'Data Combined - all-runs'!$D:$D, A95)</f>
        <v>7.533333333</v>
      </c>
      <c r="F95" s="5">
        <f t="shared" si="18"/>
        <v>4.763008704</v>
      </c>
    </row>
    <row r="96">
      <c r="A96" s="3" t="s">
        <v>102</v>
      </c>
      <c r="B96" s="3" t="s">
        <v>33</v>
      </c>
      <c r="C96" s="5">
        <f>COUNTIFS('Data Combined - all-runs'!$A:$A, B96, 'Data Combined - all-runs'!$D:$D, A96)</f>
        <v>24</v>
      </c>
      <c r="D96" s="5">
        <f>AVERAGEIFS('Data Combined - all-runs'!$H:$H, 'Data Combined - all-runs'!$A:$A, B96,  'Data Combined - all-runs'!$D:$D, A96)</f>
        <v>603.9583333</v>
      </c>
      <c r="E96" s="5">
        <f>AVERAGEIFS('Data Combined - all-runs'!$N:$N,'Data Combined - all-runs'!$A:$A, B96, 'Data Combined - all-runs'!$D:$D, A96)</f>
        <v>4.791666667</v>
      </c>
      <c r="F96" s="5">
        <f t="shared" si="18"/>
        <v>7.933770266</v>
      </c>
    </row>
    <row r="97">
      <c r="A97" s="3" t="s">
        <v>118</v>
      </c>
      <c r="B97" s="3" t="s">
        <v>33</v>
      </c>
      <c r="C97" s="5">
        <f>COUNTIFS('Data Combined - all-runs'!$A:$A, B97, 'Data Combined - all-runs'!$D:$D, A97)</f>
        <v>24</v>
      </c>
      <c r="D97" s="5">
        <f>AVERAGEIFS('Data Combined - all-runs'!$H:$H, 'Data Combined - all-runs'!$A:$A, B97,  'Data Combined - all-runs'!$D:$D, A97)</f>
        <v>1102.833333</v>
      </c>
      <c r="E97" s="5">
        <f>AVERAGEIFS('Data Combined - all-runs'!$N:$N,'Data Combined - all-runs'!$A:$A, B97, 'Data Combined - all-runs'!$D:$D, A97)</f>
        <v>5.291666667</v>
      </c>
      <c r="F97" s="5">
        <f t="shared" si="18"/>
        <v>4.79824694</v>
      </c>
    </row>
    <row r="98">
      <c r="A98" s="1" t="s">
        <v>3</v>
      </c>
    </row>
    <row r="99">
      <c r="A99" s="3" t="s">
        <v>24</v>
      </c>
      <c r="B99" s="3" t="s">
        <v>460</v>
      </c>
      <c r="C99" s="5">
        <f>COUNTIFS('Data Combined - all-runs'!$A:$A, B99, 'Data Combined - all-runs'!$D:$D, A99)</f>
        <v>24</v>
      </c>
      <c r="D99" s="5">
        <f>AVERAGEIFS('Data Combined - all-runs'!$H:$H, 'Data Combined - all-runs'!$A:$A, B99,  'Data Combined - all-runs'!$D:$D, A99)</f>
        <v>1018.375</v>
      </c>
      <c r="E99" s="5">
        <f>AVERAGEIFS('Data Combined - all-runs'!$N:$N,'Data Combined - all-runs'!$A:$A, B99, 'Data Combined - all-runs'!$D:$D, A99)</f>
        <v>2.041666667</v>
      </c>
      <c r="F99" s="5">
        <f t="shared" ref="F99:F104" si="19"> (E99/D99)*1000</f>
        <v>2.004827953</v>
      </c>
    </row>
    <row r="100">
      <c r="A100" s="3" t="s">
        <v>54</v>
      </c>
      <c r="B100" s="3" t="s">
        <v>460</v>
      </c>
      <c r="C100" s="5">
        <f>COUNTIFS('Data Combined - all-runs'!$A:$A, B100, 'Data Combined - all-runs'!$D:$D, A100)</f>
        <v>24</v>
      </c>
      <c r="D100" s="5">
        <f>AVERAGEIFS('Data Combined - all-runs'!$H:$H, 'Data Combined - all-runs'!$A:$A, B100,  'Data Combined - all-runs'!$D:$D, A100)</f>
        <v>1741</v>
      </c>
      <c r="E100" s="5">
        <f>AVERAGEIFS('Data Combined - all-runs'!$N:$N,'Data Combined - all-runs'!$A:$A, B100, 'Data Combined - all-runs'!$D:$D, A100)</f>
        <v>8.708333333</v>
      </c>
      <c r="F100" s="5">
        <f t="shared" si="19"/>
        <v>5.001914608</v>
      </c>
    </row>
    <row r="101">
      <c r="A101" s="3" t="s">
        <v>72</v>
      </c>
      <c r="B101" s="3" t="s">
        <v>460</v>
      </c>
      <c r="C101" s="5">
        <f>COUNTIFS('Data Combined - all-runs'!$A:$A, B101, 'Data Combined - all-runs'!$D:$D, A101)</f>
        <v>24</v>
      </c>
      <c r="D101" s="5">
        <f>AVERAGEIFS('Data Combined - all-runs'!$H:$H, 'Data Combined - all-runs'!$A:$A, B101,  'Data Combined - all-runs'!$D:$D, A101)</f>
        <v>1382.083333</v>
      </c>
      <c r="E101" s="5">
        <f>AVERAGEIFS('Data Combined - all-runs'!$N:$N,'Data Combined - all-runs'!$A:$A, B101, 'Data Combined - all-runs'!$D:$D, A101)</f>
        <v>7.916666667</v>
      </c>
      <c r="F101" s="5">
        <f t="shared" si="19"/>
        <v>5.728067531</v>
      </c>
    </row>
    <row r="102">
      <c r="A102" s="3" t="s">
        <v>64</v>
      </c>
      <c r="B102" s="3" t="s">
        <v>460</v>
      </c>
      <c r="C102" s="5">
        <f>COUNTIFS('Data Combined - all-runs'!$A:$A, B102, 'Data Combined - all-runs'!$D:$D, A102)</f>
        <v>36</v>
      </c>
      <c r="D102" s="5">
        <f>AVERAGEIFS('Data Combined - all-runs'!$H:$H, 'Data Combined - all-runs'!$A:$A, B102,  'Data Combined - all-runs'!$D:$D, A102)</f>
        <v>1064</v>
      </c>
      <c r="E102" s="5">
        <f>AVERAGEIFS('Data Combined - all-runs'!$N:$N,'Data Combined - all-runs'!$A:$A, B102, 'Data Combined - all-runs'!$D:$D, A102)</f>
        <v>5.527777778</v>
      </c>
      <c r="F102" s="5">
        <f t="shared" si="19"/>
        <v>5.195279866</v>
      </c>
    </row>
    <row r="103">
      <c r="A103" s="3" t="s">
        <v>102</v>
      </c>
      <c r="B103" s="3" t="s">
        <v>460</v>
      </c>
      <c r="C103" s="5">
        <f>COUNTIFS('Data Combined - all-runs'!$A:$A, B103, 'Data Combined - all-runs'!$D:$D, A103)</f>
        <v>30</v>
      </c>
      <c r="D103" s="5">
        <f>AVERAGEIFS('Data Combined - all-runs'!$H:$H, 'Data Combined - all-runs'!$A:$A, B103,  'Data Combined - all-runs'!$D:$D, A103)</f>
        <v>864.3</v>
      </c>
      <c r="E103" s="5">
        <f>AVERAGEIFS('Data Combined - all-runs'!$N:$N,'Data Combined - all-runs'!$A:$A, B103, 'Data Combined - all-runs'!$D:$D, A103)</f>
        <v>6.4</v>
      </c>
      <c r="F103" s="5">
        <f t="shared" si="19"/>
        <v>7.404836284</v>
      </c>
    </row>
    <row r="104">
      <c r="A104" s="3" t="s">
        <v>118</v>
      </c>
      <c r="B104" s="3" t="s">
        <v>460</v>
      </c>
      <c r="C104" s="5">
        <f>COUNTIFS('Data Combined - all-runs'!$A:$A, B104, 'Data Combined - all-runs'!$D:$D, A104)</f>
        <v>24</v>
      </c>
      <c r="D104" s="5">
        <f>AVERAGEIFS('Data Combined - all-runs'!$H:$H, 'Data Combined - all-runs'!$A:$A, B104,  'Data Combined - all-runs'!$D:$D, A104)</f>
        <v>1110.916667</v>
      </c>
      <c r="E104" s="5">
        <f>AVERAGEIFS('Data Combined - all-runs'!$N:$N,'Data Combined - all-runs'!$A:$A, B104, 'Data Combined - all-runs'!$D:$D, A104)</f>
        <v>6.375</v>
      </c>
      <c r="F104" s="5">
        <f t="shared" si="19"/>
        <v>5.738504238</v>
      </c>
    </row>
    <row r="108">
      <c r="A108" s="3" t="s">
        <v>24</v>
      </c>
      <c r="D108" s="5">
        <f t="shared" ref="D108:D113" si="21">D92-D99</f>
        <v>-144.2137097</v>
      </c>
      <c r="E108" s="5">
        <f t="shared" ref="E108:F108" si="20">E99-E92</f>
        <v>0.9448924731</v>
      </c>
      <c r="F108" s="5">
        <f t="shared" si="20"/>
        <v>0.7501691095</v>
      </c>
    </row>
    <row r="109">
      <c r="A109" s="3" t="s">
        <v>54</v>
      </c>
      <c r="D109" s="5">
        <f t="shared" si="21"/>
        <v>-301.1</v>
      </c>
      <c r="E109" s="5">
        <f t="shared" ref="E109:F109" si="22">E100-E93</f>
        <v>4.141666667</v>
      </c>
      <c r="F109" s="5">
        <f t="shared" si="22"/>
        <v>1.830398068</v>
      </c>
    </row>
    <row r="110">
      <c r="A110" s="3" t="s">
        <v>72</v>
      </c>
      <c r="D110" s="5">
        <f t="shared" si="21"/>
        <v>93.19666667</v>
      </c>
      <c r="E110" s="5">
        <f t="shared" ref="E110:F110" si="23">E101-E94</f>
        <v>4.036666667</v>
      </c>
      <c r="F110" s="5">
        <f t="shared" si="23"/>
        <v>3.098058312</v>
      </c>
    </row>
    <row r="111">
      <c r="A111" s="3" t="s">
        <v>64</v>
      </c>
      <c r="D111" s="5">
        <f t="shared" si="21"/>
        <v>517.6333333</v>
      </c>
      <c r="E111" s="5">
        <f t="shared" ref="E111:F111" si="24">E102-E95</f>
        <v>-2.005555556</v>
      </c>
      <c r="F111" s="5">
        <f t="shared" si="24"/>
        <v>0.4322711623</v>
      </c>
    </row>
    <row r="112">
      <c r="A112" s="3" t="s">
        <v>102</v>
      </c>
      <c r="D112" s="5">
        <f t="shared" si="21"/>
        <v>-260.3416667</v>
      </c>
      <c r="E112" s="5">
        <f t="shared" ref="E112:F112" si="25">E103-E96</f>
        <v>1.608333333</v>
      </c>
      <c r="F112" s="5">
        <f t="shared" si="25"/>
        <v>-0.5289339819</v>
      </c>
    </row>
    <row r="113">
      <c r="A113" s="3" t="s">
        <v>118</v>
      </c>
      <c r="D113" s="5">
        <f t="shared" si="21"/>
        <v>-8.083333333</v>
      </c>
      <c r="E113" s="5">
        <f t="shared" ref="E113:F113" si="26">E104-E97</f>
        <v>1.083333333</v>
      </c>
      <c r="F113" s="5">
        <f t="shared" si="26"/>
        <v>0.9402572985</v>
      </c>
    </row>
    <row r="122">
      <c r="A122" s="3" t="s">
        <v>763</v>
      </c>
    </row>
    <row r="123">
      <c r="A123" s="1" t="s">
        <v>3</v>
      </c>
      <c r="C123" s="6" t="s">
        <v>155</v>
      </c>
      <c r="D123" s="6" t="s">
        <v>156</v>
      </c>
      <c r="E123" s="6" t="s">
        <v>157</v>
      </c>
      <c r="F123" s="1" t="s">
        <v>550</v>
      </c>
      <c r="G123" s="3" t="s">
        <v>766</v>
      </c>
      <c r="H123" s="3" t="s">
        <v>765</v>
      </c>
    </row>
    <row r="124">
      <c r="A124" s="3" t="s">
        <v>24</v>
      </c>
      <c r="B124" s="3" t="s">
        <v>33</v>
      </c>
      <c r="C124" s="5">
        <f>COUNTIFS('Data Combined - all-runs'!$A:$A, B124, 'Data Combined - all-runs'!$D:$D, A124)</f>
        <v>62</v>
      </c>
      <c r="D124" s="5">
        <f>AVERAGEIFS('Data Combined - all-runs'!$H:$H, 'Data Combined - all-runs'!$A:$A, B124,  'Data Combined - all-runs'!$D:$D, A124)</f>
        <v>874.1612903</v>
      </c>
      <c r="E124" s="5">
        <f>AVERAGEIFS('Data Combined - all-runs'!$N:$N,'Data Combined - all-runs'!$A:$A, B124, 'Data Combined - all-runs'!$D:$D, A124)</f>
        <v>1.096774194</v>
      </c>
      <c r="F124" s="5">
        <f t="shared" ref="F124:F129" si="27"> (E124/D124)*1000</f>
        <v>1.254658843</v>
      </c>
      <c r="G124" s="5">
        <f>AVERAGEIFS('Data Combined - all-runs'!$K:$K, 'Data Combined - all-runs'!$A:$A, B124,  'Data Combined - all-runs'!$D:$D, A124)*100</f>
        <v>10.27944949</v>
      </c>
      <c r="H124" s="5">
        <f t="shared" ref="H124:H129" si="28">G124*E124</f>
        <v>11.27423492</v>
      </c>
      <c r="I124" s="5">
        <f t="shared" ref="I124:I129" si="29">(G124/D124)*100000</f>
        <v>1175.921378</v>
      </c>
    </row>
    <row r="125">
      <c r="A125" s="3" t="s">
        <v>54</v>
      </c>
      <c r="B125" s="3" t="s">
        <v>33</v>
      </c>
      <c r="C125" s="5">
        <f>COUNTIFS('Data Combined - all-runs'!$A:$A, B125, 'Data Combined - all-runs'!$D:$D, A125)</f>
        <v>30</v>
      </c>
      <c r="D125" s="5">
        <f>AVERAGEIFS('Data Combined - all-runs'!$H:$H, 'Data Combined - all-runs'!$A:$A, B125,  'Data Combined - all-runs'!$D:$D, A125)</f>
        <v>1439.9</v>
      </c>
      <c r="E125" s="5">
        <f>AVERAGEIFS('Data Combined - all-runs'!$N:$N,'Data Combined - all-runs'!$A:$A, B125, 'Data Combined - all-runs'!$D:$D, A125)</f>
        <v>4.566666667</v>
      </c>
      <c r="F125" s="5">
        <f t="shared" si="27"/>
        <v>3.171516541</v>
      </c>
      <c r="G125" s="5">
        <f>AVERAGEIFS('Data Combined - all-runs'!$K:$K, 'Data Combined - all-runs'!$A:$A, B125,  'Data Combined - all-runs'!$D:$D, A125)*100</f>
        <v>9.632311951</v>
      </c>
      <c r="H125" s="5">
        <f t="shared" si="28"/>
        <v>43.98755791</v>
      </c>
      <c r="I125" s="5">
        <f t="shared" si="29"/>
        <v>668.9570075</v>
      </c>
    </row>
    <row r="126">
      <c r="A126" s="3" t="s">
        <v>72</v>
      </c>
      <c r="B126" s="3" t="s">
        <v>33</v>
      </c>
      <c r="C126" s="5">
        <f>COUNTIFS('Data Combined - all-runs'!$A:$A, B126, 'Data Combined - all-runs'!$D:$D, A126)</f>
        <v>25</v>
      </c>
      <c r="D126" s="5">
        <f>AVERAGEIFS('Data Combined - all-runs'!$H:$H, 'Data Combined - all-runs'!$A:$A, B126,  'Data Combined - all-runs'!$D:$D, A126)</f>
        <v>1475.28</v>
      </c>
      <c r="E126" s="5">
        <f>AVERAGEIFS('Data Combined - all-runs'!$N:$N,'Data Combined - all-runs'!$A:$A, B126, 'Data Combined - all-runs'!$D:$D, A126)</f>
        <v>3.88</v>
      </c>
      <c r="F126" s="5">
        <f t="shared" si="27"/>
        <v>2.630009219</v>
      </c>
      <c r="G126" s="5">
        <f>AVERAGEIFS('Data Combined - all-runs'!$K:$K, 'Data Combined - all-runs'!$A:$A, B126,  'Data Combined - all-runs'!$D:$D, A126)*100</f>
        <v>16.68019197</v>
      </c>
      <c r="H126" s="5">
        <f t="shared" si="28"/>
        <v>64.71914486</v>
      </c>
      <c r="I126" s="5">
        <f t="shared" si="29"/>
        <v>1130.645842</v>
      </c>
    </row>
    <row r="127">
      <c r="A127" s="3" t="s">
        <v>64</v>
      </c>
      <c r="B127" s="3" t="s">
        <v>33</v>
      </c>
      <c r="C127" s="5">
        <f>COUNTIFS('Data Combined - all-runs'!$A:$A, B127, 'Data Combined - all-runs'!$D:$D, A127)</f>
        <v>30</v>
      </c>
      <c r="D127" s="5">
        <f>AVERAGEIFS('Data Combined - all-runs'!$H:$H, 'Data Combined - all-runs'!$A:$A, B127,  'Data Combined - all-runs'!$D:$D, A127)</f>
        <v>1581.633333</v>
      </c>
      <c r="E127" s="5">
        <f>AVERAGEIFS('Data Combined - all-runs'!$N:$N,'Data Combined - all-runs'!$A:$A, B127, 'Data Combined - all-runs'!$D:$D, A127)</f>
        <v>7.533333333</v>
      </c>
      <c r="F127" s="5">
        <f t="shared" si="27"/>
        <v>4.763008704</v>
      </c>
      <c r="G127" s="5">
        <f>AVERAGEIFS('Data Combined - all-runs'!$K:$K, 'Data Combined - all-runs'!$A:$A, B127,  'Data Combined - all-runs'!$D:$D, A127)*100</f>
        <v>13.23689827</v>
      </c>
      <c r="H127" s="5">
        <f t="shared" si="28"/>
        <v>99.71796693</v>
      </c>
      <c r="I127" s="5">
        <f t="shared" si="29"/>
        <v>836.9132078</v>
      </c>
    </row>
    <row r="128">
      <c r="A128" s="3" t="s">
        <v>102</v>
      </c>
      <c r="B128" s="3" t="s">
        <v>33</v>
      </c>
      <c r="C128" s="5">
        <f>COUNTIFS('Data Combined - all-runs'!$A:$A, B128, 'Data Combined - all-runs'!$D:$D, A128)</f>
        <v>24</v>
      </c>
      <c r="D128" s="5">
        <f>AVERAGEIFS('Data Combined - all-runs'!$H:$H, 'Data Combined - all-runs'!$A:$A, B128,  'Data Combined - all-runs'!$D:$D, A128)</f>
        <v>603.9583333</v>
      </c>
      <c r="E128" s="5">
        <f>AVERAGEIFS('Data Combined - all-runs'!$N:$N,'Data Combined - all-runs'!$A:$A, B128, 'Data Combined - all-runs'!$D:$D, A128)</f>
        <v>4.791666667</v>
      </c>
      <c r="F128" s="5">
        <f t="shared" si="27"/>
        <v>7.933770266</v>
      </c>
      <c r="G128" s="5">
        <f>AVERAGEIFS('Data Combined - all-runs'!$K:$K, 'Data Combined - all-runs'!$A:$A, B128,  'Data Combined - all-runs'!$D:$D, A128)*100</f>
        <v>10.11814488</v>
      </c>
      <c r="H128" s="5">
        <f t="shared" si="28"/>
        <v>48.48277755</v>
      </c>
      <c r="I128" s="5">
        <f t="shared" si="29"/>
        <v>1675.30512</v>
      </c>
    </row>
    <row r="129">
      <c r="A129" s="3" t="s">
        <v>118</v>
      </c>
      <c r="B129" s="3" t="s">
        <v>33</v>
      </c>
      <c r="C129" s="5">
        <f>COUNTIFS('Data Combined - all-runs'!$A:$A, B129, 'Data Combined - all-runs'!$D:$D, A129)</f>
        <v>24</v>
      </c>
      <c r="D129" s="5">
        <f>AVERAGEIFS('Data Combined - all-runs'!$H:$H, 'Data Combined - all-runs'!$A:$A, B129,  'Data Combined - all-runs'!$D:$D, A129)</f>
        <v>1102.833333</v>
      </c>
      <c r="E129" s="5">
        <f>AVERAGEIFS('Data Combined - all-runs'!$N:$N,'Data Combined - all-runs'!$A:$A, B129, 'Data Combined - all-runs'!$D:$D, A129)</f>
        <v>5.291666667</v>
      </c>
      <c r="F129" s="5">
        <f t="shared" si="27"/>
        <v>4.79824694</v>
      </c>
      <c r="G129" s="5">
        <f>AVERAGEIFS('Data Combined - all-runs'!$K:$K, 'Data Combined - all-runs'!$A:$A, B129,  'Data Combined - all-runs'!$D:$D, A129)*100</f>
        <v>19.57598098</v>
      </c>
      <c r="H129" s="5">
        <f t="shared" si="28"/>
        <v>103.589566</v>
      </c>
      <c r="I129" s="5">
        <f t="shared" si="29"/>
        <v>1775.062503</v>
      </c>
    </row>
    <row r="130">
      <c r="A130" s="1" t="s">
        <v>3</v>
      </c>
    </row>
    <row r="131">
      <c r="A131" s="3" t="s">
        <v>24</v>
      </c>
      <c r="B131" s="3" t="s">
        <v>460</v>
      </c>
      <c r="C131" s="5">
        <f>COUNTIFS('Data Combined - all-runs'!$A:$A, B131, 'Data Combined - all-runs'!$D:$D, A131)</f>
        <v>24</v>
      </c>
      <c r="D131" s="5">
        <f>AVERAGEIFS('Data Combined - all-runs'!$H:$H, 'Data Combined - all-runs'!$A:$A, B131,  'Data Combined - all-runs'!$D:$D, A131)</f>
        <v>1018.375</v>
      </c>
      <c r="E131" s="5">
        <f>AVERAGEIFS('Data Combined - all-runs'!$N:$N,'Data Combined - all-runs'!$A:$A, B131, 'Data Combined - all-runs'!$D:$D, A131)</f>
        <v>2.041666667</v>
      </c>
      <c r="F131" s="5">
        <f t="shared" ref="F131:F136" si="30"> (E131/D131)*1000</f>
        <v>2.004827953</v>
      </c>
      <c r="G131" s="5">
        <f>AVERAGEIFS('Data Combined - all-runs'!$K:$K, 'Data Combined - all-runs'!$A:$A, B131,  'Data Combined - all-runs'!$D:$D, A131)*100</f>
        <v>10.26421943</v>
      </c>
      <c r="H131" s="5">
        <f t="shared" ref="H131:H136" si="31">G131*E131</f>
        <v>20.95611466</v>
      </c>
      <c r="I131" s="5">
        <f t="shared" ref="I131:I136" si="32">(G131/D131)*100000</f>
        <v>1007.901748</v>
      </c>
    </row>
    <row r="132">
      <c r="A132" s="3" t="s">
        <v>54</v>
      </c>
      <c r="B132" s="3" t="s">
        <v>460</v>
      </c>
      <c r="C132" s="5">
        <f>COUNTIFS('Data Combined - all-runs'!$A:$A, B132, 'Data Combined - all-runs'!$D:$D, A132)</f>
        <v>24</v>
      </c>
      <c r="D132" s="5">
        <f>AVERAGEIFS('Data Combined - all-runs'!$H:$H, 'Data Combined - all-runs'!$A:$A, B132,  'Data Combined - all-runs'!$D:$D, A132)</f>
        <v>1741</v>
      </c>
      <c r="E132" s="5">
        <f>AVERAGEIFS('Data Combined - all-runs'!$N:$N,'Data Combined - all-runs'!$A:$A, B132, 'Data Combined - all-runs'!$D:$D, A132)</f>
        <v>8.708333333</v>
      </c>
      <c r="F132" s="5">
        <f t="shared" si="30"/>
        <v>5.001914608</v>
      </c>
      <c r="G132" s="5">
        <f>AVERAGEIFS('Data Combined - all-runs'!$K:$K, 'Data Combined - all-runs'!$A:$A, B132,  'Data Combined - all-runs'!$D:$D, A132)*100</f>
        <v>14.83355171</v>
      </c>
      <c r="H132" s="5">
        <f t="shared" si="31"/>
        <v>129.1755128</v>
      </c>
      <c r="I132" s="5">
        <f t="shared" si="32"/>
        <v>852.0133089</v>
      </c>
    </row>
    <row r="133">
      <c r="A133" s="3" t="s">
        <v>72</v>
      </c>
      <c r="B133" s="3" t="s">
        <v>460</v>
      </c>
      <c r="C133" s="5">
        <f>COUNTIFS('Data Combined - all-runs'!$A:$A, B133, 'Data Combined - all-runs'!$D:$D, A133)</f>
        <v>24</v>
      </c>
      <c r="D133" s="5">
        <f>AVERAGEIFS('Data Combined - all-runs'!$H:$H, 'Data Combined - all-runs'!$A:$A, B133,  'Data Combined - all-runs'!$D:$D, A133)</f>
        <v>1382.083333</v>
      </c>
      <c r="E133" s="5">
        <f>AVERAGEIFS('Data Combined - all-runs'!$N:$N,'Data Combined - all-runs'!$A:$A, B133, 'Data Combined - all-runs'!$D:$D, A133)</f>
        <v>7.916666667</v>
      </c>
      <c r="F133" s="5">
        <f t="shared" si="30"/>
        <v>5.728067531</v>
      </c>
      <c r="G133" s="5">
        <f>AVERAGEIFS('Data Combined - all-runs'!$K:$K, 'Data Combined - all-runs'!$A:$A, B133,  'Data Combined - all-runs'!$D:$D, A133)*100</f>
        <v>16.18878375</v>
      </c>
      <c r="H133" s="5">
        <f t="shared" si="31"/>
        <v>128.1612046</v>
      </c>
      <c r="I133" s="5">
        <f t="shared" si="32"/>
        <v>1171.331956</v>
      </c>
    </row>
    <row r="134">
      <c r="A134" s="3" t="s">
        <v>64</v>
      </c>
      <c r="B134" s="3" t="s">
        <v>460</v>
      </c>
      <c r="C134" s="5">
        <f>COUNTIFS('Data Combined - all-runs'!$A:$A, B134, 'Data Combined - all-runs'!$D:$D, A134)</f>
        <v>36</v>
      </c>
      <c r="D134" s="5">
        <f>AVERAGEIFS('Data Combined - all-runs'!$H:$H, 'Data Combined - all-runs'!$A:$A, B134,  'Data Combined - all-runs'!$D:$D, A134)</f>
        <v>1064</v>
      </c>
      <c r="E134" s="5">
        <f>AVERAGEIFS('Data Combined - all-runs'!$N:$N,'Data Combined - all-runs'!$A:$A, B134, 'Data Combined - all-runs'!$D:$D, A134)</f>
        <v>5.527777778</v>
      </c>
      <c r="F134" s="5">
        <f t="shared" si="30"/>
        <v>5.195279866</v>
      </c>
      <c r="G134" s="5">
        <f>AVERAGEIFS('Data Combined - all-runs'!$K:$K, 'Data Combined - all-runs'!$A:$A, B134,  'Data Combined - all-runs'!$D:$D, A134)*100</f>
        <v>13.80492414</v>
      </c>
      <c r="H134" s="5">
        <f t="shared" si="31"/>
        <v>76.31055288</v>
      </c>
      <c r="I134" s="5">
        <f t="shared" si="32"/>
        <v>1297.455276</v>
      </c>
    </row>
    <row r="135">
      <c r="A135" s="3" t="s">
        <v>102</v>
      </c>
      <c r="B135" s="3" t="s">
        <v>460</v>
      </c>
      <c r="C135" s="5">
        <f>COUNTIFS('Data Combined - all-runs'!$A:$A, B135, 'Data Combined - all-runs'!$D:$D, A135)</f>
        <v>30</v>
      </c>
      <c r="D135" s="5">
        <f>AVERAGEIFS('Data Combined - all-runs'!$H:$H, 'Data Combined - all-runs'!$A:$A, B135,  'Data Combined - all-runs'!$D:$D, A135)</f>
        <v>864.3</v>
      </c>
      <c r="E135" s="5">
        <f>AVERAGEIFS('Data Combined - all-runs'!$N:$N,'Data Combined - all-runs'!$A:$A, B135, 'Data Combined - all-runs'!$D:$D, A135)</f>
        <v>6.4</v>
      </c>
      <c r="F135" s="5">
        <f t="shared" si="30"/>
        <v>7.404836284</v>
      </c>
      <c r="G135" s="5">
        <f>AVERAGEIFS('Data Combined - all-runs'!$K:$K, 'Data Combined - all-runs'!$A:$A, B135,  'Data Combined - all-runs'!$D:$D, A135)*100</f>
        <v>10.35513425</v>
      </c>
      <c r="H135" s="5">
        <f t="shared" si="31"/>
        <v>66.2728592</v>
      </c>
      <c r="I135" s="5">
        <f t="shared" si="32"/>
        <v>1198.094903</v>
      </c>
    </row>
    <row r="136">
      <c r="A136" s="3" t="s">
        <v>118</v>
      </c>
      <c r="B136" s="3" t="s">
        <v>460</v>
      </c>
      <c r="C136" s="5">
        <f>COUNTIFS('Data Combined - all-runs'!$A:$A, B136, 'Data Combined - all-runs'!$D:$D, A136)</f>
        <v>24</v>
      </c>
      <c r="D136" s="5">
        <f>AVERAGEIFS('Data Combined - all-runs'!$H:$H, 'Data Combined - all-runs'!$A:$A, B136,  'Data Combined - all-runs'!$D:$D, A136)</f>
        <v>1110.916667</v>
      </c>
      <c r="E136" s="5">
        <f>AVERAGEIFS('Data Combined - all-runs'!$N:$N,'Data Combined - all-runs'!$A:$A, B136, 'Data Combined - all-runs'!$D:$D, A136)</f>
        <v>6.375</v>
      </c>
      <c r="F136" s="5">
        <f t="shared" si="30"/>
        <v>5.738504238</v>
      </c>
      <c r="G136" s="5">
        <f>AVERAGEIFS('Data Combined - all-runs'!$K:$K, 'Data Combined - all-runs'!$A:$A, B136,  'Data Combined - all-runs'!$D:$D, A136)*100</f>
        <v>15.70622651</v>
      </c>
      <c r="H136" s="5">
        <f t="shared" si="31"/>
        <v>100.127194</v>
      </c>
      <c r="I136" s="5">
        <f t="shared" si="32"/>
        <v>1413.807802</v>
      </c>
    </row>
    <row r="138">
      <c r="A138" s="1" t="s">
        <v>3</v>
      </c>
    </row>
    <row r="139">
      <c r="A139" s="3" t="s">
        <v>24</v>
      </c>
      <c r="B139" s="3" t="s">
        <v>32</v>
      </c>
      <c r="C139" s="5">
        <f>COUNTIFS('Data Combined - all-runs'!$A:$A, B139, 'Data Combined - all-runs'!$D:$D, A139)</f>
        <v>30</v>
      </c>
      <c r="D139" s="5">
        <f>AVERAGEIFS('Data Combined - all-runs'!$H:$H, 'Data Combined - all-runs'!$A:$A, B139,  'Data Combined - all-runs'!$D:$D, A139)</f>
        <v>1594.366667</v>
      </c>
      <c r="E139" s="5">
        <f>AVERAGEIFS('Data Combined - all-runs'!$N:$N,'Data Combined - all-runs'!$A:$A, B139, 'Data Combined - all-runs'!$D:$D, A139)</f>
        <v>6.066666667</v>
      </c>
      <c r="F139" s="5">
        <f t="shared" ref="F139:F144" si="33"> (E139/D139)*1000</f>
        <v>3.805063662</v>
      </c>
      <c r="G139" s="5">
        <f>AVERAGEIFS('Data Combined - all-runs'!$K:$K, 'Data Combined - all-runs'!$A:$A, B139,  'Data Combined - all-runs'!$D:$D, A139)*100</f>
        <v>13.81325519</v>
      </c>
      <c r="H139" s="5">
        <f t="shared" ref="H139:H144" si="34">G139*E139</f>
        <v>83.80041479</v>
      </c>
      <c r="I139" s="5">
        <f t="shared" ref="I139:I144" si="35">(G139/D139)*100000</f>
        <v>866.3788245</v>
      </c>
    </row>
    <row r="140">
      <c r="A140" s="3" t="s">
        <v>54</v>
      </c>
      <c r="B140" s="3" t="s">
        <v>32</v>
      </c>
      <c r="C140" s="5">
        <f>COUNTIFS('Data Combined - all-runs'!$A:$A, B140, 'Data Combined - all-runs'!$D:$D, A140)</f>
        <v>31</v>
      </c>
      <c r="D140" s="5">
        <f>AVERAGEIFS('Data Combined - all-runs'!$H:$H, 'Data Combined - all-runs'!$A:$A, B140,  'Data Combined - all-runs'!$D:$D, A140)</f>
        <v>2232.064516</v>
      </c>
      <c r="E140" s="5">
        <f>AVERAGEIFS('Data Combined - all-runs'!$N:$N,'Data Combined - all-runs'!$A:$A, B140, 'Data Combined - all-runs'!$D:$D, A140)</f>
        <v>12.96774194</v>
      </c>
      <c r="F140" s="5">
        <f t="shared" si="33"/>
        <v>5.809752291</v>
      </c>
      <c r="G140" s="5">
        <f>AVERAGEIFS('Data Combined - all-runs'!$K:$K, 'Data Combined - all-runs'!$A:$A, B140,  'Data Combined - all-runs'!$D:$D, A140)*100</f>
        <v>16.02280543</v>
      </c>
      <c r="H140" s="5">
        <f t="shared" si="34"/>
        <v>207.7796059</v>
      </c>
      <c r="I140" s="5">
        <f t="shared" si="35"/>
        <v>717.8468774</v>
      </c>
    </row>
    <row r="141">
      <c r="A141" s="3" t="s">
        <v>72</v>
      </c>
      <c r="B141" s="3" t="s">
        <v>32</v>
      </c>
      <c r="C141" s="5">
        <f>COUNTIFS('Data Combined - all-runs'!$A:$A, B141, 'Data Combined - all-runs'!$D:$D, A141)</f>
        <v>26</v>
      </c>
      <c r="D141" s="5">
        <f>AVERAGEIFS('Data Combined - all-runs'!$H:$H, 'Data Combined - all-runs'!$A:$A, B141,  'Data Combined - all-runs'!$D:$D, A141)</f>
        <v>2058.807692</v>
      </c>
      <c r="E141" s="5">
        <f>AVERAGEIFS('Data Combined - all-runs'!$N:$N,'Data Combined - all-runs'!$A:$A, B141, 'Data Combined - all-runs'!$D:$D, A141)</f>
        <v>9.538461538</v>
      </c>
      <c r="F141" s="5">
        <f t="shared" si="33"/>
        <v>4.633002671</v>
      </c>
      <c r="G141" s="5">
        <f>AVERAGEIFS('Data Combined - all-runs'!$K:$K, 'Data Combined - all-runs'!$A:$A, B141,  'Data Combined - all-runs'!$D:$D, A141)*100</f>
        <v>19.17391051</v>
      </c>
      <c r="H141" s="5">
        <f t="shared" si="34"/>
        <v>182.889608</v>
      </c>
      <c r="I141" s="5">
        <f t="shared" si="35"/>
        <v>931.3113889</v>
      </c>
    </row>
    <row r="142">
      <c r="A142" s="3" t="s">
        <v>64</v>
      </c>
      <c r="B142" s="3" t="s">
        <v>32</v>
      </c>
      <c r="C142" s="5">
        <f>COUNTIFS('Data Combined - all-runs'!$A:$A, B142, 'Data Combined - all-runs'!$D:$D, A142)</f>
        <v>22</v>
      </c>
      <c r="D142" s="5">
        <f>AVERAGEIFS('Data Combined - all-runs'!$H:$H, 'Data Combined - all-runs'!$A:$A, B142,  'Data Combined - all-runs'!$D:$D, A142)</f>
        <v>983.7272727</v>
      </c>
      <c r="E142" s="5">
        <f>AVERAGEIFS('Data Combined - all-runs'!$N:$N,'Data Combined - all-runs'!$A:$A, B142, 'Data Combined - all-runs'!$D:$D, A142)</f>
        <v>4.954545455</v>
      </c>
      <c r="F142" s="5">
        <f t="shared" si="33"/>
        <v>5.036503096</v>
      </c>
      <c r="G142" s="5">
        <f>AVERAGEIFS('Data Combined - all-runs'!$K:$K, 'Data Combined - all-runs'!$A:$A, B142,  'Data Combined - all-runs'!$D:$D, A142)*100</f>
        <v>11.35754637</v>
      </c>
      <c r="H142" s="5">
        <f t="shared" si="34"/>
        <v>56.27147976</v>
      </c>
      <c r="I142" s="5">
        <f t="shared" si="35"/>
        <v>1154.542187</v>
      </c>
    </row>
    <row r="143">
      <c r="A143" s="3" t="s">
        <v>102</v>
      </c>
      <c r="B143" s="3" t="s">
        <v>32</v>
      </c>
      <c r="C143" s="5">
        <f>COUNTIFS('Data Combined - all-runs'!$A:$A, B143, 'Data Combined - all-runs'!$D:$D, A143)</f>
        <v>12</v>
      </c>
      <c r="D143" s="5">
        <f>AVERAGEIFS('Data Combined - all-runs'!$H:$H, 'Data Combined - all-runs'!$A:$A, B143,  'Data Combined - all-runs'!$D:$D, A143)</f>
        <v>675.1666667</v>
      </c>
      <c r="E143" s="5">
        <f>AVERAGEIFS('Data Combined - all-runs'!$N:$N,'Data Combined - all-runs'!$A:$A, B143, 'Data Combined - all-runs'!$D:$D, A143)</f>
        <v>2.666666667</v>
      </c>
      <c r="F143" s="5">
        <f t="shared" si="33"/>
        <v>3.949642064</v>
      </c>
      <c r="G143" s="5">
        <f>AVERAGEIFS('Data Combined - all-runs'!$K:$K, 'Data Combined - all-runs'!$A:$A, B143,  'Data Combined - all-runs'!$D:$D, A143)*100</f>
        <v>5.936222504</v>
      </c>
      <c r="H143" s="5">
        <f t="shared" si="34"/>
        <v>15.82992668</v>
      </c>
      <c r="I143" s="5">
        <f t="shared" si="35"/>
        <v>879.2232788</v>
      </c>
    </row>
    <row r="144">
      <c r="A144" s="3" t="s">
        <v>118</v>
      </c>
      <c r="B144" s="3" t="s">
        <v>32</v>
      </c>
      <c r="C144" s="5">
        <f>COUNTIFS('Data Combined - all-runs'!$A:$A, B144, 'Data Combined - all-runs'!$D:$D, A144)</f>
        <v>12</v>
      </c>
      <c r="D144" s="5">
        <f>AVERAGEIFS('Data Combined - all-runs'!$H:$H, 'Data Combined - all-runs'!$A:$A, B144,  'Data Combined - all-runs'!$D:$D, A144)</f>
        <v>979.6666667</v>
      </c>
      <c r="E144" s="5">
        <f>AVERAGEIFS('Data Combined - all-runs'!$N:$N,'Data Combined - all-runs'!$A:$A, B144, 'Data Combined - all-runs'!$D:$D, A144)</f>
        <v>5.583333333</v>
      </c>
      <c r="F144" s="5">
        <f t="shared" si="33"/>
        <v>5.699217421</v>
      </c>
      <c r="G144" s="5">
        <f>AVERAGEIFS('Data Combined - all-runs'!$K:$K, 'Data Combined - all-runs'!$A:$A, B144,  'Data Combined - all-runs'!$D:$D, A144)*100</f>
        <v>17.9539143</v>
      </c>
      <c r="H144" s="5">
        <f t="shared" si="34"/>
        <v>100.2426882</v>
      </c>
      <c r="I144" s="5">
        <f t="shared" si="35"/>
        <v>1832.655424</v>
      </c>
    </row>
    <row r="180">
      <c r="A180" s="1"/>
      <c r="C180" s="6"/>
      <c r="D180" s="6"/>
      <c r="E180" s="6"/>
      <c r="F180" s="1"/>
    </row>
    <row r="187">
      <c r="A187"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3" t="s">
        <v>762</v>
      </c>
    </row>
  </sheetData>
  <drawing r:id="rId1"/>
</worksheet>
</file>